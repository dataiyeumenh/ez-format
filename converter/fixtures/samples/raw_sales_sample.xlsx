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1FBC4A85-4AF8-4A82-A890-FFE46D771A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nhSachChiTietHoaDon_KV261220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N2" i="1" l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2" i="1"/>
  <c r="BN203" i="1"/>
  <c r="BN204" i="1"/>
  <c r="BN205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2" i="1"/>
  <c r="BN223" i="1"/>
  <c r="BN224" i="1"/>
  <c r="BN225" i="1"/>
  <c r="BN226" i="1"/>
  <c r="BN227" i="1"/>
  <c r="BN228" i="1"/>
  <c r="BN229" i="1"/>
  <c r="BN230" i="1"/>
  <c r="BN231" i="1"/>
  <c r="BN232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7" i="1"/>
  <c r="BN288" i="1"/>
  <c r="BN289" i="1"/>
  <c r="BN290" i="1"/>
  <c r="BN291" i="1"/>
  <c r="BN292" i="1"/>
  <c r="BN293" i="1"/>
  <c r="BN294" i="1"/>
  <c r="BN295" i="1"/>
  <c r="BN296" i="1"/>
  <c r="BN297" i="1"/>
  <c r="BN298" i="1"/>
  <c r="BN299" i="1"/>
  <c r="BN300" i="1"/>
  <c r="BN301" i="1"/>
  <c r="BN302" i="1"/>
  <c r="BN303" i="1"/>
  <c r="BN304" i="1"/>
  <c r="BN305" i="1"/>
  <c r="BN306" i="1"/>
  <c r="BN307" i="1"/>
  <c r="BN308" i="1"/>
  <c r="BN309" i="1"/>
  <c r="BN310" i="1"/>
  <c r="BN311" i="1"/>
  <c r="BN312" i="1"/>
  <c r="BN313" i="1"/>
  <c r="BN314" i="1"/>
  <c r="BN315" i="1"/>
  <c r="BN316" i="1"/>
  <c r="BN317" i="1"/>
  <c r="BN318" i="1"/>
  <c r="BN319" i="1"/>
  <c r="BN320" i="1"/>
  <c r="BN321" i="1"/>
  <c r="BN322" i="1"/>
  <c r="BN323" i="1"/>
  <c r="BN324" i="1"/>
  <c r="BN325" i="1"/>
  <c r="BN326" i="1"/>
  <c r="BN327" i="1"/>
  <c r="BN328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57" i="1"/>
  <c r="BN358" i="1"/>
  <c r="BN359" i="1"/>
  <c r="BN360" i="1"/>
  <c r="BN361" i="1"/>
  <c r="BN362" i="1"/>
  <c r="BN363" i="1"/>
  <c r="BN364" i="1"/>
  <c r="BN365" i="1"/>
  <c r="BN366" i="1"/>
  <c r="BN367" i="1"/>
  <c r="BN368" i="1"/>
  <c r="BN369" i="1"/>
  <c r="BN370" i="1"/>
  <c r="BN371" i="1"/>
  <c r="BN372" i="1"/>
  <c r="BN373" i="1"/>
  <c r="BN374" i="1"/>
  <c r="BN375" i="1"/>
  <c r="BN376" i="1"/>
  <c r="BN377" i="1"/>
  <c r="BN378" i="1"/>
  <c r="BN379" i="1"/>
  <c r="BN380" i="1"/>
  <c r="BN381" i="1"/>
  <c r="BN382" i="1"/>
  <c r="BN383" i="1"/>
  <c r="BN384" i="1"/>
  <c r="BN385" i="1"/>
  <c r="BN386" i="1"/>
  <c r="BN387" i="1"/>
  <c r="BN388" i="1"/>
  <c r="BN389" i="1"/>
  <c r="BN390" i="1"/>
  <c r="BN391" i="1"/>
  <c r="BN392" i="1"/>
  <c r="BN393" i="1"/>
  <c r="BN394" i="1"/>
  <c r="BN395" i="1"/>
  <c r="BN396" i="1"/>
  <c r="BN397" i="1"/>
  <c r="BN398" i="1"/>
  <c r="BN399" i="1"/>
  <c r="BN400" i="1"/>
  <c r="BN401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64" i="1"/>
  <c r="BN465" i="1"/>
  <c r="BN466" i="1"/>
  <c r="BN467" i="1"/>
  <c r="BN468" i="1"/>
  <c r="BN469" i="1"/>
  <c r="BN470" i="1"/>
  <c r="BN471" i="1"/>
  <c r="BN472" i="1"/>
  <c r="BN473" i="1"/>
  <c r="BN474" i="1"/>
  <c r="BN475" i="1"/>
  <c r="BN476" i="1"/>
  <c r="BN477" i="1"/>
  <c r="BN478" i="1"/>
  <c r="BN479" i="1"/>
  <c r="BN480" i="1"/>
  <c r="BN481" i="1"/>
  <c r="BN482" i="1"/>
  <c r="BN483" i="1"/>
  <c r="BN484" i="1"/>
  <c r="BN485" i="1"/>
  <c r="BN486" i="1"/>
  <c r="BN487" i="1"/>
  <c r="BN488" i="1"/>
  <c r="BN489" i="1"/>
  <c r="BN490" i="1"/>
  <c r="BN491" i="1"/>
  <c r="BN492" i="1"/>
  <c r="BN493" i="1"/>
  <c r="BN494" i="1"/>
  <c r="BN495" i="1"/>
  <c r="BN496" i="1"/>
  <c r="BN497" i="1"/>
  <c r="BN498" i="1"/>
  <c r="BN499" i="1"/>
  <c r="BN500" i="1"/>
  <c r="BN501" i="1"/>
  <c r="BN502" i="1"/>
  <c r="BN503" i="1"/>
  <c r="BN504" i="1"/>
  <c r="BN505" i="1"/>
  <c r="BN506" i="1"/>
  <c r="BN507" i="1"/>
  <c r="BN508" i="1"/>
  <c r="BN509" i="1"/>
  <c r="BN510" i="1"/>
  <c r="BN511" i="1"/>
  <c r="BN512" i="1"/>
  <c r="BN513" i="1"/>
  <c r="BN514" i="1"/>
  <c r="BN515" i="1"/>
  <c r="BN516" i="1"/>
  <c r="BN517" i="1"/>
  <c r="BN518" i="1"/>
  <c r="BN519" i="1"/>
  <c r="BN520" i="1"/>
  <c r="BN521" i="1"/>
  <c r="BN522" i="1"/>
  <c r="BN523" i="1"/>
  <c r="BN524" i="1"/>
  <c r="BN525" i="1"/>
  <c r="BN526" i="1"/>
  <c r="BN527" i="1"/>
  <c r="BN528" i="1"/>
  <c r="BN529" i="1"/>
  <c r="BN530" i="1"/>
  <c r="BN531" i="1"/>
  <c r="BN532" i="1"/>
  <c r="BN533" i="1"/>
  <c r="BN534" i="1"/>
  <c r="BN535" i="1"/>
  <c r="BN536" i="1"/>
  <c r="BN537" i="1"/>
  <c r="BN538" i="1"/>
  <c r="BN539" i="1"/>
  <c r="BN540" i="1"/>
  <c r="BN541" i="1"/>
  <c r="BN542" i="1"/>
  <c r="BN543" i="1"/>
  <c r="BN544" i="1"/>
  <c r="BN545" i="1"/>
  <c r="BN546" i="1"/>
  <c r="BN547" i="1"/>
  <c r="BN548" i="1"/>
  <c r="BN549" i="1"/>
  <c r="BN550" i="1"/>
  <c r="BN551" i="1"/>
  <c r="BN552" i="1"/>
  <c r="BN553" i="1"/>
  <c r="BN554" i="1"/>
  <c r="BN555" i="1"/>
  <c r="BN556" i="1"/>
  <c r="BN557" i="1"/>
  <c r="BN558" i="1"/>
  <c r="BN559" i="1"/>
  <c r="BN560" i="1"/>
  <c r="BN561" i="1"/>
  <c r="BN562" i="1"/>
  <c r="BN563" i="1"/>
  <c r="BN564" i="1"/>
  <c r="BN565" i="1"/>
  <c r="BN566" i="1"/>
  <c r="BN567" i="1"/>
  <c r="BN568" i="1"/>
  <c r="BN569" i="1"/>
  <c r="BN570" i="1"/>
  <c r="BN571" i="1"/>
  <c r="BN572" i="1"/>
  <c r="BN573" i="1"/>
  <c r="BN574" i="1"/>
  <c r="BN575" i="1"/>
  <c r="BN576" i="1"/>
  <c r="BN577" i="1"/>
  <c r="BN578" i="1"/>
  <c r="BN579" i="1"/>
  <c r="BN580" i="1"/>
  <c r="BN581" i="1"/>
  <c r="BN582" i="1"/>
  <c r="BN583" i="1"/>
  <c r="BN584" i="1"/>
  <c r="BN585" i="1"/>
  <c r="BN586" i="1"/>
  <c r="BN587" i="1"/>
  <c r="BN588" i="1"/>
  <c r="BN589" i="1"/>
  <c r="BN590" i="1"/>
  <c r="BN591" i="1"/>
  <c r="BN592" i="1"/>
  <c r="BN593" i="1"/>
  <c r="BN594" i="1"/>
  <c r="BN595" i="1"/>
  <c r="BN596" i="1"/>
  <c r="BN597" i="1"/>
  <c r="BN598" i="1"/>
  <c r="BN599" i="1"/>
  <c r="BN600" i="1"/>
  <c r="BN601" i="1"/>
  <c r="BN602" i="1"/>
  <c r="BN603" i="1"/>
  <c r="BN604" i="1"/>
  <c r="BN605" i="1"/>
  <c r="BN606" i="1"/>
  <c r="BN607" i="1"/>
  <c r="BN608" i="1"/>
  <c r="BN609" i="1"/>
  <c r="BN610" i="1"/>
  <c r="BN611" i="1"/>
  <c r="BN612" i="1"/>
  <c r="BN613" i="1"/>
  <c r="BN614" i="1"/>
  <c r="BN615" i="1"/>
  <c r="BN616" i="1"/>
  <c r="BN617" i="1"/>
  <c r="BN618" i="1"/>
  <c r="BN619" i="1"/>
  <c r="BN620" i="1"/>
  <c r="BN621" i="1"/>
  <c r="BN622" i="1"/>
  <c r="BN623" i="1"/>
  <c r="BN624" i="1"/>
  <c r="BN625" i="1"/>
  <c r="BN626" i="1"/>
  <c r="BN627" i="1"/>
  <c r="BN628" i="1"/>
  <c r="BN629" i="1"/>
  <c r="BN630" i="1"/>
  <c r="BN631" i="1"/>
  <c r="BN632" i="1"/>
  <c r="BN633" i="1"/>
  <c r="BN634" i="1"/>
  <c r="BN635" i="1"/>
  <c r="BN636" i="1"/>
  <c r="BN637" i="1"/>
  <c r="BN638" i="1"/>
  <c r="BN639" i="1"/>
  <c r="BN640" i="1"/>
  <c r="BN641" i="1"/>
  <c r="BN642" i="1"/>
  <c r="BN643" i="1"/>
  <c r="BN644" i="1"/>
  <c r="BN645" i="1"/>
  <c r="BN646" i="1"/>
  <c r="BN647" i="1"/>
  <c r="BN648" i="1"/>
  <c r="BN649" i="1"/>
  <c r="BN650" i="1"/>
  <c r="BN651" i="1"/>
  <c r="BN652" i="1"/>
  <c r="BN653" i="1"/>
  <c r="BN654" i="1"/>
  <c r="BN655" i="1"/>
  <c r="BN656" i="1"/>
  <c r="BN657" i="1"/>
  <c r="BN658" i="1"/>
  <c r="BN659" i="1"/>
  <c r="BN660" i="1"/>
  <c r="BN661" i="1"/>
  <c r="BN662" i="1"/>
  <c r="BN663" i="1"/>
  <c r="BN664" i="1"/>
  <c r="BN665" i="1"/>
  <c r="BN666" i="1"/>
  <c r="BN667" i="1"/>
  <c r="BN668" i="1"/>
  <c r="BN669" i="1"/>
  <c r="BN670" i="1"/>
  <c r="BN671" i="1"/>
  <c r="BN672" i="1"/>
  <c r="BN673" i="1"/>
  <c r="BN674" i="1"/>
  <c r="BN675" i="1"/>
  <c r="BN676" i="1"/>
  <c r="BN677" i="1"/>
  <c r="BN678" i="1"/>
  <c r="BN679" i="1"/>
  <c r="BN680" i="1"/>
  <c r="BN681" i="1"/>
  <c r="BN682" i="1"/>
  <c r="BN683" i="1"/>
  <c r="BN684" i="1"/>
  <c r="BN685" i="1"/>
  <c r="BN686" i="1"/>
  <c r="BN687" i="1"/>
  <c r="BN688" i="1"/>
  <c r="BN689" i="1"/>
  <c r="BN690" i="1"/>
  <c r="BN691" i="1"/>
  <c r="BN692" i="1"/>
  <c r="BN693" i="1"/>
  <c r="BN694" i="1"/>
  <c r="BN695" i="1"/>
  <c r="BN696" i="1"/>
  <c r="BN697" i="1"/>
  <c r="BN698" i="1"/>
  <c r="BN699" i="1"/>
  <c r="BN700" i="1"/>
  <c r="BN701" i="1"/>
  <c r="BN702" i="1"/>
  <c r="BN703" i="1"/>
  <c r="BN704" i="1"/>
  <c r="BN705" i="1"/>
  <c r="BN706" i="1"/>
  <c r="BN707" i="1"/>
  <c r="BN708" i="1"/>
  <c r="BN709" i="1"/>
  <c r="BN710" i="1"/>
  <c r="BN711" i="1"/>
  <c r="BN712" i="1"/>
  <c r="BN713" i="1"/>
  <c r="BN714" i="1"/>
  <c r="BN715" i="1"/>
  <c r="BN716" i="1"/>
  <c r="BN717" i="1"/>
  <c r="BN718" i="1"/>
  <c r="BN719" i="1"/>
  <c r="BN720" i="1"/>
  <c r="BN721" i="1"/>
  <c r="BN722" i="1"/>
  <c r="BN723" i="1"/>
  <c r="BN724" i="1"/>
  <c r="BN725" i="1"/>
  <c r="BN726" i="1"/>
  <c r="BN727" i="1"/>
  <c r="BN728" i="1"/>
  <c r="BN729" i="1"/>
  <c r="BN730" i="1"/>
  <c r="BN731" i="1"/>
  <c r="BN732" i="1"/>
  <c r="BN733" i="1"/>
  <c r="BN734" i="1"/>
  <c r="BN735" i="1"/>
  <c r="BN736" i="1"/>
  <c r="BN737" i="1"/>
  <c r="BN738" i="1"/>
  <c r="BN739" i="1"/>
  <c r="BN740" i="1"/>
  <c r="BN741" i="1"/>
  <c r="BN742" i="1"/>
  <c r="BN743" i="1"/>
  <c r="BN744" i="1"/>
  <c r="BN745" i="1"/>
  <c r="BN746" i="1"/>
  <c r="BN747" i="1"/>
  <c r="BN748" i="1"/>
  <c r="BN749" i="1"/>
  <c r="BN750" i="1"/>
  <c r="BN751" i="1"/>
  <c r="BN752" i="1"/>
  <c r="BN753" i="1"/>
  <c r="BN754" i="1"/>
  <c r="BN755" i="1"/>
  <c r="BN756" i="1"/>
  <c r="BN757" i="1"/>
  <c r="BN758" i="1"/>
  <c r="BN759" i="1"/>
  <c r="BN760" i="1"/>
  <c r="BN761" i="1"/>
  <c r="BN762" i="1"/>
  <c r="BN763" i="1"/>
  <c r="BN764" i="1"/>
  <c r="BN765" i="1"/>
  <c r="BN766" i="1"/>
  <c r="BN767" i="1"/>
  <c r="BN768" i="1"/>
  <c r="BN769" i="1"/>
  <c r="BN770" i="1"/>
  <c r="BN771" i="1"/>
  <c r="BN772" i="1"/>
  <c r="BN773" i="1"/>
  <c r="BN774" i="1"/>
  <c r="BN775" i="1"/>
  <c r="BN776" i="1"/>
  <c r="BN777" i="1"/>
  <c r="BN778" i="1"/>
  <c r="BN779" i="1"/>
  <c r="BN780" i="1"/>
  <c r="BN781" i="1"/>
  <c r="BN782" i="1"/>
  <c r="BN783" i="1"/>
  <c r="BN784" i="1"/>
  <c r="BN785" i="1"/>
  <c r="BN786" i="1"/>
  <c r="BN787" i="1"/>
  <c r="BN788" i="1"/>
  <c r="BN789" i="1"/>
  <c r="BN790" i="1"/>
  <c r="BN791" i="1"/>
  <c r="BN792" i="1"/>
  <c r="BN793" i="1"/>
  <c r="BN794" i="1"/>
  <c r="BN795" i="1"/>
  <c r="BN796" i="1"/>
  <c r="BN797" i="1"/>
  <c r="BN798" i="1"/>
  <c r="BN799" i="1"/>
  <c r="BN800" i="1"/>
  <c r="BN801" i="1"/>
  <c r="BN802" i="1"/>
  <c r="BN803" i="1"/>
  <c r="BN804" i="1"/>
  <c r="BN805" i="1"/>
  <c r="BN806" i="1"/>
  <c r="BN807" i="1"/>
  <c r="BN808" i="1"/>
  <c r="BN809" i="1"/>
  <c r="BN810" i="1"/>
  <c r="BN811" i="1"/>
  <c r="BN812" i="1"/>
  <c r="BN813" i="1"/>
  <c r="BN814" i="1"/>
  <c r="BN815" i="1"/>
  <c r="BN816" i="1"/>
  <c r="BN817" i="1"/>
  <c r="BN818" i="1"/>
  <c r="BN819" i="1"/>
  <c r="BN820" i="1"/>
  <c r="BN821" i="1"/>
  <c r="BN822" i="1"/>
  <c r="BN823" i="1"/>
  <c r="BN824" i="1"/>
  <c r="BN825" i="1"/>
  <c r="BN826" i="1"/>
  <c r="BN827" i="1"/>
  <c r="BN828" i="1"/>
  <c r="BN829" i="1"/>
  <c r="BN830" i="1"/>
  <c r="BN831" i="1"/>
  <c r="BN832" i="1"/>
  <c r="BN833" i="1"/>
  <c r="BN834" i="1"/>
  <c r="BN835" i="1"/>
  <c r="BN836" i="1"/>
  <c r="BN837" i="1"/>
  <c r="BN838" i="1"/>
  <c r="BN839" i="1"/>
  <c r="BN840" i="1"/>
  <c r="BN841" i="1"/>
  <c r="BN842" i="1"/>
  <c r="BN843" i="1"/>
  <c r="BN844" i="1"/>
  <c r="BN845" i="1"/>
  <c r="BN846" i="1"/>
  <c r="BN847" i="1"/>
  <c r="BN848" i="1"/>
  <c r="BN849" i="1"/>
  <c r="BN850" i="1"/>
  <c r="BN851" i="1"/>
  <c r="BN852" i="1"/>
  <c r="BN853" i="1"/>
  <c r="BN854" i="1"/>
  <c r="BN855" i="1"/>
  <c r="BN856" i="1"/>
  <c r="BN857" i="1"/>
  <c r="BN858" i="1"/>
  <c r="BN859" i="1"/>
  <c r="BN860" i="1"/>
  <c r="BN861" i="1"/>
  <c r="BN862" i="1"/>
  <c r="BN863" i="1"/>
  <c r="BN864" i="1"/>
  <c r="BN865" i="1"/>
  <c r="BN866" i="1"/>
  <c r="BN867" i="1"/>
  <c r="BN868" i="1"/>
  <c r="BN869" i="1"/>
  <c r="BN870" i="1"/>
  <c r="BN871" i="1"/>
  <c r="BN872" i="1"/>
  <c r="BN873" i="1"/>
  <c r="BN874" i="1"/>
  <c r="BN875" i="1"/>
  <c r="BN876" i="1"/>
  <c r="BN877" i="1"/>
  <c r="BN878" i="1"/>
  <c r="BN879" i="1"/>
  <c r="BN880" i="1"/>
  <c r="BN881" i="1"/>
  <c r="BN882" i="1"/>
  <c r="BN883" i="1"/>
  <c r="BN884" i="1"/>
  <c r="BN885" i="1"/>
  <c r="BN886" i="1"/>
  <c r="BN887" i="1"/>
  <c r="BN888" i="1"/>
  <c r="BN889" i="1"/>
  <c r="BN890" i="1"/>
  <c r="BN891" i="1"/>
  <c r="BN892" i="1"/>
  <c r="BN893" i="1"/>
  <c r="BN894" i="1"/>
  <c r="BN895" i="1"/>
  <c r="BN896" i="1"/>
  <c r="BN897" i="1"/>
  <c r="BN898" i="1"/>
  <c r="BN899" i="1"/>
  <c r="BN900" i="1"/>
  <c r="BN901" i="1"/>
  <c r="BN902" i="1"/>
  <c r="BN903" i="1"/>
  <c r="BN904" i="1"/>
  <c r="BN905" i="1"/>
  <c r="BN906" i="1"/>
  <c r="BN907" i="1"/>
  <c r="BN908" i="1"/>
  <c r="BN909" i="1"/>
  <c r="BN910" i="1"/>
  <c r="BN911" i="1"/>
  <c r="BN912" i="1"/>
  <c r="BN913" i="1"/>
  <c r="BN914" i="1"/>
  <c r="BN915" i="1"/>
  <c r="BN916" i="1"/>
  <c r="BN917" i="1"/>
  <c r="BN918" i="1"/>
  <c r="BN919" i="1"/>
  <c r="BN920" i="1"/>
  <c r="BN921" i="1"/>
  <c r="BN922" i="1"/>
  <c r="BN923" i="1"/>
  <c r="BN924" i="1"/>
  <c r="BN925" i="1"/>
  <c r="BN926" i="1"/>
  <c r="BN927" i="1"/>
  <c r="BN928" i="1"/>
  <c r="BN929" i="1"/>
  <c r="BN930" i="1"/>
  <c r="BN931" i="1"/>
  <c r="BN932" i="1"/>
  <c r="BN933" i="1"/>
  <c r="BN934" i="1"/>
  <c r="BN935" i="1"/>
  <c r="BN936" i="1"/>
  <c r="BN937" i="1"/>
  <c r="BN938" i="1"/>
  <c r="BN939" i="1"/>
  <c r="BN940" i="1"/>
  <c r="BN941" i="1"/>
  <c r="BN942" i="1"/>
  <c r="BN943" i="1"/>
  <c r="BN944" i="1"/>
  <c r="BN945" i="1"/>
  <c r="BN946" i="1"/>
  <c r="BN947" i="1"/>
  <c r="BN948" i="1"/>
  <c r="BN949" i="1"/>
  <c r="BN950" i="1"/>
  <c r="BN951" i="1"/>
  <c r="BN952" i="1"/>
  <c r="BN953" i="1"/>
  <c r="BN954" i="1"/>
  <c r="BN955" i="1"/>
  <c r="BN956" i="1"/>
  <c r="BN957" i="1"/>
  <c r="BN958" i="1"/>
  <c r="BN959" i="1"/>
  <c r="BN960" i="1"/>
  <c r="BN961" i="1"/>
  <c r="BN962" i="1"/>
  <c r="BN963" i="1"/>
  <c r="BN964" i="1"/>
  <c r="BN965" i="1"/>
  <c r="BN966" i="1"/>
  <c r="BN967" i="1"/>
  <c r="BN968" i="1"/>
  <c r="BN969" i="1"/>
  <c r="BN970" i="1"/>
  <c r="BN971" i="1"/>
  <c r="BN972" i="1"/>
  <c r="BN973" i="1"/>
  <c r="BN974" i="1"/>
  <c r="BN975" i="1"/>
  <c r="BN976" i="1"/>
  <c r="BN977" i="1"/>
  <c r="BN978" i="1"/>
  <c r="BN979" i="1"/>
  <c r="BN980" i="1"/>
  <c r="BN981" i="1"/>
  <c r="BN982" i="1"/>
  <c r="BN983" i="1"/>
  <c r="BN984" i="1"/>
  <c r="BN985" i="1"/>
  <c r="BN986" i="1"/>
  <c r="BN987" i="1"/>
  <c r="BN988" i="1"/>
  <c r="BN989" i="1"/>
  <c r="BN990" i="1"/>
  <c r="BN991" i="1"/>
  <c r="BN992" i="1"/>
  <c r="BN993" i="1"/>
  <c r="BN994" i="1"/>
  <c r="BN995" i="1"/>
  <c r="BN996" i="1"/>
  <c r="BN997" i="1"/>
  <c r="BN998" i="1"/>
  <c r="BN999" i="1"/>
  <c r="BN1000" i="1"/>
  <c r="BN1001" i="1"/>
  <c r="BN1002" i="1"/>
  <c r="BN1003" i="1"/>
  <c r="BN1004" i="1"/>
  <c r="BN1005" i="1"/>
  <c r="BN1006" i="1"/>
  <c r="BN1007" i="1"/>
  <c r="BN1008" i="1"/>
  <c r="BN1009" i="1"/>
  <c r="BN1010" i="1"/>
  <c r="BN1011" i="1"/>
  <c r="BN1012" i="1"/>
  <c r="BN1013" i="1"/>
  <c r="BN1014" i="1"/>
  <c r="BN1015" i="1"/>
  <c r="BN1016" i="1"/>
  <c r="BN1017" i="1"/>
  <c r="BN1018" i="1"/>
  <c r="BN1019" i="1"/>
  <c r="BN1020" i="1"/>
  <c r="BN1021" i="1"/>
  <c r="BN1022" i="1"/>
  <c r="BN1023" i="1"/>
  <c r="BN1024" i="1"/>
  <c r="BN1025" i="1"/>
  <c r="BN1026" i="1"/>
  <c r="BN1027" i="1"/>
  <c r="BN1028" i="1"/>
  <c r="BN1029" i="1"/>
  <c r="BN1030" i="1"/>
  <c r="BN1031" i="1"/>
  <c r="BN1032" i="1"/>
  <c r="BN1033" i="1"/>
  <c r="BN1034" i="1"/>
  <c r="BN1035" i="1"/>
  <c r="BN1036" i="1"/>
  <c r="BN1037" i="1"/>
  <c r="BN1038" i="1"/>
  <c r="BN1039" i="1"/>
  <c r="BN1040" i="1"/>
  <c r="BN1041" i="1"/>
  <c r="BN1042" i="1"/>
  <c r="BN1043" i="1"/>
  <c r="BN1044" i="1"/>
  <c r="BN1045" i="1"/>
  <c r="BN1046" i="1"/>
  <c r="BN1047" i="1"/>
  <c r="BN1048" i="1"/>
  <c r="BN1049" i="1"/>
  <c r="BN1050" i="1"/>
  <c r="BN1051" i="1"/>
  <c r="BN1052" i="1"/>
  <c r="BN1053" i="1"/>
  <c r="BN1054" i="1"/>
  <c r="BN1055" i="1"/>
  <c r="BN1056" i="1"/>
  <c r="BN1057" i="1"/>
  <c r="BN1058" i="1"/>
  <c r="BN1059" i="1"/>
  <c r="BN1060" i="1"/>
  <c r="BN1061" i="1"/>
  <c r="BN1062" i="1"/>
  <c r="BN1063" i="1"/>
  <c r="BN1064" i="1"/>
  <c r="BN1065" i="1"/>
  <c r="BN1066" i="1"/>
  <c r="BN1067" i="1"/>
  <c r="BN1068" i="1"/>
  <c r="BN1069" i="1"/>
  <c r="BN1070" i="1"/>
  <c r="BN1071" i="1"/>
  <c r="BN1072" i="1"/>
  <c r="BN1073" i="1"/>
  <c r="BN1074" i="1"/>
  <c r="BN1075" i="1"/>
  <c r="BN1076" i="1"/>
  <c r="BN1077" i="1"/>
  <c r="BN1078" i="1"/>
  <c r="BN1079" i="1"/>
  <c r="BN1080" i="1"/>
  <c r="BN1081" i="1"/>
  <c r="BN1082" i="1"/>
  <c r="BN1083" i="1"/>
  <c r="BN1084" i="1"/>
  <c r="BN1085" i="1"/>
  <c r="BN1086" i="1"/>
  <c r="BN1087" i="1"/>
  <c r="BN1088" i="1"/>
  <c r="BN1089" i="1"/>
  <c r="BN1090" i="1"/>
  <c r="BN1091" i="1"/>
  <c r="BN1092" i="1"/>
  <c r="BN1093" i="1"/>
  <c r="BN1094" i="1"/>
  <c r="BN1095" i="1"/>
  <c r="BN1096" i="1"/>
  <c r="BN1097" i="1"/>
  <c r="BN1098" i="1"/>
  <c r="BN1099" i="1"/>
  <c r="BN1100" i="1"/>
  <c r="BN1101" i="1"/>
  <c r="BN1102" i="1"/>
  <c r="BN1103" i="1"/>
  <c r="BN1104" i="1"/>
  <c r="BN1105" i="1"/>
  <c r="BN1106" i="1"/>
  <c r="BN1107" i="1"/>
  <c r="BN1108" i="1"/>
  <c r="BN1109" i="1"/>
  <c r="BN1110" i="1"/>
  <c r="BN1111" i="1"/>
  <c r="BN1112" i="1"/>
  <c r="BN1113" i="1"/>
  <c r="BN1114" i="1"/>
  <c r="BN1115" i="1"/>
  <c r="BN1116" i="1"/>
  <c r="BN1117" i="1"/>
  <c r="BN1118" i="1"/>
  <c r="BN1119" i="1"/>
  <c r="BN1120" i="1"/>
  <c r="BN1121" i="1"/>
  <c r="BN1122" i="1"/>
  <c r="BN1123" i="1"/>
  <c r="BN1124" i="1"/>
  <c r="BN1125" i="1"/>
  <c r="BN1126" i="1"/>
  <c r="BN1127" i="1"/>
  <c r="BN1128" i="1"/>
  <c r="BN1129" i="1"/>
  <c r="BN1130" i="1"/>
  <c r="BN1131" i="1"/>
  <c r="BN1132" i="1"/>
  <c r="BN1133" i="1"/>
  <c r="BN1134" i="1"/>
  <c r="BN1135" i="1"/>
  <c r="BN1136" i="1"/>
  <c r="BN1137" i="1"/>
  <c r="BN1138" i="1"/>
  <c r="BN1139" i="1"/>
  <c r="BN1140" i="1"/>
  <c r="BN1141" i="1"/>
  <c r="BN1142" i="1"/>
  <c r="BN1143" i="1"/>
  <c r="BN1144" i="1"/>
  <c r="BN1145" i="1"/>
  <c r="BN1146" i="1"/>
  <c r="BN1147" i="1"/>
  <c r="BN1148" i="1"/>
  <c r="BN1149" i="1"/>
  <c r="BN1150" i="1"/>
  <c r="BN1151" i="1"/>
  <c r="BN1152" i="1"/>
  <c r="BN1153" i="1"/>
  <c r="BN1154" i="1"/>
  <c r="BN1155" i="1"/>
  <c r="BN1156" i="1"/>
  <c r="BN1157" i="1"/>
  <c r="BN1158" i="1"/>
  <c r="BN1159" i="1"/>
  <c r="BN1160" i="1"/>
  <c r="BN1161" i="1"/>
  <c r="BN1162" i="1"/>
  <c r="BN1163" i="1"/>
  <c r="BN1164" i="1"/>
  <c r="BN1165" i="1"/>
  <c r="BN1166" i="1"/>
  <c r="BN1167" i="1"/>
  <c r="BN1168" i="1"/>
  <c r="BN1169" i="1"/>
  <c r="BN1170" i="1"/>
  <c r="BN1171" i="1"/>
  <c r="BN1172" i="1"/>
  <c r="BN1173" i="1"/>
  <c r="BN1174" i="1"/>
  <c r="BN1175" i="1"/>
  <c r="BN1176" i="1"/>
  <c r="BN1177" i="1"/>
  <c r="BN1178" i="1"/>
  <c r="BN1179" i="1"/>
  <c r="BN1180" i="1"/>
  <c r="BN1181" i="1"/>
  <c r="BN1182" i="1"/>
  <c r="BN1183" i="1"/>
  <c r="BN1184" i="1"/>
  <c r="BN1185" i="1"/>
  <c r="BN1186" i="1"/>
  <c r="BN1187" i="1"/>
  <c r="BN1188" i="1"/>
  <c r="BN1189" i="1"/>
  <c r="BN1190" i="1"/>
  <c r="BN1191" i="1"/>
  <c r="BN1192" i="1"/>
  <c r="BN1193" i="1"/>
  <c r="BN1194" i="1"/>
  <c r="BN1195" i="1"/>
  <c r="BN1196" i="1"/>
  <c r="BN1197" i="1"/>
  <c r="BN1198" i="1"/>
  <c r="BN1199" i="1"/>
  <c r="BN1200" i="1"/>
  <c r="BN1201" i="1"/>
  <c r="BN1202" i="1"/>
  <c r="BN1203" i="1"/>
  <c r="BN1204" i="1"/>
  <c r="BN1205" i="1"/>
  <c r="BN1206" i="1"/>
  <c r="BN1207" i="1"/>
  <c r="BN1208" i="1"/>
  <c r="BN1209" i="1"/>
  <c r="BN1210" i="1"/>
  <c r="BN1211" i="1"/>
  <c r="BN1212" i="1"/>
  <c r="BN1213" i="1"/>
  <c r="BN1214" i="1"/>
  <c r="BN1215" i="1"/>
  <c r="BN1216" i="1"/>
  <c r="BN1217" i="1"/>
  <c r="BN1218" i="1"/>
  <c r="BN1219" i="1"/>
  <c r="BN1220" i="1"/>
  <c r="BN1221" i="1"/>
  <c r="BN1222" i="1"/>
  <c r="BN1223" i="1"/>
  <c r="BN1224" i="1"/>
  <c r="BN1225" i="1"/>
  <c r="BN1226" i="1"/>
  <c r="BN1227" i="1"/>
  <c r="BN1228" i="1"/>
  <c r="BN1229" i="1"/>
  <c r="BN1230" i="1"/>
  <c r="BN1231" i="1"/>
  <c r="BN1232" i="1"/>
  <c r="BN1233" i="1"/>
  <c r="BN1234" i="1"/>
  <c r="BN1235" i="1"/>
  <c r="BN1236" i="1"/>
  <c r="BN1237" i="1"/>
  <c r="BN1238" i="1"/>
  <c r="BN1239" i="1"/>
  <c r="BN1240" i="1"/>
  <c r="BN1241" i="1"/>
  <c r="BN1242" i="1"/>
  <c r="BN1243" i="1"/>
  <c r="BN1244" i="1"/>
  <c r="BN1245" i="1"/>
  <c r="BN1246" i="1"/>
  <c r="BN1247" i="1"/>
  <c r="BN1248" i="1"/>
  <c r="BN1249" i="1"/>
  <c r="BN1250" i="1"/>
  <c r="BN1251" i="1"/>
  <c r="BN1252" i="1"/>
  <c r="BN1253" i="1"/>
  <c r="BN1254" i="1"/>
  <c r="BN1255" i="1"/>
  <c r="BN1256" i="1"/>
  <c r="BN1257" i="1"/>
  <c r="BN1258" i="1"/>
  <c r="BN1259" i="1"/>
  <c r="BN1260" i="1"/>
  <c r="BN1261" i="1"/>
  <c r="BN1262" i="1"/>
  <c r="BN1263" i="1"/>
  <c r="BN1264" i="1"/>
  <c r="BN1265" i="1"/>
  <c r="BN1266" i="1"/>
  <c r="BN1267" i="1"/>
  <c r="BN1268" i="1"/>
  <c r="BN1269" i="1"/>
  <c r="BN1270" i="1"/>
  <c r="BN1271" i="1"/>
  <c r="BN1272" i="1"/>
  <c r="BN1273" i="1"/>
  <c r="BN1274" i="1"/>
  <c r="BN1275" i="1"/>
  <c r="BN1276" i="1"/>
  <c r="BN1277" i="1"/>
  <c r="BN1278" i="1"/>
  <c r="BN1279" i="1"/>
  <c r="BN1280" i="1"/>
  <c r="BN1281" i="1"/>
  <c r="BN1282" i="1"/>
  <c r="BN1283" i="1"/>
  <c r="BN1284" i="1"/>
  <c r="BN1285" i="1"/>
  <c r="BN1286" i="1"/>
  <c r="BN1287" i="1"/>
  <c r="BN1288" i="1"/>
  <c r="BN1289" i="1"/>
  <c r="BN1290" i="1"/>
  <c r="BN1291" i="1"/>
  <c r="BN1292" i="1"/>
  <c r="BN1293" i="1"/>
  <c r="BN1294" i="1"/>
  <c r="BN1295" i="1"/>
  <c r="BN1296" i="1"/>
  <c r="BN1297" i="1"/>
  <c r="BN1298" i="1"/>
  <c r="BN1299" i="1"/>
  <c r="BN1300" i="1"/>
  <c r="BN1301" i="1"/>
  <c r="BN1302" i="1"/>
  <c r="BN1303" i="1"/>
  <c r="BN1304" i="1"/>
  <c r="BN1305" i="1"/>
  <c r="BN1306" i="1"/>
  <c r="BN1307" i="1"/>
  <c r="BN1308" i="1"/>
  <c r="BN1309" i="1"/>
  <c r="BN1310" i="1"/>
  <c r="BN1311" i="1"/>
  <c r="BN1312" i="1"/>
  <c r="BN1313" i="1"/>
  <c r="BN1314" i="1"/>
  <c r="BN1315" i="1"/>
  <c r="BN1316" i="1"/>
  <c r="BN1317" i="1"/>
  <c r="BN1318" i="1"/>
  <c r="BN1319" i="1"/>
  <c r="BN1320" i="1"/>
  <c r="BN1321" i="1"/>
  <c r="BN1322" i="1"/>
  <c r="BN1323" i="1"/>
  <c r="BN1324" i="1"/>
  <c r="BN1325" i="1"/>
  <c r="BN1326" i="1"/>
  <c r="BN1327" i="1"/>
  <c r="BN1328" i="1"/>
  <c r="BN1329" i="1"/>
  <c r="BN1330" i="1"/>
  <c r="BN1331" i="1"/>
  <c r="BN1332" i="1"/>
  <c r="BN1333" i="1"/>
  <c r="BN1334" i="1"/>
  <c r="BN1335" i="1"/>
  <c r="BN1336" i="1"/>
  <c r="BN1337" i="1"/>
  <c r="BN1338" i="1"/>
  <c r="BN1339" i="1"/>
  <c r="BN1340" i="1"/>
  <c r="BN1341" i="1"/>
  <c r="BN1342" i="1"/>
  <c r="BN1343" i="1"/>
  <c r="BN1344" i="1"/>
  <c r="BN1345" i="1"/>
  <c r="BN1346" i="1"/>
  <c r="BN1347" i="1"/>
  <c r="BN1348" i="1"/>
  <c r="BN1349" i="1"/>
  <c r="BN1350" i="1"/>
  <c r="BN1351" i="1"/>
  <c r="BN1352" i="1"/>
  <c r="BN1353" i="1"/>
  <c r="BN1354" i="1"/>
  <c r="BN1355" i="1"/>
  <c r="BN1356" i="1"/>
  <c r="BN1357" i="1"/>
  <c r="BN1358" i="1"/>
  <c r="BN1359" i="1"/>
  <c r="BN1360" i="1"/>
  <c r="BN1361" i="1"/>
  <c r="BN1362" i="1"/>
  <c r="BN1363" i="1"/>
  <c r="BN1364" i="1"/>
  <c r="BN1365" i="1"/>
  <c r="BN1366" i="1"/>
  <c r="BN1367" i="1"/>
  <c r="BN1368" i="1"/>
  <c r="BN1369" i="1"/>
  <c r="BN1370" i="1"/>
  <c r="BN1371" i="1"/>
  <c r="BN1372" i="1"/>
  <c r="BN1373" i="1"/>
  <c r="BN1374" i="1"/>
  <c r="BN1375" i="1"/>
  <c r="BN1376" i="1"/>
  <c r="BN1377" i="1"/>
  <c r="BN1378" i="1"/>
  <c r="BN1379" i="1"/>
  <c r="BN1380" i="1"/>
  <c r="BN1381" i="1"/>
  <c r="BN1382" i="1"/>
  <c r="BN1383" i="1"/>
  <c r="BN1384" i="1"/>
  <c r="BN1385" i="1"/>
  <c r="BN1386" i="1"/>
  <c r="BN1387" i="1"/>
  <c r="BN1388" i="1"/>
  <c r="BN1389" i="1"/>
  <c r="BN1390" i="1"/>
  <c r="BN1391" i="1"/>
  <c r="BN1392" i="1"/>
  <c r="BN1393" i="1"/>
  <c r="BN1394" i="1"/>
  <c r="BN1395" i="1"/>
  <c r="BN1396" i="1"/>
  <c r="BN1397" i="1"/>
  <c r="BN1398" i="1"/>
  <c r="BN1399" i="1"/>
  <c r="BN1400" i="1"/>
  <c r="BN1401" i="1"/>
  <c r="BN1402" i="1"/>
  <c r="BN1403" i="1"/>
  <c r="BN1404" i="1"/>
  <c r="BN1405" i="1"/>
  <c r="BN1406" i="1"/>
  <c r="BN1407" i="1"/>
  <c r="BN1408" i="1"/>
  <c r="BN1409" i="1"/>
  <c r="BN1410" i="1"/>
  <c r="BN1411" i="1"/>
  <c r="BN1412" i="1"/>
  <c r="BN1413" i="1"/>
  <c r="BN1414" i="1"/>
  <c r="BN1415" i="1"/>
  <c r="BN1416" i="1"/>
  <c r="BN1417" i="1"/>
  <c r="BN1418" i="1"/>
  <c r="BN1419" i="1"/>
  <c r="BN1420" i="1"/>
  <c r="BN1421" i="1"/>
  <c r="BN1422" i="1"/>
  <c r="BN1423" i="1"/>
  <c r="BN1424" i="1"/>
  <c r="BN1425" i="1"/>
  <c r="BN1426" i="1"/>
  <c r="BN1427" i="1"/>
  <c r="BN1428" i="1"/>
  <c r="BN1429" i="1"/>
  <c r="BN1430" i="1"/>
  <c r="BN1431" i="1"/>
  <c r="BN1432" i="1"/>
  <c r="BN1433" i="1"/>
  <c r="BN1434" i="1"/>
  <c r="BN1435" i="1"/>
  <c r="BN1436" i="1"/>
  <c r="BN1437" i="1"/>
  <c r="BN1438" i="1"/>
  <c r="BN1439" i="1"/>
  <c r="BN1440" i="1"/>
  <c r="BN1441" i="1"/>
  <c r="BN1442" i="1"/>
  <c r="BN1443" i="1"/>
  <c r="BN1444" i="1"/>
  <c r="BN1445" i="1"/>
  <c r="BN1446" i="1"/>
  <c r="BN1447" i="1"/>
  <c r="BN1448" i="1"/>
  <c r="BN1449" i="1"/>
  <c r="BN1450" i="1"/>
  <c r="BN1451" i="1"/>
  <c r="BN1452" i="1"/>
  <c r="BN1453" i="1"/>
  <c r="BN1454" i="1"/>
  <c r="BN1455" i="1"/>
  <c r="BN1456" i="1"/>
  <c r="BN1457" i="1"/>
  <c r="BN1458" i="1"/>
  <c r="BN1459" i="1"/>
  <c r="BN1460" i="1"/>
  <c r="BN1461" i="1"/>
  <c r="BN1462" i="1"/>
  <c r="BN1463" i="1"/>
  <c r="BN1464" i="1"/>
  <c r="BN1465" i="1"/>
  <c r="BN1466" i="1"/>
  <c r="BN1467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N1540" i="1"/>
  <c r="BN1541" i="1"/>
  <c r="BN1542" i="1"/>
  <c r="BN1543" i="1"/>
  <c r="BN1544" i="1"/>
  <c r="BN1545" i="1"/>
  <c r="BN1546" i="1"/>
  <c r="BN1547" i="1"/>
  <c r="BN1548" i="1"/>
  <c r="BN1549" i="1"/>
  <c r="BN1550" i="1"/>
  <c r="BN1551" i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829" i="1"/>
  <c r="BN1830" i="1"/>
  <c r="BN1831" i="1"/>
  <c r="BN1832" i="1"/>
  <c r="BN1833" i="1"/>
  <c r="BN1834" i="1"/>
  <c r="BN1835" i="1"/>
  <c r="BN1836" i="1"/>
  <c r="BN1837" i="1"/>
  <c r="BN1838" i="1"/>
  <c r="BN1839" i="1"/>
  <c r="BN1840" i="1"/>
  <c r="BN1841" i="1"/>
  <c r="BN1842" i="1"/>
  <c r="BN1843" i="1"/>
  <c r="BN1844" i="1"/>
  <c r="BN1845" i="1"/>
  <c r="BN1846" i="1"/>
  <c r="BN1847" i="1"/>
  <c r="BN1848" i="1"/>
  <c r="BN1849" i="1"/>
  <c r="BN1850" i="1"/>
  <c r="BN1851" i="1"/>
  <c r="BN1852" i="1"/>
  <c r="BN1853" i="1"/>
  <c r="BN1854" i="1"/>
  <c r="BN1855" i="1"/>
  <c r="BN1856" i="1"/>
  <c r="BN1857" i="1"/>
  <c r="BN1858" i="1"/>
  <c r="BN1859" i="1"/>
  <c r="BN1860" i="1"/>
  <c r="BN1861" i="1"/>
  <c r="BN1862" i="1"/>
  <c r="BN1863" i="1"/>
  <c r="BN1864" i="1"/>
  <c r="BN1865" i="1"/>
  <c r="BN1866" i="1"/>
  <c r="BN1867" i="1"/>
  <c r="BN1868" i="1"/>
  <c r="BN1869" i="1"/>
  <c r="BN1870" i="1"/>
  <c r="BN1871" i="1"/>
  <c r="BN1872" i="1"/>
  <c r="BN1873" i="1"/>
  <c r="BN1874" i="1"/>
  <c r="BN1875" i="1"/>
  <c r="BN1876" i="1"/>
  <c r="BN1877" i="1"/>
  <c r="BN1878" i="1"/>
  <c r="BN1879" i="1"/>
  <c r="BN1880" i="1"/>
  <c r="BN1881" i="1"/>
  <c r="BN1882" i="1"/>
  <c r="BN1883" i="1"/>
  <c r="BN1884" i="1"/>
  <c r="BN1885" i="1"/>
  <c r="BN1886" i="1"/>
  <c r="BN1887" i="1"/>
  <c r="BN1888" i="1"/>
  <c r="BN1889" i="1"/>
  <c r="BN1890" i="1"/>
  <c r="BN1891" i="1"/>
  <c r="BN1892" i="1"/>
  <c r="BN1893" i="1"/>
  <c r="BN1894" i="1"/>
  <c r="BN1895" i="1"/>
  <c r="BN1896" i="1"/>
  <c r="BN1897" i="1"/>
  <c r="BN1898" i="1"/>
  <c r="BN1899" i="1"/>
  <c r="BN1900" i="1"/>
  <c r="BN1901" i="1"/>
  <c r="BN1902" i="1"/>
  <c r="BN1903" i="1"/>
  <c r="BN1904" i="1"/>
  <c r="BN1905" i="1"/>
  <c r="BN1906" i="1"/>
  <c r="BN1907" i="1"/>
  <c r="BN1908" i="1"/>
  <c r="BN1909" i="1"/>
  <c r="BN1910" i="1"/>
  <c r="BN1911" i="1"/>
  <c r="BN1912" i="1"/>
  <c r="BN1913" i="1"/>
  <c r="BN1914" i="1"/>
  <c r="BN1915" i="1"/>
  <c r="BN1916" i="1"/>
  <c r="BN1917" i="1"/>
  <c r="BN1918" i="1"/>
  <c r="BN1919" i="1"/>
  <c r="BN1920" i="1"/>
  <c r="BN1921" i="1"/>
  <c r="BN1922" i="1"/>
  <c r="BN1923" i="1"/>
  <c r="BN1924" i="1"/>
  <c r="BN1925" i="1"/>
  <c r="BN1926" i="1"/>
  <c r="BN1927" i="1"/>
  <c r="BN1928" i="1"/>
  <c r="BN1929" i="1"/>
  <c r="BN1930" i="1"/>
  <c r="BN1931" i="1"/>
</calcChain>
</file>

<file path=xl/sharedStrings.xml><?xml version="1.0" encoding="utf-8"?>
<sst xmlns="http://schemas.openxmlformats.org/spreadsheetml/2006/main" count="43533" uniqueCount="4620">
  <si>
    <t>Chi nhánh</t>
  </si>
  <si>
    <t>Mã hóa đơn</t>
  </si>
  <si>
    <t>Mã vận đơn</t>
  </si>
  <si>
    <t>Địa chỉ lấy hàng</t>
  </si>
  <si>
    <t>Mã đối soát</t>
  </si>
  <si>
    <t>Phí trả ĐTGH</t>
  </si>
  <si>
    <t>Thời gian</t>
  </si>
  <si>
    <t>Thời gian tạo</t>
  </si>
  <si>
    <t>Ngày cập nhật</t>
  </si>
  <si>
    <t>Mã đặt hàng</t>
  </si>
  <si>
    <t>Mã trả hàng</t>
  </si>
  <si>
    <t>Mã khách hàng</t>
  </si>
  <si>
    <t>Tên khách hàng</t>
  </si>
  <si>
    <t>Email</t>
  </si>
  <si>
    <t>Điện thoại</t>
  </si>
  <si>
    <t>Địa chỉ (Khách hàng)</t>
  </si>
  <si>
    <t>Khu vực (Khách hàng)</t>
  </si>
  <si>
    <t>Phường/Xã (Khách hàng)</t>
  </si>
  <si>
    <t>Ngày sinh</t>
  </si>
  <si>
    <t>Bảng giá</t>
  </si>
  <si>
    <t>Người bán</t>
  </si>
  <si>
    <t>Kênh bán</t>
  </si>
  <si>
    <t>Người tạo</t>
  </si>
  <si>
    <t>Đối tác giao hàng</t>
  </si>
  <si>
    <t>Người nhận</t>
  </si>
  <si>
    <t>Điện thoại (Người nhận)</t>
  </si>
  <si>
    <t>Địa chỉ (Người nhận)</t>
  </si>
  <si>
    <t>Khu vực (Người nhận)</t>
  </si>
  <si>
    <t>Phường/Xã (Người nhận)</t>
  </si>
  <si>
    <t>Dịch vụ</t>
  </si>
  <si>
    <t>Trọng lượng (gram)</t>
  </si>
  <si>
    <t>Dài</t>
  </si>
  <si>
    <t>Rộng</t>
  </si>
  <si>
    <t>Cao</t>
  </si>
  <si>
    <t>Ghi chú trạng thái giao hàng</t>
  </si>
  <si>
    <t>Ghi chú giao hàng</t>
  </si>
  <si>
    <t>Ghi chú</t>
  </si>
  <si>
    <t>Tổng tiền hàng</t>
  </si>
  <si>
    <t>Giảm giá hóa đơn</t>
  </si>
  <si>
    <t>VAT</t>
  </si>
  <si>
    <t>Thu khác</t>
  </si>
  <si>
    <t>Khách cần trả</t>
  </si>
  <si>
    <t>Khách đã trả</t>
  </si>
  <si>
    <t>Tiền mặt</t>
  </si>
  <si>
    <t>Thẻ</t>
  </si>
  <si>
    <t>Ví</t>
  </si>
  <si>
    <t>Chuyển khoản</t>
  </si>
  <si>
    <t>Còn cần thu (COD)</t>
  </si>
  <si>
    <t>Thời gian giao hàng</t>
  </si>
  <si>
    <t>Trạng thái</t>
  </si>
  <si>
    <t>Trạng thái giao hàng</t>
  </si>
  <si>
    <t>Mã hàng</t>
  </si>
  <si>
    <t>Mã vạch</t>
  </si>
  <si>
    <t>Tên hàng</t>
  </si>
  <si>
    <t>Thương hiệu</t>
  </si>
  <si>
    <t>ĐVT</t>
  </si>
  <si>
    <t>Lô</t>
  </si>
  <si>
    <t>Hạn sử dụng</t>
  </si>
  <si>
    <t>Ghi chú hàng hóa</t>
  </si>
  <si>
    <t>Số lượng</t>
  </si>
  <si>
    <t>Đơn giá</t>
  </si>
  <si>
    <t>Giảm giá %</t>
  </si>
  <si>
    <t>Giảm giá</t>
  </si>
  <si>
    <t>Giá bán</t>
  </si>
  <si>
    <t>Thành tiền</t>
  </si>
  <si>
    <t>Chi nhánh trung tâm</t>
  </si>
  <si>
    <t>HD046178</t>
  </si>
  <si>
    <t/>
  </si>
  <si>
    <t>DH020414</t>
  </si>
  <si>
    <t>KH001654</t>
  </si>
  <si>
    <t>Gia Nguyên</t>
  </si>
  <si>
    <t>0936656942</t>
  </si>
  <si>
    <t>Bảng giá chung</t>
  </si>
  <si>
    <t>nguyen123</t>
  </si>
  <si>
    <t>Bán trực tiếp</t>
  </si>
  <si>
    <t>Hoàn thành</t>
  </si>
  <si>
    <t>SP094030</t>
  </si>
  <si>
    <t>Inno Skin Recovery Peel - Hoạt chất tái tạo thay mới làn da 1x5ml (LỌ LẺ)</t>
  </si>
  <si>
    <t>Inno</t>
  </si>
  <si>
    <t>Hộp</t>
  </si>
  <si>
    <t>01072029</t>
  </si>
  <si>
    <t>HD046177</t>
  </si>
  <si>
    <t>KH001324</t>
  </si>
  <si>
    <t>Đỗ Thuỳ Linh</t>
  </si>
  <si>
    <t>linhngongo@gmail.com</t>
  </si>
  <si>
    <t>0943254397</t>
  </si>
  <si>
    <t>Căn 22.02 Hầm B2 
Chung cư 854 Tạ Quang Bửu, P5, Q8
0943254397 
hoặc 0766688288</t>
  </si>
  <si>
    <t>thuanadmin</t>
  </si>
  <si>
    <t>SP094013</t>
  </si>
  <si>
    <t>Tiền Ship + Phí Đóng hộp</t>
  </si>
  <si>
    <t>Khác</t>
  </si>
  <si>
    <t>BSN536</t>
  </si>
  <si>
    <t>SVR Sebiaclear Serum - Tinh Chất Giảm Mụn Làm Mờ Thâm Sạm Và Mềm Mịn Da 30ml</t>
  </si>
  <si>
    <t>SVR</t>
  </si>
  <si>
    <t>01112027</t>
  </si>
  <si>
    <t>HD046176</t>
  </si>
  <si>
    <t>26/12/2025 03:30</t>
  </si>
  <si>
    <t>DH020403</t>
  </si>
  <si>
    <t>KH001989</t>
  </si>
  <si>
    <t>Bs Phương Thảo Nghệ An</t>
  </si>
  <si>
    <t>0964420179</t>
  </si>
  <si>
    <t>Ngõ 10 Phan Bội Châu, phường Thành Vinh, Nghệ An.</t>
  </si>
  <si>
    <t>Đào</t>
  </si>
  <si>
    <t>BSN374</t>
  </si>
  <si>
    <t>Profhilo - Tiêm sinh học chống lão hóa CÔNG TY</t>
  </si>
  <si>
    <t>Profhilo</t>
  </si>
  <si>
    <t>01112026</t>
  </si>
  <si>
    <t>BSN248</t>
  </si>
  <si>
    <t>Karisma Rh Collagen</t>
  </si>
  <si>
    <t>Karisma</t>
  </si>
  <si>
    <t>HD046175</t>
  </si>
  <si>
    <t>KH001975</t>
  </si>
  <si>
    <t>Inno BS Thùy Nhân</t>
  </si>
  <si>
    <t>0965734506</t>
  </si>
  <si>
    <t>Hẻm 418/2B Lê Văn Quới ,phường Bình Hưng Hòa (đc trước sáp nhập  : 418/2B Lê Văn Quới , phường Bình Hưng Hòa A , quận Bình Tân)</t>
  </si>
  <si>
    <t>BSN225</t>
  </si>
  <si>
    <t>Inno Line 02 Caucasian Skin Day - Huyết thanh đặc trị nám ban ngày 30ml</t>
  </si>
  <si>
    <t>01072027</t>
  </si>
  <si>
    <t>HD046174</t>
  </si>
  <si>
    <t>KH000002</t>
  </si>
  <si>
    <t>Dao La</t>
  </si>
  <si>
    <t>0764358954</t>
  </si>
  <si>
    <t>Hồ Chí Minh - Huyện Hóc Môn</t>
  </si>
  <si>
    <t>Xã Trung Chánh</t>
  </si>
  <si>
    <t>BSN660</t>
  </si>
  <si>
    <t>Botox Nabota 100Units chính hãng Hàn quốc</t>
  </si>
  <si>
    <t>Thuốc</t>
  </si>
  <si>
    <t>23102027</t>
  </si>
  <si>
    <t>HD046173</t>
  </si>
  <si>
    <t>SP093996</t>
  </si>
  <si>
    <t>Inno Vitamin Complex - Hoạt chất bổ sung dinh dưỡng 4x5ml</t>
  </si>
  <si>
    <t>01052028</t>
  </si>
  <si>
    <t>SP094260</t>
  </si>
  <si>
    <t>Skinderma HA 1% 5X5ML</t>
  </si>
  <si>
    <t>Skinderma</t>
  </si>
  <si>
    <t>HD046172</t>
  </si>
  <si>
    <t>SP093962</t>
  </si>
  <si>
    <t>Purles 20 youth Revolution set</t>
  </si>
  <si>
    <t>Purles</t>
  </si>
  <si>
    <t>01032027</t>
  </si>
  <si>
    <t>BSN393</t>
  </si>
  <si>
    <t>Purles 140 Retinol Night Cream - Kem phục hồi, trẻ hóa da ban đêm 50ml</t>
  </si>
  <si>
    <t>01042028</t>
  </si>
  <si>
    <t>5902706291209</t>
  </si>
  <si>
    <t>Purles 120 restoring night PEEL-50ML</t>
  </si>
  <si>
    <t>01052027</t>
  </si>
  <si>
    <t>HD046171</t>
  </si>
  <si>
    <t>KH001318</t>
  </si>
  <si>
    <t>BS Trường Ân</t>
  </si>
  <si>
    <t>0933453581</t>
  </si>
  <si>
    <t>66 Huỳnh Tấn Phát, p Hiệp Ninh, tp Tây Ninh</t>
  </si>
  <si>
    <t>2 đơn</t>
  </si>
  <si>
    <t>BSN194</t>
  </si>
  <si>
    <t>Hyaestic BHA 2% Pore Refining - Tinh chất tẩy da chết hoá học 150ml</t>
  </si>
  <si>
    <t>Hyaestic</t>
  </si>
  <si>
    <t>01082027</t>
  </si>
  <si>
    <t>SP094209</t>
  </si>
  <si>
    <t>MD:Ceuticals MD:Tranex Retipeel Whitening Cream - Kem Dưỡng Trắng Da 50ml</t>
  </si>
  <si>
    <t>Md Ceuticals</t>
  </si>
  <si>
    <t>01042027</t>
  </si>
  <si>
    <t>HD046170</t>
  </si>
  <si>
    <t>KH001535</t>
  </si>
  <si>
    <t>Bs Phát</t>
  </si>
  <si>
    <t>0964274522</t>
  </si>
  <si>
    <t>621 Ba Đình - P9 - Q8 HCM</t>
  </si>
  <si>
    <t>Chung cư CitiEsto - Block B, Đường 33CL, Cát Lái
Sdt: 0799534554</t>
  </si>
  <si>
    <t>BSN667</t>
  </si>
  <si>
    <t>XÀ PHÒNG Y KHOA ATIDS 80G.</t>
  </si>
  <si>
    <t>01012027</t>
  </si>
  <si>
    <t>HD046169</t>
  </si>
  <si>
    <t>DH020402</t>
  </si>
  <si>
    <t>BSN140</t>
  </si>
  <si>
    <t>Ekseption Hyaluronic B5 Mixlab Serum – Tinh chất cấp ẩm phục hồi 75ml</t>
  </si>
  <si>
    <t>Ekseption</t>
  </si>
  <si>
    <t>SP094252</t>
  </si>
  <si>
    <t>JA hydra repairing cream - Kem dưỡng ẩm phục hồi 50ml</t>
  </si>
  <si>
    <t>JA</t>
  </si>
  <si>
    <t>01102028</t>
  </si>
  <si>
    <t>HD046168</t>
  </si>
  <si>
    <t>DH020405</t>
  </si>
  <si>
    <t>KH001021</t>
  </si>
  <si>
    <t>Khánh Hoà (Quảng Ngãi)</t>
  </si>
  <si>
    <t>0372570767</t>
  </si>
  <si>
    <t>trung tâm nhà thuốc da liễu thadina địa chỉ 305 hùng vương phường nghĩa lộ quảng ngãi</t>
  </si>
  <si>
    <t>chung đơn</t>
  </si>
  <si>
    <t>BSN410</t>
  </si>
  <si>
    <t>Pharmaform Enzyme Cleanser Gel - Sữa rửa mặt 150ml</t>
  </si>
  <si>
    <t>Pharmaform</t>
  </si>
  <si>
    <t>01062028</t>
  </si>
  <si>
    <t>BSN063</t>
  </si>
  <si>
    <t>Babe Depigment+ Intensive Serum - Tinh Chất Dưỡng Sáng Và Làm Mờ Vết Thâm Nám 30ml</t>
  </si>
  <si>
    <t>babe</t>
  </si>
  <si>
    <t>BSN504</t>
  </si>
  <si>
    <t>Măt nạ So Gook 10mask/hộp</t>
  </si>
  <si>
    <t>SoGook</t>
  </si>
  <si>
    <t>01022027</t>
  </si>
  <si>
    <t>BSN066</t>
  </si>
  <si>
    <t>Babe Stop AKN - gel dưỡng ẩm cho da dầu mụn 50ml (MÀU TRẮNG)</t>
  </si>
  <si>
    <t>01012028</t>
  </si>
  <si>
    <t>BSN411</t>
  </si>
  <si>
    <t>Pharmaform Hydra 5 Complete - Serum dưỡng da cấp ẩm 30ml</t>
  </si>
  <si>
    <t>01082028</t>
  </si>
  <si>
    <t>BSN460</t>
  </si>
  <si>
    <t>Rilastil Daily Care Rebalancing Astringent Toner - Nước cân bằng cho da dầu, hỗn hợp,da có mụn 200ml</t>
  </si>
  <si>
    <t>Rilastil</t>
  </si>
  <si>
    <t>01122029</t>
  </si>
  <si>
    <t>SP094029</t>
  </si>
  <si>
    <t>Fixderma Shadow SPF 50+ Cream - Kem Chống Nắng, Dưỡng Ẩm Cho Làn Da 75g</t>
  </si>
  <si>
    <t>Fixderma</t>
  </si>
  <si>
    <t>31052027</t>
  </si>
  <si>
    <t>BSN590</t>
  </si>
  <si>
    <t>Vichy Ideal Soleil Dry Touch SPF 50 - Kem Chống Nắng Thoáng Nhẹ Không Bóng Dầu SPF 50 50ml</t>
  </si>
  <si>
    <t>VICHY</t>
  </si>
  <si>
    <t>BSN183</t>
  </si>
  <si>
    <t>Histolab Hyaluron Complex Ampoule 62% - Serum dưỡng ẩm phục hồi 50ml</t>
  </si>
  <si>
    <t>Histolab</t>
  </si>
  <si>
    <t>01022028</t>
  </si>
  <si>
    <t>25032028</t>
  </si>
  <si>
    <t>BSN453</t>
  </si>
  <si>
    <t>Rilastil Aqua Intense Gel 72H - Kem cấp ẩM 72h 40ML</t>
  </si>
  <si>
    <t>01032029</t>
  </si>
  <si>
    <t>BSN349</t>
  </si>
  <si>
    <t>Obagi 360 Retinol 1.0 – Kem Dưỡng Trẻ Hóa Da 28g</t>
  </si>
  <si>
    <t>Obagi</t>
  </si>
  <si>
    <t>BSN520</t>
  </si>
  <si>
    <t>SVR PHYSIOPURE EAU MICELLAIRE NƯỚC TẨY TRANG DA NHẠY CẢM 400ML</t>
  </si>
  <si>
    <t>BSN537</t>
  </si>
  <si>
    <t>SVR Sebiaclear Gel Moussant – Gel Rửa Mặt Dành Cho Da Mụn 400ml</t>
  </si>
  <si>
    <t>01032028</t>
  </si>
  <si>
    <t>HD046167</t>
  </si>
  <si>
    <t>DH020407</t>
  </si>
  <si>
    <t>KH000344</t>
  </si>
  <si>
    <t>Miori Dr. Kath (Hồng Thư)</t>
  </si>
  <si>
    <t>0915540816</t>
  </si>
  <si>
    <t>280/18 Bùi Hữu Nghĩa, Phường 2, Bình Thạnh, HCM</t>
  </si>
  <si>
    <t>SP093959</t>
  </si>
  <si>
    <t>Revision Skincare Papaya Enzyme Cleanser - Sữa Rửa Mặt Dịu Nhẹ 198ml</t>
  </si>
  <si>
    <t>Revision</t>
  </si>
  <si>
    <t>HD046166</t>
  </si>
  <si>
    <t>DH020409</t>
  </si>
  <si>
    <t>Chung đơn</t>
  </si>
  <si>
    <t>BSN456</t>
  </si>
  <si>
    <t>RILASTIL ACNESTIL CREAM SPF 50+ - Kem chống nắng Da dầu mụn 40ml</t>
  </si>
  <si>
    <t>HD046165</t>
  </si>
  <si>
    <t>DH020410</t>
  </si>
  <si>
    <t>KH001850</t>
  </si>
  <si>
    <t>Hứa Thị Hiền</t>
  </si>
  <si>
    <t>0796907557</t>
  </si>
  <si>
    <t>Sân Vận động khối phố bình ninh phường điện nam bắc điện bàn quảng nam</t>
  </si>
  <si>
    <t>SP094152</t>
  </si>
  <si>
    <t>Postquam Pure T Zone Gel - Gel điều trị mụn nặng và kiểm soát dầu vùng chữ T 100ML (Q14)</t>
  </si>
  <si>
    <t>Postquam</t>
  </si>
  <si>
    <t>HD046164</t>
  </si>
  <si>
    <t>DH020412</t>
  </si>
  <si>
    <t>KH001691</t>
  </si>
  <si>
    <t>Kế Ngô</t>
  </si>
  <si>
    <t>0375742591</t>
  </si>
  <si>
    <t>249 bờ bao HTX Phong Phú ấp 5 xã Phong Phú huyện Bình Chánh TPHCM</t>
  </si>
  <si>
    <t>Book xe</t>
  </si>
  <si>
    <t>BSN123</t>
  </si>
  <si>
    <t>Cerave Moisturising Cream - Kem dưỡng ẩm dành cho da khô 340g CÔNG TY</t>
  </si>
  <si>
    <t>cerave</t>
  </si>
  <si>
    <t>02012028</t>
  </si>
  <si>
    <t>HD046163</t>
  </si>
  <si>
    <t>DH020404</t>
  </si>
  <si>
    <t>SP094254</t>
  </si>
  <si>
    <t>Page One Hydrating B5 - Tinh Chất Cấp Ẩm và Phục Hồi, Tái Tạo Da Sau Xâm Lấn 30ML</t>
  </si>
  <si>
    <t>PAGE ONE</t>
  </si>
  <si>
    <t>hộp</t>
  </si>
  <si>
    <t>01032026</t>
  </si>
  <si>
    <t>BSN597</t>
  </si>
  <si>
    <t>Wismin Cotton Seed Cicafence Toner - Toner 150ml</t>
  </si>
  <si>
    <t>Wismim</t>
  </si>
  <si>
    <t>01092026</t>
  </si>
  <si>
    <t>HD046161</t>
  </si>
  <si>
    <t>2 ĐƠN</t>
  </si>
  <si>
    <t>BSN463</t>
  </si>
  <si>
    <t>SRX Repair Ampoule - Tinh chất làm dịu da 50ml</t>
  </si>
  <si>
    <t>S.R.X</t>
  </si>
  <si>
    <t>12082028</t>
  </si>
  <si>
    <t>HD046160</t>
  </si>
  <si>
    <t>DH020406</t>
  </si>
  <si>
    <t>đã đi</t>
  </si>
  <si>
    <t>BSN419</t>
  </si>
  <si>
    <t>Radiance Beauva Tretinoin 0.05</t>
  </si>
  <si>
    <t>Radiance Beauva</t>
  </si>
  <si>
    <t>BSN416</t>
  </si>
  <si>
    <t>RADIANCE BEAUVA ARBUTIN C20 BRIGHTENING CREAM / KEM DƯỠNG LÀM SÁNG DA LÀM MỜ THÂM SẠM</t>
  </si>
  <si>
    <t>20072027</t>
  </si>
  <si>
    <t>HD046159</t>
  </si>
  <si>
    <t>DH020411</t>
  </si>
  <si>
    <t>SP093983</t>
  </si>
  <si>
    <t>Trị mụn trẻ hóa da Tretinoin USP Aret 0.05%</t>
  </si>
  <si>
    <t>01122027</t>
  </si>
  <si>
    <t>HD046158</t>
  </si>
  <si>
    <t>KH001176</t>
  </si>
  <si>
    <t>Hoàng Lý</t>
  </si>
  <si>
    <t>0767298168 (0372533688)</t>
  </si>
  <si>
    <t>32B Trần Quang Khải, Q1</t>
  </si>
  <si>
    <t>SP094146</t>
  </si>
  <si>
    <t>Xcelens Fragmyx Oxyx - Huyết thanh làm sáng, tái tạo da và ngăn lão hóa 5 lọ x 5ml</t>
  </si>
  <si>
    <t>Xcelens</t>
  </si>
  <si>
    <t>HD046157</t>
  </si>
  <si>
    <t>KH000445</t>
  </si>
  <si>
    <t>Chị Hoàng Hường</t>
  </si>
  <si>
    <t>0866906222</t>
  </si>
  <si>
    <t>Số nhà 17 ngõ 15 phương mai đống đa hà nội 0973989844</t>
  </si>
  <si>
    <t>SP094104</t>
  </si>
  <si>
    <t>Botox Allergan hàng CÔNG TY</t>
  </si>
  <si>
    <t>Allergan</t>
  </si>
  <si>
    <t>15062028</t>
  </si>
  <si>
    <t>HD046156</t>
  </si>
  <si>
    <t>DH020408</t>
  </si>
  <si>
    <t>Đã đi</t>
  </si>
  <si>
    <t>BSN482</t>
  </si>
  <si>
    <t>Sesderma Azelac Ru - Tinh chất làm mờ nám và trắng da 30ml</t>
  </si>
  <si>
    <t>Sesderma</t>
  </si>
  <si>
    <t>01072028</t>
  </si>
  <si>
    <t>BSN195</t>
  </si>
  <si>
    <t>Hyaestic Skin Fusion SF64 Sun And Pollution Protector SPF50+ - Kem chống nắng bảo vệ tối đa 50ml</t>
  </si>
  <si>
    <t>Hộp móp</t>
  </si>
  <si>
    <t>BSN265</t>
  </si>
  <si>
    <t>KR Lab B5 EGF Complex Mask - Mặt nạ dưỡng cung cấp độ ẩm cho da</t>
  </si>
  <si>
    <t>KR LAB</t>
  </si>
  <si>
    <t>01112028</t>
  </si>
  <si>
    <t>BSN501</t>
  </si>
  <si>
    <t>Smas Peptide Silk Mask 24h - Mặt nạ Smas</t>
  </si>
  <si>
    <t>SMAS</t>
  </si>
  <si>
    <t>16102028</t>
  </si>
  <si>
    <t>BSN368</t>
  </si>
  <si>
    <t>PostQuam Pure Matte Q13 - Kem Dưỡng Làm Dịu Da Và Giảm Thâm Mụn 50ML</t>
  </si>
  <si>
    <t>BSN007</t>
  </si>
  <si>
    <t>Acnemy Zitcontrol Treatment - Kem Dưỡng Ẩm Cho Da Dầu Và Da Mụn</t>
  </si>
  <si>
    <t>Acnemy</t>
  </si>
  <si>
    <t>01042029</t>
  </si>
  <si>
    <t>BSN009</t>
  </si>
  <si>
    <t>Acnemy Zitcontrol SPF 50 - Kem chống nắng ngừa mụn 40ml</t>
  </si>
  <si>
    <t>SP094236</t>
  </si>
  <si>
    <t>Acnemy Zit Calm - Serum Tinh Chất Giảm Đỏ, Làm Dịu Da 30ml</t>
  </si>
  <si>
    <t>01062029</t>
  </si>
  <si>
    <t>BSN447</t>
  </si>
  <si>
    <t>RILASTIL ACNESTIL PB SOOTHING SEBUM-NORMALISING GEL- Serum cấp ẩm dành cho da mụn 30ml</t>
  </si>
  <si>
    <t>BSN028</t>
  </si>
  <si>
    <t>AHOHWA Vitamin K - Kem trị đỏ da giản mao mạch 80ml</t>
  </si>
  <si>
    <t>AHOHWA</t>
  </si>
  <si>
    <t>SP094168</t>
  </si>
  <si>
    <t>Sensilis Azelaic [Peel] - Dung dịch mờ thâm dưỡng ẩm 100ml</t>
  </si>
  <si>
    <t>Sensilis</t>
  </si>
  <si>
    <t>01012030</t>
  </si>
  <si>
    <t>HD046155</t>
  </si>
  <si>
    <t>KH000438</t>
  </si>
  <si>
    <t>Chị Huê</t>
  </si>
  <si>
    <t>0969501726 ( KHO HCM SĐT 0963901390)</t>
  </si>
  <si>
    <t>Ngõ 4, ngách 35, nhà số 10 phương mai, đống đa, hà nội (Đ/C HCM:  80/3 đường số 5, KP6, Phường 17, Quận Gò Vấp, TP. HCM)</t>
  </si>
  <si>
    <t>BS HUÊ HCM</t>
  </si>
  <si>
    <t>SP094007</t>
  </si>
  <si>
    <t>Ducray Keracnyl PP+ Anti-Blemish - Kem giảm mụn mờ thâm, Kem dưỡng 30ml</t>
  </si>
  <si>
    <t>Ducray</t>
  </si>
  <si>
    <t>HD046154</t>
  </si>
  <si>
    <t>BS HUÊ HN, ĐÓNG KĨ</t>
  </si>
  <si>
    <t>HD046153</t>
  </si>
  <si>
    <t>KH001842</t>
  </si>
  <si>
    <t>Hoàng Vũ (Gò Vấp)</t>
  </si>
  <si>
    <t>0705500500</t>
  </si>
  <si>
    <t>Khu CH2 block P3 khu dân cư cityland park hill đường số 8 phường 10 gò vấp ạ</t>
  </si>
  <si>
    <t>BSN082</t>
  </si>
  <si>
    <t>Bioderma Cicabio Cream – Kem Dưỡng Phục Hồi Làn Da Bị Tổn Thương 40ml</t>
  </si>
  <si>
    <t>Bioderma</t>
  </si>
  <si>
    <t>HD046152</t>
  </si>
  <si>
    <t>DH020399</t>
  </si>
  <si>
    <t>BSN256</t>
  </si>
  <si>
    <t>Kim SHARP 34G tiêm Meso</t>
  </si>
  <si>
    <t>KIM</t>
  </si>
  <si>
    <t>HD046151</t>
  </si>
  <si>
    <t>DH020398</t>
  </si>
  <si>
    <t>BSN568</t>
  </si>
  <si>
    <t>TRANAXIC(Lọ Lẻ) Tinh chất Tranexamic acid 10% tiêm trị nám, trắng da</t>
  </si>
  <si>
    <t>Tranacix</t>
  </si>
  <si>
    <t>01092028</t>
  </si>
  <si>
    <t>HD046150</t>
  </si>
  <si>
    <t>DH020400</t>
  </si>
  <si>
    <t>KH001602</t>
  </si>
  <si>
    <t>Doan Kieu Tien</t>
  </si>
  <si>
    <t>thaonhan899@gmail.com</t>
  </si>
  <si>
    <t>0911221197</t>
  </si>
  <si>
    <t>Tiên 0911221197 185/38 Bà Hom phường 13 quận 6 tphcm</t>
  </si>
  <si>
    <t>Khách book xe</t>
  </si>
  <si>
    <t>BSN022</t>
  </si>
  <si>
    <t>AHOHWA First Solution BRIGHTENING TONE-UP CREAM - Mặt Nạ Ủ Trắng Dạng Kem 20g</t>
  </si>
  <si>
    <t>BSN543</t>
  </si>
  <si>
    <t>Teoxane RHA Micellar Solution – - Nước tẩy trang làm sạch 3 trong 1 400ml</t>
  </si>
  <si>
    <t>Teoxane</t>
  </si>
  <si>
    <t>04122027</t>
  </si>
  <si>
    <t>HD046149</t>
  </si>
  <si>
    <t>KH001603</t>
  </si>
  <si>
    <t>Hằng DMP</t>
  </si>
  <si>
    <t>HD046148</t>
  </si>
  <si>
    <t>DH020401</t>
  </si>
  <si>
    <t>KH001308</t>
  </si>
  <si>
    <t>Minh Luân</t>
  </si>
  <si>
    <t>Luutrongluan96@gmail.com</t>
  </si>
  <si>
    <t>0347047647</t>
  </si>
  <si>
    <t>Số 82,D18, Mỹ Phước 1, Bến Cát, Bình Dương</t>
  </si>
  <si>
    <t>1 nohalab 
Thôn kty1, xã chưkbô, krongbuk daklak
0986671545 hương</t>
  </si>
  <si>
    <t>BSN322</t>
  </si>
  <si>
    <t>Nohalab Recovery Of Hyal Gel - Tinh chất phục hồi da và dưỡng ẩm chuyên sâu 30ml</t>
  </si>
  <si>
    <t>Nohalab</t>
  </si>
  <si>
    <t>HD046147</t>
  </si>
  <si>
    <t>KH000835</t>
  </si>
  <si>
    <t>Tien Tran</t>
  </si>
  <si>
    <t>0708380878 ( SDT 0899090838)</t>
  </si>
  <si>
    <t>8A Sư Thiện Chiếu-Phường Võ Thị Sáu-Q.3 ( CS1 TÊN DA: Đ/C MỚI 8A Sư Thiện Chiếu -Phường Xuân Hoà là Doctor Acnes - SĐT: 0708380878  ) ( CS2:  TÊN PK MD 462/2 Nguyễn Tri Phương, p9,q10 - SĐT 0899090838)</t>
  </si>
  <si>
    <t>HD046146</t>
  </si>
  <si>
    <t>25/12/2025 10:43</t>
  </si>
  <si>
    <t>KH001241</t>
  </si>
  <si>
    <t>Tam Dinh</t>
  </si>
  <si>
    <t>dinhtam3007@gmail.com</t>
  </si>
  <si>
    <t>0988924252</t>
  </si>
  <si>
    <t>Vnvc bình dương,563 đại lộ Bình Dương,phường Hiệp Thành,Thủ Dầu Một,Bình Dương</t>
  </si>
  <si>
    <t>2 ĐƠN
e gửi về đc :293/21/30 Huỳnh Văn Lũy, Khu 6  Phường  Phú Lợi, THủ Dầu Một , Bình Dương</t>
  </si>
  <si>
    <t>BSN540</t>
  </si>
  <si>
    <t>Tenamyd Aqua Sun Serum SPF50 - Kem chống nắng dạng nước</t>
  </si>
  <si>
    <t>Tenamyd</t>
  </si>
  <si>
    <t>01032030</t>
  </si>
  <si>
    <t>BSN134</t>
  </si>
  <si>
    <t>Cystine Plus - Viên uống giảm mụn, ngăn rụng tóc và giảm sắc tố</t>
  </si>
  <si>
    <t>Cystine Plus</t>
  </si>
  <si>
    <t>BSN080</t>
  </si>
  <si>
    <t>Bioderma Sebium H20 - Nước Tẩy Trang Dành Cho Da Nhờn Và Da Mụn 500ml</t>
  </si>
  <si>
    <t>HD046145.01</t>
  </si>
  <si>
    <t>e gửi về đc :293/21/30 Huỳnh Văn Lũy, Khu 6  Phường  Phú Lợi, THủ Dầu Một , Bình Dương
2 ĐƠN ĐỔI VỀ ĐỊA CHỈ NÀY</t>
  </si>
  <si>
    <t>SP094094</t>
  </si>
  <si>
    <t>Soskin Clarifying Cream - Kem Dưỡng Trắng Da (50ml)</t>
  </si>
  <si>
    <t>Soskin</t>
  </si>
  <si>
    <t>01102027</t>
  </si>
  <si>
    <t>BSN109</t>
  </si>
  <si>
    <t>Botulax 100 UI thon gọn hàm, xoá nhăn</t>
  </si>
  <si>
    <t>Botox</t>
  </si>
  <si>
    <t>BSN310</t>
  </si>
  <si>
    <t>Minoxidil 5% - Thuốc thúc đẩy mọc tóc 60ml</t>
  </si>
  <si>
    <t>Minoxidil</t>
  </si>
  <si>
    <t>HD046144</t>
  </si>
  <si>
    <t>KH001222</t>
  </si>
  <si>
    <t>BS Song Thảo</t>
  </si>
  <si>
    <t>0919048666</t>
  </si>
  <si>
    <t>353C Nguyễn Trọng Tuyển. Quận Tân Bình</t>
  </si>
  <si>
    <t>Gửi qua 265 lê trọng tấn, phường Sơn Kỳ, tân phú</t>
  </si>
  <si>
    <t>BSN335</t>
  </si>
  <si>
    <t>NucleoSkin 1x3ml</t>
  </si>
  <si>
    <t>NucleoSkin</t>
  </si>
  <si>
    <t>SP094243</t>
  </si>
  <si>
    <t>Kem trị thâm mụn Bayer Skinoren 30g</t>
  </si>
  <si>
    <t>BSN624</t>
  </si>
  <si>
    <t>Kim 34G Sirius KIM LẺ</t>
  </si>
  <si>
    <t>HD046143</t>
  </si>
  <si>
    <t>KH000258</t>
  </si>
  <si>
    <t>Anh Nam đẹp trai</t>
  </si>
  <si>
    <t>0368924818</t>
  </si>
  <si>
    <t>82/17a vũ tùng</t>
  </si>
  <si>
    <t>Hồ Chí Minh - Quận Gò Vấp</t>
  </si>
  <si>
    <t>Phường 12</t>
  </si>
  <si>
    <t>NGÀY 17/12 BSN LẤY LM KHÁCH C HẰNG</t>
  </si>
  <si>
    <t>HD046142</t>
  </si>
  <si>
    <t>DH020396</t>
  </si>
  <si>
    <t>KH001436</t>
  </si>
  <si>
    <t>Anh Thư</t>
  </si>
  <si>
    <t>athu161099@gmail.com</t>
  </si>
  <si>
    <t>0827808805</t>
  </si>
  <si>
    <t>85 Trương Định , TP Hồng Ngự , Đồng Tháp</t>
  </si>
  <si>
    <t>BSN342</t>
  </si>
  <si>
    <t>Obagi Tretinoin Cream 0.05% – Kem Trị Mụn, Chống Lão Hóa Da 20g XÁCH TAY</t>
  </si>
  <si>
    <t>SP094025</t>
  </si>
  <si>
    <t>Obagi Tretinoin Cream 0.1% – Kem Trị Mụn, Chống Lão Hóa Da 20g XÁCH TAY</t>
  </si>
  <si>
    <t>HD046141</t>
  </si>
  <si>
    <t>KH001290</t>
  </si>
  <si>
    <t>Bs Sương</t>
  </si>
  <si>
    <t>Ngocsuong.dr@gmail.com</t>
  </si>
  <si>
    <t>0964014365</t>
  </si>
  <si>
    <t>29/18 Nguyễn Gia Trí, Phường 25, Bình Thạnh, HCM 
(gần cuối hẻm, phía cổng sau ĐH công nghệ)</t>
  </si>
  <si>
    <t>HD046140</t>
  </si>
  <si>
    <t>SP093970</t>
  </si>
  <si>
    <t>Tê Mi Cain hủ lớn 500g</t>
  </si>
  <si>
    <t>21012028</t>
  </si>
  <si>
    <t>BSN144</t>
  </si>
  <si>
    <t>Elasty D Plus - chất làm đầy vùng trung 1cc/1 hộp</t>
  </si>
  <si>
    <t>Elasty</t>
  </si>
  <si>
    <t>BSN145</t>
  </si>
  <si>
    <t>Elasty Grand G - Chất làm đầy vùng cứng 1cc/1 hộp</t>
  </si>
  <si>
    <t>17092027</t>
  </si>
  <si>
    <t>HD046139</t>
  </si>
  <si>
    <t>KH001073</t>
  </si>
  <si>
    <t>Phương Thảo (Q11)</t>
  </si>
  <si>
    <t>090 7473861</t>
  </si>
  <si>
    <t>341/15C Lạc Long Quân p5q11</t>
  </si>
  <si>
    <t>Dạ số 52 đường số 2 cư xá bình thới p8 q11
0973508388</t>
  </si>
  <si>
    <t>BSN051</t>
  </si>
  <si>
    <t>Tretinoin trị mụn và chống lão hóa Gel USP Aret 0.1%</t>
  </si>
  <si>
    <t>Aret</t>
  </si>
  <si>
    <t>HD046138</t>
  </si>
  <si>
    <t>KH001529</t>
  </si>
  <si>
    <t>Bs Thanh Hương (Hà Nội)</t>
  </si>
  <si>
    <t>0914868226 (0357905846)</t>
  </si>
  <si>
    <t>Số 22 ngách 20 ngõ 210 Hoàng Quốc Việt
HN</t>
  </si>
  <si>
    <t>ĐƠN NGÀY 24/12</t>
  </si>
  <si>
    <t>BSN233</t>
  </si>
  <si>
    <t>Inno Skin Repair - Huyết thanh sữa chữa phục hồi da 60g</t>
  </si>
  <si>
    <t>01052030</t>
  </si>
  <si>
    <t>SP094251</t>
  </si>
  <si>
    <t>Inno 02 Intimate - Hoạt chất điều trị vùng thâm nhạy cảm 20ml</t>
  </si>
  <si>
    <t>SP094124</t>
  </si>
  <si>
    <t>Inno 01 Line Intimate - Hoạt chất điều trị thâm vùng nhạy cảm 6x2ml</t>
  </si>
  <si>
    <t>HD046137</t>
  </si>
  <si>
    <t>ĐƠN NGÀY 18/12</t>
  </si>
  <si>
    <t>BSN232</t>
  </si>
  <si>
    <t>Inno TIGF EGF Line Meso Therapy - Hoạt chất kích thích tăng trưởng 10ml</t>
  </si>
  <si>
    <t>SP093976</t>
  </si>
  <si>
    <t>Inno TCAge Peel - Hoạt chất tái tạo điều trị sẹo rỗ, lỗ chân lông to, rạn da 5x5ml</t>
  </si>
  <si>
    <t>01072030</t>
  </si>
  <si>
    <t>BSN228</t>
  </si>
  <si>
    <t>Inno Skin Recovery Peel - Hoạt chất tái tạo thay mới làn da 5x5ml</t>
  </si>
  <si>
    <t>BSN394</t>
  </si>
  <si>
    <t>Purles 139 HydraCalm Cream Gel Clinical Repair Care - Kem điều trị chống kích ứng và sau điều trị Laser 50ml</t>
  </si>
  <si>
    <t>BSN221</t>
  </si>
  <si>
    <t>Inno AKN ID - Hoạt chất điều trị cho da dầu, mụn 4x2,5ml</t>
  </si>
  <si>
    <t>SP094197</t>
  </si>
  <si>
    <t>Maystar Cleansing Gel oil Balance Care - Gel rửa mặt cho da mụn 100ml</t>
  </si>
  <si>
    <t>Maystar</t>
  </si>
  <si>
    <t>BSN231</t>
  </si>
  <si>
    <t>Inno DNA PDRN+HA - Hoạt chất phục hồi trẻ hóa, tái sinh làn da 4x2.5ml</t>
  </si>
  <si>
    <t>HD046136</t>
  </si>
  <si>
    <t>DH020397</t>
  </si>
  <si>
    <t>KH001879</t>
  </si>
  <si>
    <t>BS Tran Thanh Mai</t>
  </si>
  <si>
    <t>Mai.therabbit@gmail.com</t>
  </si>
  <si>
    <t>0779122754</t>
  </si>
  <si>
    <t>26 hoàng dư khương f12 q 10</t>
  </si>
  <si>
    <t>BSN372</t>
  </si>
  <si>
    <t>Profhilo Structura Tinh chất tiêm trẻ hóa da, săn chắc da 2ml</t>
  </si>
  <si>
    <t>HD046135</t>
  </si>
  <si>
    <t>KH001557</t>
  </si>
  <si>
    <t>Hoài Nhi</t>
  </si>
  <si>
    <t>0362992844</t>
  </si>
  <si>
    <t>12/4 Đường số 45, p Hiệp Bình Chánh, Q. Thủ Đức</t>
  </si>
  <si>
    <t>SP094040</t>
  </si>
  <si>
    <t>Botox xeomin XÁCH TAY</t>
  </si>
  <si>
    <t>28022029</t>
  </si>
  <si>
    <t>HD046134</t>
  </si>
  <si>
    <t>DH020394</t>
  </si>
  <si>
    <t>KH001093</t>
  </si>
  <si>
    <t>BS Anh</t>
  </si>
  <si>
    <t>0909609117</t>
  </si>
  <si>
    <t>1063 Đ. Cách Mạng Tháng 8, Chánh Nghĩa, Thủ Dầu Một, Bình Dương  Sdt: 0909 609 117</t>
  </si>
  <si>
    <t>882 Cách mạng tháng 8, P.Chánh Nghĩa, HCM.</t>
  </si>
  <si>
    <t>BSN481</t>
  </si>
  <si>
    <t>Sensilis WATER FLUID 50+ - Sữa chống nắng mỏng nhẹ bảo vệ cao, dưỡng ẩm và làm dịu 40ml</t>
  </si>
  <si>
    <t>HD046133</t>
  </si>
  <si>
    <t>KH001101</t>
  </si>
  <si>
    <t>Bs Đức Ngọc</t>
  </si>
  <si>
    <t>0985576513</t>
  </si>
  <si>
    <t>Dragon 2C, Topaz elite, Tạ Quang Bửu, phường 4, Quận 8, HCM</t>
  </si>
  <si>
    <t>SP094123</t>
  </si>
  <si>
    <t>Purles 65 - 30ml</t>
  </si>
  <si>
    <t>HD046132</t>
  </si>
  <si>
    <t>KH001892</t>
  </si>
  <si>
    <t>Phương Linh Aven</t>
  </si>
  <si>
    <t>BSN018</t>
  </si>
  <si>
    <t>A-Derma Epitheliale A.H Ultra Soothing Repairing Cream - Làm Dịu, Giảm Sẹo &amp; Phục Hồi Thương Tổn 40ml</t>
  </si>
  <si>
    <t>A-Derma</t>
  </si>
  <si>
    <t>HD046130</t>
  </si>
  <si>
    <t>KH001710</t>
  </si>
  <si>
    <t>Chị Thu Kho TC Nghi Tàm</t>
  </si>
  <si>
    <t>0388181309</t>
  </si>
  <si>
    <t>Nhà 38 hẻm 119 ngách 50 ngõ 310 nghi tàm tây hồ Hn</t>
  </si>
  <si>
    <t>SP094134</t>
  </si>
  <si>
    <t>HD046129</t>
  </si>
  <si>
    <t>DH020391</t>
  </si>
  <si>
    <t>KH001512</t>
  </si>
  <si>
    <t>Chị Yến (zalo Dã Quỳ)</t>
  </si>
  <si>
    <t>0383910395</t>
  </si>
  <si>
    <t>38 đường 30/4, tổ dân phố 2D,Thị Trấn Đạ Tẻh, Huyện Đạ Huoai, Lâm Đồng</t>
  </si>
  <si>
    <t>Gửi dùm chị địa chỉ này
Yến
Đc: 514 đường 30/4, khu phố 4B, xã Đateh, Lâm Đồng
Sdt: 0383910395</t>
  </si>
  <si>
    <t>BSN052</t>
  </si>
  <si>
    <t>Exosomes ASCE derm Signal Kit SRLV - Tiêm mặt set</t>
  </si>
  <si>
    <t>ASCE</t>
  </si>
  <si>
    <t>13102027</t>
  </si>
  <si>
    <t>SP093991</t>
  </si>
  <si>
    <t>Jalupro Young Eye - Dung dịch tiêm trẻ hóa da mắt</t>
  </si>
  <si>
    <t>JALUPRO</t>
  </si>
  <si>
    <t>BSN425</t>
  </si>
  <si>
    <t>Rejuran Eye - Trẻ hóa vùng mắt 1x1ml</t>
  </si>
  <si>
    <t>Rejuran</t>
  </si>
  <si>
    <t>HD046128</t>
  </si>
  <si>
    <t>KH001988</t>
  </si>
  <si>
    <t>Bảo Linh</t>
  </si>
  <si>
    <t>0985938777</t>
  </si>
  <si>
    <t>park 7 vinhomes tân cảng 720 điện biên phủ</t>
  </si>
  <si>
    <t>SP094250</t>
  </si>
  <si>
    <t>Sensilis Barrier - Kem dưỡng phục hồi 50ml</t>
  </si>
  <si>
    <t>01062030</t>
  </si>
  <si>
    <t>HD046127</t>
  </si>
  <si>
    <t>DH020387</t>
  </si>
  <si>
    <t>BSN599</t>
  </si>
  <si>
    <t>Xcelens Genyalift – Skin Booster thu nhỏ lỗ chân lông, trẻ hóa, tăng sinh collagen</t>
  </si>
  <si>
    <t>19022028</t>
  </si>
  <si>
    <t>BSN512</t>
  </si>
  <si>
    <t>SRS Body Fit Corporel - Dung dịch tiêm tan mỡ thừa 1x5ml LỌ LẺ</t>
  </si>
  <si>
    <t>SRS</t>
  </si>
  <si>
    <t>HD046126</t>
  </si>
  <si>
    <t>DH020393</t>
  </si>
  <si>
    <t>KH000834</t>
  </si>
  <si>
    <t>Bs Oanh</t>
  </si>
  <si>
    <t>0971995333</t>
  </si>
  <si>
    <t>39/2a hoàng dư khương</t>
  </si>
  <si>
    <t>book xe</t>
  </si>
  <si>
    <t>HD046125</t>
  </si>
  <si>
    <t>KH001022</t>
  </si>
  <si>
    <t>Chị Thu Hương</t>
  </si>
  <si>
    <t>Tranhuong7689@gmail.com</t>
  </si>
  <si>
    <t>0989107589</t>
  </si>
  <si>
    <t>HƯƠNG TRẦN SHOP
126 Yết Kiêu - Minh Tân - Kinh Môn - HD</t>
  </si>
  <si>
    <t>SP094119</t>
  </si>
  <si>
    <t>LINERASE COLLAGEN HA LỌ LẺ</t>
  </si>
  <si>
    <t>LINERASE</t>
  </si>
  <si>
    <t>SP094083</t>
  </si>
  <si>
    <t>LINERASE COLLAGEN - PHỤC HỒI VÀ TÁI TẠO THẾ HỆ MỚI</t>
  </si>
  <si>
    <t>SP094249</t>
  </si>
  <si>
    <t>Save B32</t>
  </si>
  <si>
    <t>Save B32SP</t>
  </si>
  <si>
    <t>08112028</t>
  </si>
  <si>
    <t>HD046124</t>
  </si>
  <si>
    <t>KH000903</t>
  </si>
  <si>
    <t>Chị Khê (Zalo Ruby Lương)</t>
  </si>
  <si>
    <t>luongtmk@gmail.com</t>
  </si>
  <si>
    <t>0962776241</t>
  </si>
  <si>
    <t>Địa chỉ : 60 nguyễn văn giáp, Bình Trưng Đông, q2</t>
  </si>
  <si>
    <t>SP094248</t>
  </si>
  <si>
    <t>Rilastil acnestil attiva+ anti blemish and anti-marsk care kem hỗ trợ giảm mụn 8H &amp; giảm thâm mụn 40ml</t>
  </si>
  <si>
    <t>SP094247</t>
  </si>
  <si>
    <t>Rilastil Xerolact PB Balm Lipid Replenishing Anti Irrtiation - Kem cấp ẩm chống mẫn ngứa 400ml</t>
  </si>
  <si>
    <t>HD046123</t>
  </si>
  <si>
    <t>DH020368</t>
  </si>
  <si>
    <t>Khách lẻ</t>
  </si>
  <si>
    <t>1- serum bioderma 
Trung tâm tiêm chủng vnvc diễn châu Khối 3 thị trấn diễn châu nghệ an 
Long Phan 0869532429</t>
  </si>
  <si>
    <t>SP094234</t>
  </si>
  <si>
    <t>Bioderma SENSIBIO DEFENSIVE SERUM - Tinh chất làm dịu Dành Cho Da Nhạy Cảm 30ml</t>
  </si>
  <si>
    <t>30062027</t>
  </si>
  <si>
    <t>HD046122</t>
  </si>
  <si>
    <t>KH001647</t>
  </si>
  <si>
    <t>Chị Thủy HN</t>
  </si>
  <si>
    <t>0961341600</t>
  </si>
  <si>
    <t>No32lk26 khu đất dịch vụ hà trì, hà đông</t>
  </si>
  <si>
    <t>BSN224</t>
  </si>
  <si>
    <t>Inno Redness ID Meso - Hoạt chất điều trị mụn trứng cá da nhạy cảm 4x2.5ml</t>
  </si>
  <si>
    <t>HD046121</t>
  </si>
  <si>
    <t>KH000011</t>
  </si>
  <si>
    <t>A Sinh</t>
  </si>
  <si>
    <t>0963974741</t>
  </si>
  <si>
    <t>220/74 Hoàng Hoa Thám, P5, Bình Thạnh</t>
  </si>
  <si>
    <t>Hồ Chí Minh - Quận Bình Thạnh</t>
  </si>
  <si>
    <t>BSN341</t>
  </si>
  <si>
    <t>Obagi Clenziderm M.D. Pore Therapy - Dung Dịch Đặc Trị Mụn, Giảm Nhờn 148ml MẪU MỚI</t>
  </si>
  <si>
    <t>29092028</t>
  </si>
  <si>
    <t>HD046120</t>
  </si>
  <si>
    <t>BSN012</t>
  </si>
  <si>
    <t>Dapsone And Adapalene Acnedap Plus - Gel Ngừa Mụn Trứng Cá 15g</t>
  </si>
  <si>
    <t>Adapalene</t>
  </si>
  <si>
    <t>HD046119</t>
  </si>
  <si>
    <t>BSN421</t>
  </si>
  <si>
    <t>Radiance Beauva K Creamide - Kem phục hồi 50ml</t>
  </si>
  <si>
    <t>BSN562</t>
  </si>
  <si>
    <t>Acnedap Dapsone Gel IP 5% - Gel ngừa mụn trứng cá15g XANH LÁ</t>
  </si>
  <si>
    <t>HD046118</t>
  </si>
  <si>
    <t>KH001909</t>
  </si>
  <si>
    <t>Chị Thanh Loan Aileene</t>
  </si>
  <si>
    <t>BSN038</t>
  </si>
  <si>
    <t>Aileene VOL 2 - Chất làm đầy vùng trung 2ml/hộp</t>
  </si>
  <si>
    <t>Aileene</t>
  </si>
  <si>
    <t>09072028</t>
  </si>
  <si>
    <t>HD046117</t>
  </si>
  <si>
    <t>SP094246</t>
  </si>
  <si>
    <t>SkinCeuticals Silymarin C F – Tinh chất làm sáng da 30ml</t>
  </si>
  <si>
    <t>SkinCeuticals</t>
  </si>
  <si>
    <t>01122026</t>
  </si>
  <si>
    <t>SP093987</t>
  </si>
  <si>
    <t>SkinCeuticals Serum H.A Intensifier Multi Glycan - Serum giúp da căng bóng 30ml (Mẫu Mới)</t>
  </si>
  <si>
    <t>HD046116</t>
  </si>
  <si>
    <t>25/12/2025 02:18</t>
  </si>
  <si>
    <t>HD046115</t>
  </si>
  <si>
    <t>SP094245</t>
  </si>
  <si>
    <t>Histolab 63% egf complex ampoule 150ml</t>
  </si>
  <si>
    <t>24022028</t>
  </si>
  <si>
    <t>BSN184</t>
  </si>
  <si>
    <t>HISTOLAB 47% VITA C COMPLEX AMPOULE DERMA SCIENCE - TINH CHẤT DƯỠNG TRẮNG, MỜ THÂM, SE LỖ CHÂN LÔNG 50ml</t>
  </si>
  <si>
    <t>SP094244</t>
  </si>
  <si>
    <t>HISTOLAB 47% VITA C COMPLEX AMPOULE DERMA SCIENCE - TINH CHẤT DƯỠNG TRẮNG, MỜ THÂM, SE LỖ CHÂN LÔNG 150ml</t>
  </si>
  <si>
    <t>24032028</t>
  </si>
  <si>
    <t>HD046114</t>
  </si>
  <si>
    <t>KH000894</t>
  </si>
  <si>
    <t>Kim Kha</t>
  </si>
  <si>
    <t>0386061274</t>
  </si>
  <si>
    <t>4b Lê Quý Đôn, p Võ Thị Sáu, Q3</t>
  </si>
  <si>
    <t>BSN155</t>
  </si>
  <si>
    <t>Floslek Anti Acne Face Cleansing Gel - Sữa Rửa Mặt Dạng Gel Cho Da Nhờn Mụn 125ml (MẪU MỚI)</t>
  </si>
  <si>
    <t>Floslek</t>
  </si>
  <si>
    <t>BSN287</t>
  </si>
  <si>
    <t>LaCabine 2% Prebiotic Complex - Huyết thanh phục hồi hàng rào vi sinh 30ml</t>
  </si>
  <si>
    <t>laCabine</t>
  </si>
  <si>
    <t>HD046113</t>
  </si>
  <si>
    <t>DH020392</t>
  </si>
  <si>
    <t>Khách ghé lấy</t>
  </si>
  <si>
    <t>BSN451</t>
  </si>
  <si>
    <t>Rilastil acnetil Micropeeling - Dung dịch tẩy tế bào chết cho da mụn 100ml</t>
  </si>
  <si>
    <t>HD046112</t>
  </si>
  <si>
    <t>SP094108</t>
  </si>
  <si>
    <t>Q33 Postquam Balancing Complex For Oily Skin - Huyết thanh giúp giảm mụn &amp; se khít lỗ chân lông 3mlx12</t>
  </si>
  <si>
    <t>01092027</t>
  </si>
  <si>
    <t>HD046111</t>
  </si>
  <si>
    <t>DH020385</t>
  </si>
  <si>
    <t>Mai gửi a 1 hộp q33,
2 ống peel radiance Beuva</t>
  </si>
  <si>
    <t>SP094082</t>
  </si>
  <si>
    <t>Oh oh Daily Nia23 Advanced Correcting Serum - Tinh chất 23% Niacinamide sáng da giảm thâm nám 30ml</t>
  </si>
  <si>
    <t>Oh oh</t>
  </si>
  <si>
    <t>30012028</t>
  </si>
  <si>
    <t>BSN418</t>
  </si>
  <si>
    <t>Radiance Beauva Mela Retinoic Pro - Trị Nam sáng da 1 ống</t>
  </si>
  <si>
    <t>HD046110</t>
  </si>
  <si>
    <t>KH000272</t>
  </si>
  <si>
    <t>Bs Nguyên (0395673486)</t>
  </si>
  <si>
    <t>0977359650</t>
  </si>
  <si>
    <t>88 Dương Bá Trạc, Hòa Cường Nam, Hải Châu, Đà Nẵng</t>
  </si>
  <si>
    <t>HD046109</t>
  </si>
  <si>
    <t>DH020388</t>
  </si>
  <si>
    <t>KH000229</t>
  </si>
  <si>
    <t>Nguyễn Quỳnh Thi</t>
  </si>
  <si>
    <t>0937004311</t>
  </si>
  <si>
    <t>Hẻm 1734 Lê Văn Lương Ấp 3, Xã Nhơn Đức, nhà bè (cầu Rạch Tôm)</t>
  </si>
  <si>
    <t>Hồ Chí Minh - Huyện Nhà Bè</t>
  </si>
  <si>
    <t>Xã Nhơn Đức</t>
  </si>
  <si>
    <t>Ship giùm c 2 tube kem dưỡng kinetin obagi qua pk nha</t>
  </si>
  <si>
    <t>BSN348</t>
  </si>
  <si>
    <t>Obagi Clinical Hydrating + Kinetin Cream – Kem Dưỡng Phục Hồi Làm Dịu Da 50ml</t>
  </si>
  <si>
    <t>29072027</t>
  </si>
  <si>
    <t>HD046108</t>
  </si>
  <si>
    <t>24/12/2025 13:57</t>
  </si>
  <si>
    <t>2 ĐƠN GHTK</t>
  </si>
  <si>
    <t>BSN440</t>
  </si>
  <si>
    <t>Rilastil Acnestil Attiva - Kem kiềm dầu 40ml</t>
  </si>
  <si>
    <t>HD046107</t>
  </si>
  <si>
    <t>BSN656</t>
  </si>
  <si>
    <t>ExoCode Radiance R - làm sáng đều màu da ( Đen Trắng / Tách lẻ )</t>
  </si>
  <si>
    <t>ExoCode</t>
  </si>
  <si>
    <t>26082027</t>
  </si>
  <si>
    <t>BSN139</t>
  </si>
  <si>
    <t>Ejal 40 Hyaluronic Acid Skin booster - Tiêm trẻ hóa 40mg/2ml</t>
  </si>
  <si>
    <t>Ejal</t>
  </si>
  <si>
    <t>HD046106</t>
  </si>
  <si>
    <t>ĐÓNG KĨ TAO MÃ 2 CHIỀU THU HỒI HÀNG</t>
  </si>
  <si>
    <t>SP094241</t>
  </si>
  <si>
    <t>Honest organic cosmetic like a rose - Kem dưỡng da và cấp ẩm 20ml</t>
  </si>
  <si>
    <t>Honest</t>
  </si>
  <si>
    <t>09062028</t>
  </si>
  <si>
    <t>BSN371</t>
  </si>
  <si>
    <t>Postquam Hair Loss Control Shampoo Q76 Dầu gội ngăn ngừa tóc gãy rụng</t>
  </si>
  <si>
    <t>SP093980</t>
  </si>
  <si>
    <t>PostQuam Therapy Hair Loss Control Lotion Q77 - Lotion Phục Hồi Và Giảm Tóc Gãy Rụng, Hỗ Trợ Mọc Tóc</t>
  </si>
  <si>
    <t>HD046105</t>
  </si>
  <si>
    <t>KH001200</t>
  </si>
  <si>
    <t>Thanh Trường</t>
  </si>
  <si>
    <t>BSN099</t>
  </si>
  <si>
    <t>BIOTRADE ACNAUT SOAP - Xà Phòng Điều trị mụn</t>
  </si>
  <si>
    <t>BIOTRADE</t>
  </si>
  <si>
    <t>BSN094</t>
  </si>
  <si>
    <t>BIOTRADE ACNAUT ACTIVE CREAM -KEM CHẤM MỤN 15ml</t>
  </si>
  <si>
    <t>30082029</t>
  </si>
  <si>
    <t>HD046104</t>
  </si>
  <si>
    <t>BSN502</t>
  </si>
  <si>
    <t>Smas HA - Serum dưỡng ẩm sáng da 100ml</t>
  </si>
  <si>
    <t>BSN133</t>
  </si>
  <si>
    <t>Cyntra NanoMD Advanced Pigment Corrector - Kem làm sáng da, ức chế sắc tố melanin, hỗ trợ điều trị thâm, sạm, nám da 20ml</t>
  </si>
  <si>
    <t>Cyntra</t>
  </si>
  <si>
    <t>HD046103</t>
  </si>
  <si>
    <t>DH020389</t>
  </si>
  <si>
    <t>BSN428</t>
  </si>
  <si>
    <t>Restylane Vital Light</t>
  </si>
  <si>
    <t>Restylane</t>
  </si>
  <si>
    <t>30042027</t>
  </si>
  <si>
    <t>HD046102</t>
  </si>
  <si>
    <t>HD046100</t>
  </si>
  <si>
    <t>DH020386</t>
  </si>
  <si>
    <t>KH000017</t>
  </si>
  <si>
    <t>Cẩm Tú</t>
  </si>
  <si>
    <t>0944236826</t>
  </si>
  <si>
    <t>354/66b phan văn trị p11 quận bình thạnh</t>
  </si>
  <si>
    <t>Lấy e 2 botox nabota + 2 neuramis trung nha a/c
3 phạm ngũ lão p.buôn ma thuột tỉnh đắk lắk</t>
  </si>
  <si>
    <t>HD046099</t>
  </si>
  <si>
    <t>DH020384</t>
  </si>
  <si>
    <t>KH001734</t>
  </si>
  <si>
    <t>Bảo Duyên</t>
  </si>
  <si>
    <t>0333047784</t>
  </si>
  <si>
    <t>136 Lê Lai, quận 1</t>
  </si>
  <si>
    <t>Hồ Chí Minh - Quận 1</t>
  </si>
  <si>
    <t>Phường Phạm Ngũ Lão</t>
  </si>
  <si>
    <t>BSN573</t>
  </si>
  <si>
    <t>URIAGE BARIÉDERM-CICA DAILY GEL-CREAM - Kem làm dịu phục hồi da tổn thương hằng ngày 40ml</t>
  </si>
  <si>
    <t>Uriage</t>
  </si>
  <si>
    <t>HD046098</t>
  </si>
  <si>
    <t>BSN227</t>
  </si>
  <si>
    <t>Inno Lightening A - Peel tái tạo màu da, điều trị thâm mụn 15g</t>
  </si>
  <si>
    <t>BSN217</t>
  </si>
  <si>
    <t>Inno Line 02 Caucasian Skin Night - kem dặc trị nám phân giải sắc tố ban đêm 30g MẪU MỚI</t>
  </si>
  <si>
    <t>01062027</t>
  </si>
  <si>
    <t>SP094240</t>
  </si>
  <si>
    <t>INNO BI-DENS 2.5 - Trẻ hoá săn chắc da 1x2ml</t>
  </si>
  <si>
    <t>HD046097</t>
  </si>
  <si>
    <t>KH001771</t>
  </si>
  <si>
    <t>Quyên Tuyến</t>
  </si>
  <si>
    <t>0355539546</t>
  </si>
  <si>
    <t>BSN650</t>
  </si>
  <si>
    <t>Thuế VAT</t>
  </si>
  <si>
    <t>HD046096</t>
  </si>
  <si>
    <t>BSN159</t>
  </si>
  <si>
    <t>Lọ lẻ : Fusion Meso Matrix tiêm sẹo rỗ</t>
  </si>
  <si>
    <t>FUSION</t>
  </si>
  <si>
    <t>01042030</t>
  </si>
  <si>
    <t>HD046095</t>
  </si>
  <si>
    <t>HD046094</t>
  </si>
  <si>
    <t>KH000532</t>
  </si>
  <si>
    <t>Chị Vân Green</t>
  </si>
  <si>
    <t>BSN292</t>
  </si>
  <si>
    <t>Lisanolona Triamcinolone Acetonide - Tiêm sẹo 5x2ml</t>
  </si>
  <si>
    <t>Lisanolona</t>
  </si>
  <si>
    <t>HD046093</t>
  </si>
  <si>
    <t>KH001405</t>
  </si>
  <si>
    <t>Vân Anh (0362728719)</t>
  </si>
  <si>
    <t>0362728719</t>
  </si>
  <si>
    <t>219 bis Nguyễn Cư thị minh khai, q1</t>
  </si>
  <si>
    <t>HD046092</t>
  </si>
  <si>
    <t>HD046091</t>
  </si>
  <si>
    <t>HCM</t>
  </si>
  <si>
    <t>SP094238</t>
  </si>
  <si>
    <t>Skinderma Mandeic 45% 100ML</t>
  </si>
  <si>
    <t>HD046090</t>
  </si>
  <si>
    <t>MÃ GHTK 1654291419</t>
  </si>
  <si>
    <t>HD046089</t>
  </si>
  <si>
    <t>24/12/2025 02:18</t>
  </si>
  <si>
    <t>KH000309</t>
  </si>
  <si>
    <t>Bs Phuc Dang (0902680471)</t>
  </si>
  <si>
    <t>0903747390</t>
  </si>
  <si>
    <t>16/14 Trần Thiện Chánh P12 Q10</t>
  </si>
  <si>
    <t>HD046088</t>
  </si>
  <si>
    <t>SP094222</t>
  </si>
  <si>
    <t>Teoxane Redensity 2 -Tiêm Tan Thâm Quầng Mắt 1X1ml CTY TÁCH LẺ</t>
  </si>
  <si>
    <t>01042026</t>
  </si>
  <si>
    <t>HD046087</t>
  </si>
  <si>
    <t>DH020381</t>
  </si>
  <si>
    <t>KH001377</t>
  </si>
  <si>
    <t>Quốc Anh (Zalo DR Evan)</t>
  </si>
  <si>
    <t>luulequocanh@gmail.com</t>
  </si>
  <si>
    <t>0983903972</t>
  </si>
  <si>
    <t>Quốc Anh 0983903972
262/10 Nguyễn Tiểu La P8 Quận 10 TPHCM</t>
  </si>
  <si>
    <t>BSN067</t>
  </si>
  <si>
    <t>BaBe Stop Akn Purifying Cleansing -Gel Rửa Mặt Dịu Nhẹ 200ml</t>
  </si>
  <si>
    <t>01022030</t>
  </si>
  <si>
    <t>HD046086</t>
  </si>
  <si>
    <t>DH020382</t>
  </si>
  <si>
    <t>HD046085</t>
  </si>
  <si>
    <t>KH001425</t>
  </si>
  <si>
    <t>Đoan Na</t>
  </si>
  <si>
    <t>nguyenladoanna254@gmail.com</t>
  </si>
  <si>
    <t>0983123356</t>
  </si>
  <si>
    <t>68 lê thánh tông, cam nghĩa, cam ranh, khánh hoà ạ</t>
  </si>
  <si>
    <t>MIỄN SHIP
Dạ cho e 2 hộp gửi về 68 lê thánh tông, bắc cam ranh, khánh hoà</t>
  </si>
  <si>
    <t>BSN131</t>
  </si>
  <si>
    <t>Elasten Trinkampullen Collagen - Nước uống đẹp da, chống lão hóa 28 ống x25ml</t>
  </si>
  <si>
    <t>Collagen</t>
  </si>
  <si>
    <t>HD046084</t>
  </si>
  <si>
    <t>KH000157</t>
  </si>
  <si>
    <t>Trang Lương</t>
  </si>
  <si>
    <t>0387486363</t>
  </si>
  <si>
    <t>451/2 hai bà trưng võ thị sáu, q3</t>
  </si>
  <si>
    <t>Hồ Chí Minh - Quận 3</t>
  </si>
  <si>
    <t>Phường 13</t>
  </si>
  <si>
    <t>HD046083</t>
  </si>
  <si>
    <t>DH020379</t>
  </si>
  <si>
    <t>KH000707</t>
  </si>
  <si>
    <t>Dr Vy Lê</t>
  </si>
  <si>
    <t>0932920089</t>
  </si>
  <si>
    <t>130 đường 32 tiểu khu 1 bình trị đông B bình tân</t>
  </si>
  <si>
    <t>Ấp 4 xã mỹ thạnh đông đức huệ long an 
Dung 0978511640</t>
  </si>
  <si>
    <t>BSN417</t>
  </si>
  <si>
    <t>Radiance Beauva Ceramide B5 - KEM DƯỠNG ẨM PHỤC HỒI 30ml</t>
  </si>
  <si>
    <t>HD046082</t>
  </si>
  <si>
    <t>HD046081</t>
  </si>
  <si>
    <t>DH020380</t>
  </si>
  <si>
    <t>KH001875</t>
  </si>
  <si>
    <t>Tuyền</t>
  </si>
  <si>
    <t>0834463463</t>
  </si>
  <si>
    <t>0834.463.463 
Tổ 2 khu 5 Uyên Hưng Tân Uyên Bình Dương</t>
  </si>
  <si>
    <t>Giao e 2 hộp karisma 
Địa chỉ : thẩm mỹ Vân Nhi, Phường Bình Cơ, tp HCM
Sdt ngk nhận : 0979568488</t>
  </si>
  <si>
    <t>HD046080</t>
  </si>
  <si>
    <t>SP094237</t>
  </si>
  <si>
    <t>Fetoscell white exosome 4ml meso trẻ hoá, phục hồi, sáng da</t>
  </si>
  <si>
    <t>FetoScell</t>
  </si>
  <si>
    <t>21092028</t>
  </si>
  <si>
    <t>HD046079</t>
  </si>
  <si>
    <t>BSN420</t>
  </si>
  <si>
    <t>Radiance Beauva Mela Retinoic Pro 3% Tranexamic - Peel trị thâm mụn trẻ hóa 30g</t>
  </si>
  <si>
    <t>HD046078</t>
  </si>
  <si>
    <t>DH020365</t>
  </si>
  <si>
    <t>THU COD</t>
  </si>
  <si>
    <t>BSN574</t>
  </si>
  <si>
    <t>Uriage Cica Daily Concentre De Creme Reparateur - Kem Dưỡng Ẩm 50ml</t>
  </si>
  <si>
    <t>HD046077</t>
  </si>
  <si>
    <t>DH020370</t>
  </si>
  <si>
    <t>KH001207</t>
  </si>
  <si>
    <t>Phụng Nguyễn</t>
  </si>
  <si>
    <t>phungnguyen240998@gmail.com</t>
  </si>
  <si>
    <t>0982998267</t>
  </si>
  <si>
    <t>Lumi Beauty &amp; Spa
Đường F khu 97, Long Đức 1, Tam Phước, Biên Hoà, Đồng Nai</t>
  </si>
  <si>
    <t>SP093992</t>
  </si>
  <si>
    <t>Fusion Retinol 1.0 – Kem Chống Lão Hóa 30ml</t>
  </si>
  <si>
    <t>01102029</t>
  </si>
  <si>
    <t>BSN406</t>
  </si>
  <si>
    <t>Pharmaform Copper Peptide advanced EGF serum - serum cấp ẩm phục hồi làn da hư tổn 30ml</t>
  </si>
  <si>
    <t>BSN412</t>
  </si>
  <si>
    <t>Pharmaform Blue Revitalize - Kem dưỡng da 30g</t>
  </si>
  <si>
    <t>01062026</t>
  </si>
  <si>
    <t>BSN396</t>
  </si>
  <si>
    <t>Pharmaform Spot Corrector Light Weight Cream - Tinh Chất Giúp Dưỡng Sáng Và Cải Thiện Sắc Tố Da 30ml</t>
  </si>
  <si>
    <t>BSN400</t>
  </si>
  <si>
    <t>Pharmaform Hydra 5 Glycan PDRN Ampoule - Tinh chất phục hồi tế bào da bị tổn thương, sau xâm lấn 50ml</t>
  </si>
  <si>
    <t>HD046076</t>
  </si>
  <si>
    <t>DH020372</t>
  </si>
  <si>
    <t>KH001123</t>
  </si>
  <si>
    <t>Thảo 0332405694 (0988795115)</t>
  </si>
  <si>
    <t>0332405694 (0988795115)</t>
  </si>
  <si>
    <t>2 ĐƠN, GỬI CÙNG HÀNG KHÁCH
MÃ GHTK 1493264222</t>
  </si>
  <si>
    <t>SP094232</t>
  </si>
  <si>
    <t>Profiderm Hyaluronic Serum - Serum HA Cấp Ẩm Đa Tầng, Căng Bóng, Trẻ Hóa Cho Mọi Loại Da</t>
  </si>
  <si>
    <t>Profiderm</t>
  </si>
  <si>
    <t>SP093982</t>
  </si>
  <si>
    <t>CLINDAMYCIN AND BENZOYL PEROXIDE GEL CLIDABAX B 15G</t>
  </si>
  <si>
    <t>HD046075</t>
  </si>
  <si>
    <t>KH001397</t>
  </si>
  <si>
    <t>Anh Phạm Minh Trường</t>
  </si>
  <si>
    <t>0707606068</t>
  </si>
  <si>
    <t>18 Tú Xương Q3</t>
  </si>
  <si>
    <t>HD046074</t>
  </si>
  <si>
    <t>KH001434</t>
  </si>
  <si>
    <t>BS Long Đinh</t>
  </si>
  <si>
    <t>dinhhuulong3181993@gmail.com</t>
  </si>
  <si>
    <t>0972597995</t>
  </si>
  <si>
    <t>33 Trần Quốc Thảo</t>
  </si>
  <si>
    <t>SP094235</t>
  </si>
  <si>
    <t>Inbiotec Amber 2ml</t>
  </si>
  <si>
    <t>Inbiotec</t>
  </si>
  <si>
    <t>HD046073</t>
  </si>
  <si>
    <t>DH020371</t>
  </si>
  <si>
    <t>BSN330</t>
  </si>
  <si>
    <t>Neova CU3 Recovery Lotion - Kem Dưỡng Phục Hồi Da Tổn Thương 100ml</t>
  </si>
  <si>
    <t>Neova</t>
  </si>
  <si>
    <t>HD046072</t>
  </si>
  <si>
    <t>DH020375</t>
  </si>
  <si>
    <t>KH001866</t>
  </si>
  <si>
    <t>Phương Đoàn</t>
  </si>
  <si>
    <t>0908104954</t>
  </si>
  <si>
    <t>465 Đoàn Văn Bơ P13 Q4</t>
  </si>
  <si>
    <t>16A phan tôn Q1
0908104954 ạ</t>
  </si>
  <si>
    <t>SP094026</t>
  </si>
  <si>
    <t>INFINI Bap DNA+ 2X3ML</t>
  </si>
  <si>
    <t>INFINI</t>
  </si>
  <si>
    <t>HD046071</t>
  </si>
  <si>
    <t>DH020377</t>
  </si>
  <si>
    <t>BSN646</t>
  </si>
  <si>
    <t>Ava Antibacterial Cleansing Gel - Sữa rửa mặt da dầu 150ml (MẪU MỚI)</t>
  </si>
  <si>
    <t>Ava</t>
  </si>
  <si>
    <t>HD046070</t>
  </si>
  <si>
    <t>DH020369</t>
  </si>
  <si>
    <t>BSN584</t>
  </si>
  <si>
    <t>VI Derm Retinol Age-Defying Treatment Moisturizer – Kem Dưỡng Chống Lão Hóa Toàn Diện 50ml</t>
  </si>
  <si>
    <t>Vi derm</t>
  </si>
  <si>
    <t>HD046069</t>
  </si>
  <si>
    <t>DH020373</t>
  </si>
  <si>
    <t>2 ĐƠN, GỬI CÙNG HÀNG KHÁCH GỬI QUA</t>
  </si>
  <si>
    <t>BSN318</t>
  </si>
  <si>
    <t>Mona Frema Ceramide Barrier-Extreme Cream - Kem dưỡng phục hồi da 50g (hộp)</t>
  </si>
  <si>
    <t>Mona Frema</t>
  </si>
  <si>
    <t>HD046068</t>
  </si>
  <si>
    <t>DH020374</t>
  </si>
  <si>
    <t>HD046067</t>
  </si>
  <si>
    <t>DH020376</t>
  </si>
  <si>
    <t>BSN026</t>
  </si>
  <si>
    <t>AHOHWA Vitamin K - Kem trị đỏ da giản mao mạch 12G</t>
  </si>
  <si>
    <t>HD046066</t>
  </si>
  <si>
    <t>BSN373</t>
  </si>
  <si>
    <t>Profhilo Body Cream - Dưỡng Body 150ml</t>
  </si>
  <si>
    <t>01052026</t>
  </si>
  <si>
    <t>HD046065</t>
  </si>
  <si>
    <t>DH020362</t>
  </si>
  <si>
    <t>KH000333</t>
  </si>
  <si>
    <t>Dr Chang</t>
  </si>
  <si>
    <t>0935837333</t>
  </si>
  <si>
    <t>Lock C, chung cư đất phương nam, 241 chu văn an, p12 bình thạnh HCM</t>
  </si>
  <si>
    <t>BOOK XE</t>
  </si>
  <si>
    <t>HD046064</t>
  </si>
  <si>
    <t>DH020363</t>
  </si>
  <si>
    <t>KH001862</t>
  </si>
  <si>
    <t>Ngọc Ánh</t>
  </si>
  <si>
    <t>0911681828</t>
  </si>
  <si>
    <t>30/4 Ngô Thời Nhiệm, P. Võ Thị Sáu, Q.3</t>
  </si>
  <si>
    <t>BSN129</t>
  </si>
  <si>
    <t>CODE AGE HYDROLYZED MULTI COLLAGEN PROTEIN POWDER - Collagen tổng hợp cung cấp 5 loại collagen CAM (I, II, III, V và X)</t>
  </si>
  <si>
    <t>01102026</t>
  </si>
  <si>
    <t>HD046063</t>
  </si>
  <si>
    <t>DH020364</t>
  </si>
  <si>
    <t>KH000465</t>
  </si>
  <si>
    <t>Phan Thị Ngọc Hân</t>
  </si>
  <si>
    <t>0915124935</t>
  </si>
  <si>
    <t>Chung cư Central plaza 91 phạm văn hai, phường 2, tân bình</t>
  </si>
  <si>
    <t>BSN037</t>
  </si>
  <si>
    <t>Aileene VOL 3 - Chất làm đầy da vùng cứng 2ml/hộp</t>
  </si>
  <si>
    <t>02072028</t>
  </si>
  <si>
    <t>HD046062</t>
  </si>
  <si>
    <t>CẬP NHẬT SL TỪ 26 SANG LÔ HẠN MÀ KIOT NHẢY 36 CHÊNH LỆCH 10 LỌ, XUẤT RA KHỚP KHO</t>
  </si>
  <si>
    <t>HD046061</t>
  </si>
  <si>
    <t>DH020367</t>
  </si>
  <si>
    <t>KH000034</t>
  </si>
  <si>
    <t>Nguyễn Thảo</t>
  </si>
  <si>
    <t>0969681145</t>
  </si>
  <si>
    <t>số 46 đường phan kính</t>
  </si>
  <si>
    <t>Hà Tĩnh - Thị xã Hồng Lĩnh</t>
  </si>
  <si>
    <t>Lê Văn Nam</t>
  </si>
  <si>
    <t>2 ĐƠN THU COD</t>
  </si>
  <si>
    <t>SP094008</t>
  </si>
  <si>
    <t>Ducray Kertyol Pso Treatment - Dầu Gội Cho Da Bị Gàu, Vảy Nến 125ml</t>
  </si>
  <si>
    <t>01072026</t>
  </si>
  <si>
    <t>HD046060</t>
  </si>
  <si>
    <t>130271176411
Vtp</t>
  </si>
  <si>
    <t>HD046059.01</t>
  </si>
  <si>
    <t>BSN223</t>
  </si>
  <si>
    <t>Inno RESTRUCTURER - Hoạt chất tái sinh tế bào trắng da 4x5ml</t>
  </si>
  <si>
    <t>SP094018</t>
  </si>
  <si>
    <t>INNO XEROSKIN-ID cấp ẩm cho da khô 4x2,5ml</t>
  </si>
  <si>
    <t>01/02/2028</t>
  </si>
  <si>
    <t>HD046058</t>
  </si>
  <si>
    <t>KH001900</t>
  </si>
  <si>
    <t>Chị Ngọc Anh Obagi</t>
  </si>
  <si>
    <t>BSN034</t>
  </si>
  <si>
    <t>AHOHWA Hydration Ampoule B5 - Ampoule cấp ẩm phục hồi 50ml MẪU MỚI</t>
  </si>
  <si>
    <t>HD046057</t>
  </si>
  <si>
    <t>24/12/2025 03:51</t>
  </si>
  <si>
    <t>HD046055</t>
  </si>
  <si>
    <t>23/12/2025 10:18</t>
  </si>
  <si>
    <t>DH020342</t>
  </si>
  <si>
    <t>2 ĐƠN
THU COD</t>
  </si>
  <si>
    <t>BSN212</t>
  </si>
  <si>
    <t>Inno Mandelage 0.1 - Pell cho lõa hóa 3.5ML</t>
  </si>
  <si>
    <t>BSN459</t>
  </si>
  <si>
    <t>Rilastil Daily Care Purifying Cleansing Gel - Sữa rửa mặt cho da dầu, mụn, hỗn hợp 200ml LOẠI CÓ VÒI</t>
  </si>
  <si>
    <t>HD046054</t>
  </si>
  <si>
    <t>DH020354</t>
  </si>
  <si>
    <t>KH001670</t>
  </si>
  <si>
    <t>Huệ Huỳnh</t>
  </si>
  <si>
    <t>0902546998</t>
  </si>
  <si>
    <t>189/14/11 Hoàng Hoa Thám p6. Bình Thạnh hcm</t>
  </si>
  <si>
    <t>BSN058</t>
  </si>
  <si>
    <t>Avene Thermal Spring Water - Xịt khoáng Cấp Nước, Làm Dịu &amp; Giảm Kích Ứng 300ml</t>
  </si>
  <si>
    <t>Avene</t>
  </si>
  <si>
    <t>HD046053</t>
  </si>
  <si>
    <t>DH020356</t>
  </si>
  <si>
    <t>HD046052</t>
  </si>
  <si>
    <t>DH020357</t>
  </si>
  <si>
    <t>BSN433</t>
  </si>
  <si>
    <t>RILASTIL DAILY CARE MICELLAR SOLUTION - Dung dịch tẩy trang cho mặt và mắt 400ML</t>
  </si>
  <si>
    <t>01112029</t>
  </si>
  <si>
    <t>HD046051</t>
  </si>
  <si>
    <t>DH020361</t>
  </si>
  <si>
    <t>KH000079</t>
  </si>
  <si>
    <t>Bs Vinh</t>
  </si>
  <si>
    <t>Vinhvinh1607@gmail.com</t>
  </si>
  <si>
    <t>0833050369</t>
  </si>
  <si>
    <t>34/4 Nguyễn Thiệt Thuật, Nha Trang, Khánh Hoà.</t>
  </si>
  <si>
    <t>Khánh Hòa - Thành phố Nha Trang</t>
  </si>
  <si>
    <t>1 HA Histolab 
1 sữa rửa mặt svr xanh lá 400.
Fp3, kdc Mizuki, xã Bình Hưng, Huyện Bình Chánh, tp Hồ Chí Minh
Hằng 0886997976</t>
  </si>
  <si>
    <t>HD046050</t>
  </si>
  <si>
    <t>DH020331</t>
  </si>
  <si>
    <t>SP094165</t>
  </si>
  <si>
    <t>Neova DNA Total Repair – Serum Chống Lão Hoá Cho Làn Da Tươi Trẻ 30ml</t>
  </si>
  <si>
    <t>HD046049</t>
  </si>
  <si>
    <t>DH020359</t>
  </si>
  <si>
    <t>KH001628</t>
  </si>
  <si>
    <t>Bs Hồng Thanh</t>
  </si>
  <si>
    <t>0943170636</t>
  </si>
  <si>
    <t>Bs Văn Thanh Hồng  ☎️Hotline, zalo: 0943170636 🏥 Địa chỉ: Tdp Hồng Kỳ- P Hải Ninh- Tx Nghi Sơn- Thanh Hoá</t>
  </si>
  <si>
    <t>Lê thị hiền 0969594567
287 xuân hoà phường tĩnh gia thanh hoá</t>
  </si>
  <si>
    <t>SP094231</t>
  </si>
  <si>
    <t>Mesoestetic Melan 130 Pigment Control - Kem chống nắng cho da nám 50ml</t>
  </si>
  <si>
    <t>MESOESTETIC</t>
  </si>
  <si>
    <t>HD046048</t>
  </si>
  <si>
    <t>KH001162</t>
  </si>
  <si>
    <t>BS Hà Kim (Phú Nhuận)</t>
  </si>
  <si>
    <t>0983834168</t>
  </si>
  <si>
    <t>137 Hoa Lan, phường 2, Phú Nhuận</t>
  </si>
  <si>
    <t>HD046046</t>
  </si>
  <si>
    <t>DH020358</t>
  </si>
  <si>
    <t>BSN375</t>
  </si>
  <si>
    <t>Profiderm Azexo Pure Gel - Gel dưỡng mụn 30ml</t>
  </si>
  <si>
    <t>HD046045</t>
  </si>
  <si>
    <t>DH020360</t>
  </si>
  <si>
    <t>KH000063</t>
  </si>
  <si>
    <t>Bảo Trân</t>
  </si>
  <si>
    <t>nguyenbaotran090920@gmail.com</t>
  </si>
  <si>
    <t>0934663044</t>
  </si>
  <si>
    <t>328 Vườn Lài, Phú Thọ Hoà, Tân Phú</t>
  </si>
  <si>
    <t>Hồ Chí Minh - Quận Tân Bình</t>
  </si>
  <si>
    <t>Phường 10</t>
  </si>
  <si>
    <t>KHÁCH BOOK</t>
  </si>
  <si>
    <t>HD046044</t>
  </si>
  <si>
    <t>KH001880</t>
  </si>
  <si>
    <t>Nguyễn Yến Ly (Zalo Jolly Beauty)</t>
  </si>
  <si>
    <t>nguyelyly25092016@gmail.com</t>
  </si>
  <si>
    <t>0966930012</t>
  </si>
  <si>
    <t>43Nc,lai uyên,bàu bàng,hồ chí minh</t>
  </si>
  <si>
    <t>BSN515</t>
  </si>
  <si>
    <t>Sumdfine Sunscreen SPF 50+ PA+++ - Kem chống nắng</t>
  </si>
  <si>
    <t>Sumdfine</t>
  </si>
  <si>
    <t>HD046043</t>
  </si>
  <si>
    <t>DH020355</t>
  </si>
  <si>
    <t>KH001969</t>
  </si>
  <si>
    <t>Trạm chữa da BSN</t>
  </si>
  <si>
    <t>0942589059</t>
  </si>
  <si>
    <t>1B/47B, Đường D7, Khu dân cư Phú Hồng Thịnh 8, phường Bình Chuẩn, Thuận An, Bình Dương</t>
  </si>
  <si>
    <t>BSN492</t>
  </si>
  <si>
    <t>Skinmd Pure Whitenol Serum - Tinh chất đậm đặc trị nám 50ml</t>
  </si>
  <si>
    <t>Skinmd</t>
  </si>
  <si>
    <t>HD046042</t>
  </si>
  <si>
    <t>SP094039</t>
  </si>
  <si>
    <t>FetoScell Regenration - Meso hoạt chất điều trị mụn trứng cá,da kích ứng, giãn mao mạch 6ml (cặp)</t>
  </si>
  <si>
    <t>28102028</t>
  </si>
  <si>
    <t>HD046041</t>
  </si>
  <si>
    <t>HD046040</t>
  </si>
  <si>
    <t>KH000335</t>
  </si>
  <si>
    <t>Nguyễn Hữu Quý (0766781122)</t>
  </si>
  <si>
    <t>Nguyễn Hữu Quý</t>
  </si>
  <si>
    <t>Ngã tư lộ bốn tổng, ấp trường Thọ</t>
  </si>
  <si>
    <t>Cần Thơ - Huyện Thới Lai</t>
  </si>
  <si>
    <t>Xã Trường Xuân</t>
  </si>
  <si>
    <t>SP094230</t>
  </si>
  <si>
    <t>KB Pure Alpha Beta Cream - Kem tái tạo điều trị mụn ẩn và mụn bít tắc 30ml</t>
  </si>
  <si>
    <t>KB Pure</t>
  </si>
  <si>
    <t>SP094229</t>
  </si>
  <si>
    <t>KB Pure Hyaluronic+ - Serum siêu cấp ẩm 50ml</t>
  </si>
  <si>
    <t>SP094228</t>
  </si>
  <si>
    <t>KB Pure Serum ức chế nám đốm KB Pure Anti Rosine Booster 30ml</t>
  </si>
  <si>
    <t>SP094227</t>
  </si>
  <si>
    <t>KB Pure Azilaccutane Care - Kem tái tạo cân bằng điều trị mụn, nám và lão hóa 30ml</t>
  </si>
  <si>
    <t>HD046039</t>
  </si>
  <si>
    <t>KH001563</t>
  </si>
  <si>
    <t>Nam hàng Tiêm</t>
  </si>
  <si>
    <t>0934473290</t>
  </si>
  <si>
    <t>1a2 Nguyễn Đình Chiểu P Đa Kao Q1</t>
  </si>
  <si>
    <t>HỘP MÀU BẠC</t>
  </si>
  <si>
    <t>BSN612</t>
  </si>
  <si>
    <t>Zymogen Centella Ferment Cream - Kem dưỡng ẩm chiết xuất rau má 50ml</t>
  </si>
  <si>
    <t>Zymogen</t>
  </si>
  <si>
    <t>HD046038.01</t>
  </si>
  <si>
    <t>KH000231</t>
  </si>
  <si>
    <t>Hồng Hạnh</t>
  </si>
  <si>
    <t>0344537376</t>
  </si>
  <si>
    <t>thôn Phú Thọ- xã Tuy Lộc- Hậu Lộc- Thanh Hóa</t>
  </si>
  <si>
    <t>Thanh Hóa - Huyện Hậu Lộc</t>
  </si>
  <si>
    <t>Xã Tuy Lộc</t>
  </si>
  <si>
    <t>GHTK 1115410773</t>
  </si>
  <si>
    <t>BSN284</t>
  </si>
  <si>
    <t>Lacabine 20% CICA SERUM CREAM - Kem serum làm dịu giảm đỏ 20% 30ml</t>
  </si>
  <si>
    <t>HD046037</t>
  </si>
  <si>
    <t>DH020347</t>
  </si>
  <si>
    <t>KH000441</t>
  </si>
  <si>
    <t>Lê Thành Công</t>
  </si>
  <si>
    <t>0369225549</t>
  </si>
  <si>
    <t>160 Cao Lỗ, Phường 4, Quận 8, Tp HCM</t>
  </si>
  <si>
    <t>SP094059</t>
  </si>
  <si>
    <t>MartiDerm The Originals Proteos Screen SPF50+- Kem Chống Nắng</t>
  </si>
  <si>
    <t>MARTIDERM</t>
  </si>
  <si>
    <t>HD046036</t>
  </si>
  <si>
    <t>DH020346</t>
  </si>
  <si>
    <t>Sdt 0347452364 ( Trâm) 
đc nhận: bệnh viện đa khoa khánh hoà 19 yersin, nha trang, khánh hoà. (cổng số 9 quang trung)</t>
  </si>
  <si>
    <t>BSN580</t>
  </si>
  <si>
    <t>Usolab Bio Intensive K Cream - Kem dưỡng phục hồi da 50ml</t>
  </si>
  <si>
    <t>Usolab</t>
  </si>
  <si>
    <t>HD046035</t>
  </si>
  <si>
    <t>HD046034</t>
  </si>
  <si>
    <t>SP094084</t>
  </si>
  <si>
    <t>Skinderma Melano Combo Soution - Hoạt chất chống lão hóa 5X10ML</t>
  </si>
  <si>
    <t>HD046033</t>
  </si>
  <si>
    <t>KH001569</t>
  </si>
  <si>
    <t>BS Hoàng Hường INNO</t>
  </si>
  <si>
    <t>SP094139</t>
  </si>
  <si>
    <t>Purles hyalusoft cream 125</t>
  </si>
  <si>
    <t>BSN230</t>
  </si>
  <si>
    <t>Inno Hyaluronic Acid - Hoạt chất trẻ hóa, căng bóng cấp ẩm da</t>
  </si>
  <si>
    <t>HD046032</t>
  </si>
  <si>
    <t>24/12/2025 03:50</t>
  </si>
  <si>
    <t>KH001511</t>
  </si>
  <si>
    <t>Hương Trương</t>
  </si>
  <si>
    <t>truongmyhuong1809@gmail.com</t>
  </si>
  <si>
    <t>0375919256</t>
  </si>
  <si>
    <t>150 Lê Minh Công ( thuốc tây An Hương ) thôn Hồ Tôm, xã Tân Phước, thị xã Lagi, tỉnh Bình Thuận</t>
  </si>
  <si>
    <t>BSN025</t>
  </si>
  <si>
    <t>Ahohwa NTG WHITENING CREAM - Kem dưỡng sáng da, giảm sạm, nám, tàn nhang 50ml</t>
  </si>
  <si>
    <t>BSN365</t>
  </si>
  <si>
    <t>Postquam Gliceryn Cleansing Gel Q04 - Sữa rửa mặt cho da yếu &amp; thương tổn 150ml</t>
  </si>
  <si>
    <t>BSN092</t>
  </si>
  <si>
    <t>Biotrade Odorex Deo Roll On - Lăn khử mùi 20ml</t>
  </si>
  <si>
    <t>01082030</t>
  </si>
  <si>
    <t>BSN093</t>
  </si>
  <si>
    <t>BIOTRADE ACNAUT ACTIVE LOTION - LOTION GIẢM MỤN 15ml</t>
  </si>
  <si>
    <t>SP094092</t>
  </si>
  <si>
    <t>MD CARE Brightening Blemish Cream - Kem Dưỡng Dưỡng Sáng Da Chuyên Biệt 50ML</t>
  </si>
  <si>
    <t>MD CARE</t>
  </si>
  <si>
    <t>18072028</t>
  </si>
  <si>
    <t>HD046031</t>
  </si>
  <si>
    <t>DH020349</t>
  </si>
  <si>
    <t>KH000617</t>
  </si>
  <si>
    <t>Vi Hồ</t>
  </si>
  <si>
    <t>tncdaklak.2019@gmail.com</t>
  </si>
  <si>
    <t>0938266995</t>
  </si>
  <si>
    <t>49 Hoàng Văn Thụ, Tân Thiện, Lagi , Bình Thuận</t>
  </si>
  <si>
    <t>3 tuýp kcn acnestil 
2 srm gel xerolac 750ml 
5 chai tẩy trang 400ml
277cmt8, Đức Linh, Lâm Đồng 
0382085011 Phúc</t>
  </si>
  <si>
    <t>SP094226</t>
  </si>
  <si>
    <t>RILASTIL XEROLACT CLEANSING GEL - GEL TẮM, RỬA MẶT TOÀN THÂN 750ML</t>
  </si>
  <si>
    <t>01052029</t>
  </si>
  <si>
    <t>HD046030</t>
  </si>
  <si>
    <t>KH000305</t>
  </si>
  <si>
    <t>Đàm Hảo</t>
  </si>
  <si>
    <t>0336270655</t>
  </si>
  <si>
    <t>Số nhà 80 cổng làng thượng thuỵ xã đức thượng hoài đức hà nội 0904728109</t>
  </si>
  <si>
    <t>HD046028</t>
  </si>
  <si>
    <t>KH001537</t>
  </si>
  <si>
    <t>Quang Tiến</t>
  </si>
  <si>
    <t>HD046027</t>
  </si>
  <si>
    <t>DH020351</t>
  </si>
  <si>
    <t>CHUNG ĐƠN</t>
  </si>
  <si>
    <t>HD046026</t>
  </si>
  <si>
    <t>KH000342</t>
  </si>
  <si>
    <t>Maika Phạm</t>
  </si>
  <si>
    <t>0973800115</t>
  </si>
  <si>
    <t>131 Ung Văn Khiêm, Mỹ Phước, Long xuyên, An Giang</t>
  </si>
  <si>
    <t>ĐÃ ĐÓNG</t>
  </si>
  <si>
    <t>BSN050</t>
  </si>
  <si>
    <t>Trị mụn trẻ hóa da Tretinoin USP Aret 0.025%</t>
  </si>
  <si>
    <t>BSN558</t>
  </si>
  <si>
    <t>ADAPALENE AND CLINDAMYCIN ALDOCONT C 15G - GEL TRỊ MỤN</t>
  </si>
  <si>
    <t>HD046025</t>
  </si>
  <si>
    <t>BSN179</t>
  </si>
  <si>
    <t>Histolab Pepermint Cool Plus Modeling Mask - Mặt nạ bột dẻo trị mụn, làm dịu, làm mát da, tăng cường đàn hồi 1kg</t>
  </si>
  <si>
    <t>HD046024</t>
  </si>
  <si>
    <t>KH000327</t>
  </si>
  <si>
    <t>Lê Nguyễn Thùy Nhân</t>
  </si>
  <si>
    <t>0326470733 (0338903243)</t>
  </si>
  <si>
    <t>Hẻm 418/2B Lê Văn Quới phường Bình Hưng Hoà A, Bình Tân
AMY 0965734506.  0338 903 243  ( làm việc từ 9h-18h)</t>
  </si>
  <si>
    <t>MAI BOOK 4H</t>
  </si>
  <si>
    <t>BSN571</t>
  </si>
  <si>
    <t>Triple White - Viên uống chống nắng trắng da (Mỹ)</t>
  </si>
  <si>
    <t>Triple White</t>
  </si>
  <si>
    <t>HD046023</t>
  </si>
  <si>
    <t>BSN098</t>
  </si>
  <si>
    <t>Biotrade Acnaut Oxy Wash - Sữa rửa mặt sạch sâu cho da dầu mụn, nhạy cảm 200ml</t>
  </si>
  <si>
    <t>BSN100</t>
  </si>
  <si>
    <t>BIOTRADE ACNAUT FOOD SUPPLEMENT 30 CAPSULES/ VIÊN UỐNG TRỊ MỤN BIOTRADE ACNAUT FOOD SUPPLEMENT 30 VIÊN</t>
  </si>
  <si>
    <t>HD046022</t>
  </si>
  <si>
    <t>HD046021</t>
  </si>
  <si>
    <t>DH020319</t>
  </si>
  <si>
    <t>KH001963</t>
  </si>
  <si>
    <t>Thư Hoàng</t>
  </si>
  <si>
    <t>0344656385</t>
  </si>
  <si>
    <t>1/53-55 Hoàng Việt, Phường 4, Tân Bình, Thành phố Hồ Chí Minh</t>
  </si>
  <si>
    <t>gửi thẳng cho khách</t>
  </si>
  <si>
    <t>SP094187</t>
  </si>
  <si>
    <t>Timecode peelayer basic - Peel trẻ hóa 30g XÁCH TAY</t>
  </si>
  <si>
    <t>Timecode</t>
  </si>
  <si>
    <t>HD046020</t>
  </si>
  <si>
    <t>DH020350</t>
  </si>
  <si>
    <t>chung đơn book xe</t>
  </si>
  <si>
    <t>BSN299</t>
  </si>
  <si>
    <t>MD Care - Tinh chất NMF Prebiotics Serum - Refined Improvement Formula 30ml</t>
  </si>
  <si>
    <t>HD046019</t>
  </si>
  <si>
    <t>DH020311</t>
  </si>
  <si>
    <t>BSN107</t>
  </si>
  <si>
    <t>Botulax 200 UI Xóa nhăn, thon gọn mặt</t>
  </si>
  <si>
    <t>SP094050</t>
  </si>
  <si>
    <t>Paula's Choice BHA 2% - TDC 30ML</t>
  </si>
  <si>
    <t>PAULA'S CHOICE</t>
  </si>
  <si>
    <t>BSN300</t>
  </si>
  <si>
    <t>Md:ceuticals Md Complex Couper Off - Tiêm phục hồi da bị dị ứng, giảm viêm và kích ứng da</t>
  </si>
  <si>
    <t>Md:ceuticals</t>
  </si>
  <si>
    <t>HD046018</t>
  </si>
  <si>
    <t>BSN154</t>
  </si>
  <si>
    <t>Ezanic Gel 20% azelaic acid - Gel chấm mụn loại bỏ mụn, hết thâm mụn 15g</t>
  </si>
  <si>
    <t>Ezanic</t>
  </si>
  <si>
    <t>HD046017</t>
  </si>
  <si>
    <t>KH000954</t>
  </si>
  <si>
    <t>Gia Huệ</t>
  </si>
  <si>
    <t>0903027081</t>
  </si>
  <si>
    <t>550/1B Hồng bàng p16 q11</t>
  </si>
  <si>
    <t>BSN298</t>
  </si>
  <si>
    <t>MD CARE NMF SKIN PROTECTION PREMIUM MASK - Mặt nạ cấp ẩm. cân bằng lợi khuẩn, phục hồi 23gr</t>
  </si>
  <si>
    <t>14082028</t>
  </si>
  <si>
    <t>BSN249</t>
  </si>
  <si>
    <t>KB Pure Tea Tree Soap - Gel rửa mặt tinh chất tràm trà 75ml</t>
  </si>
  <si>
    <t>SP094066</t>
  </si>
  <si>
    <t>MD CARE NMF Hydration Concentrate Facial Gel - Gel kiểm soát dầu, tái tạo da 50ml</t>
  </si>
  <si>
    <t>18082028</t>
  </si>
  <si>
    <t>HD046016</t>
  </si>
  <si>
    <t>BSN120</t>
  </si>
  <si>
    <t>CeraVe Foaming Cleanser for Normal to Oily skin - Sữa rửa mặt cho da dầu 473ml (Công ty)</t>
  </si>
  <si>
    <t>HD046015</t>
  </si>
  <si>
    <t>BS HUÊ HN, 2 ĐƠN ĐÓNG KĨ</t>
  </si>
  <si>
    <t>HD046014</t>
  </si>
  <si>
    <t>DH020310</t>
  </si>
  <si>
    <t>SP094006</t>
  </si>
  <si>
    <t>Ekseption Hyaluronic TRX - Serum HA + 3% Tranexamic acid mờ nám, sáng da 75ml</t>
  </si>
  <si>
    <t>SP094207</t>
  </si>
  <si>
    <t>URIAGE Hyséac Masque Gommant Mặt nạ tẩy tế bào chết cho da dầu mụn 100ml</t>
  </si>
  <si>
    <t>HD046013</t>
  </si>
  <si>
    <t>DH020348</t>
  </si>
  <si>
    <t>E gửi a 1 kem K + 2 serum b5 m&amp;f nha</t>
  </si>
  <si>
    <t>BSN363</t>
  </si>
  <si>
    <t>Paralapiel M&amp;F B5 Hydro Serum - Tinh chất cấp ẩm làm dịu và phục hồi da 30ml</t>
  </si>
  <si>
    <t>HD046012</t>
  </si>
  <si>
    <t>22/12/2025 14:23</t>
  </si>
  <si>
    <t>DH020252</t>
  </si>
  <si>
    <t>BS HUÊ HN, ĐÓNG HÀNG KĨ KHÁCH KHÓ</t>
  </si>
  <si>
    <t>BSN059</t>
  </si>
  <si>
    <t>Avene Cicalfate Repair Cream - Kem tái tạo hồi phục da 40ml</t>
  </si>
  <si>
    <t>BSN057</t>
  </si>
  <si>
    <t>Aven Xeracalm A.D Lip Replenishing Cream - Kem dưỡng da mặt và cơ thể 200ml</t>
  </si>
  <si>
    <t>BSN019</t>
  </si>
  <si>
    <t>A-Derma Exomega Allergo Emollient Balm - Kem dưỡng ẩm, giảm khô ngứa cho da rất khô, viêm da cơ địa 200ml</t>
  </si>
  <si>
    <t>BSN020</t>
  </si>
  <si>
    <t>A-Derma Exomega Allergo Emollient Balm - Kem dưỡng ẩm, giảm khô ngứa cho da rất khô, viêm da cơ địa 40ml</t>
  </si>
  <si>
    <t>HD046011</t>
  </si>
  <si>
    <t>DH020309</t>
  </si>
  <si>
    <t>KH001809</t>
  </si>
  <si>
    <t>Dr Sương Trương</t>
  </si>
  <si>
    <t>dr.suongemskin@gmail.com</t>
  </si>
  <si>
    <t>0359413227</t>
  </si>
  <si>
    <t>8 nguyễn thiện thuật, phường 2, quận 3</t>
  </si>
  <si>
    <t>Gửi thẳng cho khách</t>
  </si>
  <si>
    <t>SP094220</t>
  </si>
  <si>
    <t>RESTYLANE KYSSE ( tiêm tạo hình môi)</t>
  </si>
  <si>
    <t>31032027</t>
  </si>
  <si>
    <t>HD046010</t>
  </si>
  <si>
    <t>KH000418</t>
  </si>
  <si>
    <t>Hải Thị</t>
  </si>
  <si>
    <t>vohai241190@gmail.com</t>
  </si>
  <si>
    <t>0978991947</t>
  </si>
  <si>
    <t>30/99/28a Lâm Văn Bền Phường Tân kiểng Quận 7</t>
  </si>
  <si>
    <t>ĐÃ ĐI 11/12</t>
  </si>
  <si>
    <t>SP094121</t>
  </si>
  <si>
    <t>KyungLab PDRN Therapy Mist – Xịt khoáng 150ml</t>
  </si>
  <si>
    <t>Kyung Lab</t>
  </si>
  <si>
    <t>22062028</t>
  </si>
  <si>
    <t>HD046009</t>
  </si>
  <si>
    <t>MÃ GHTK 1183773851</t>
  </si>
  <si>
    <t>BSN376</t>
  </si>
  <si>
    <t>ProfiDerm Professional Acnotin Lotion - Lotion Hỗ Trợ Giảm Mụn 50ml</t>
  </si>
  <si>
    <t>HD046008</t>
  </si>
  <si>
    <t>KH000791</t>
  </si>
  <si>
    <t>BS Uyên Nhi</t>
  </si>
  <si>
    <t>0914284505</t>
  </si>
  <si>
    <t>@Thuậnn 1 cicaderm 
1 kem dưỡng ẩm postquam
263 Trần Hưng Đạo, thị Trấn Thuận Nam, huyện hàm thuận nam, bình thuận (ngân hàng Agribank)
số đt a 0947075165</t>
  </si>
  <si>
    <t>SP094214</t>
  </si>
  <si>
    <t>PostQuam Balancing Cream Q64 - Kem dưỡng làm giảm mụn, thông thoáng lỗ chân lông và loại bỏ dầu cho da</t>
  </si>
  <si>
    <t>BSN240</t>
  </si>
  <si>
    <t>Ivatherm Cicaderm Cream - Kem tái tạo phục hồi tổn thương da và ngăn ngừa sẹo 40ml</t>
  </si>
  <si>
    <t>Ivatherm</t>
  </si>
  <si>
    <t>HD046007</t>
  </si>
  <si>
    <t>DH020332</t>
  </si>
  <si>
    <t>KH001449</t>
  </si>
  <si>
    <t>Hoàng Thị Thuỷ</t>
  </si>
  <si>
    <t>hoangthithuybrvt@gmail.com</t>
  </si>
  <si>
    <t>0961776017</t>
  </si>
  <si>
    <t>Ấp 4, xã hoà bình. Huyện xuyên mộc. Brvt</t>
  </si>
  <si>
    <t>BSN522</t>
  </si>
  <si>
    <t>SVR Sun Secure Fluide SPF50+ – Kem Chống Nắng Trong Suốt 50ml</t>
  </si>
  <si>
    <t>BSN366</t>
  </si>
  <si>
    <t>PostQuam Moisturizing Cream -Kem dưỡng ẩm kiềm dầu &amp; se khít lỗ chân lông Q65</t>
  </si>
  <si>
    <t>HD046006</t>
  </si>
  <si>
    <t>DH020345</t>
  </si>
  <si>
    <t>GHTK</t>
  </si>
  <si>
    <t>HD046005</t>
  </si>
  <si>
    <t>23/12/2025 02:19</t>
  </si>
  <si>
    <t>KH000118</t>
  </si>
  <si>
    <t>Đặng Hòa</t>
  </si>
  <si>
    <t>0367085306 (076 8005196)</t>
  </si>
  <si>
    <t>18A phan văn trị p10 gò vấp</t>
  </si>
  <si>
    <t>SP093985</t>
  </si>
  <si>
    <t>Adapalene Gel Adaferin 0.1 – Gel Trị Mụn Ẩn, Mụn Đầu Đen 15g</t>
  </si>
  <si>
    <t>HD046004</t>
  </si>
  <si>
    <t>HD046003</t>
  </si>
  <si>
    <t>ĐƠN 20/12 ĐI LINH ĐÀM HN</t>
  </si>
  <si>
    <t>BSN385</t>
  </si>
  <si>
    <t>Purles 162</t>
  </si>
  <si>
    <t>HD046002</t>
  </si>
  <si>
    <t>SP094225</t>
  </si>
  <si>
    <t>Ksurgery OMNIA Mesotech - Hoạt chất điều trị làm săn chắc, Thon gọn 5x5ml</t>
  </si>
  <si>
    <t>Ksurgery</t>
  </si>
  <si>
    <t>BSN387</t>
  </si>
  <si>
    <t>Purles 62 S Peel 20% - Hoạt chất tái tạo, giảm mụn viêm, ngăn ngừa lão hóa</t>
  </si>
  <si>
    <t>HD046001</t>
  </si>
  <si>
    <t>BOOK XE HN</t>
  </si>
  <si>
    <t>SP094186</t>
  </si>
  <si>
    <t>Inno Mca35</t>
  </si>
  <si>
    <t>HD046000</t>
  </si>
  <si>
    <t>pxl hcm</t>
  </si>
  <si>
    <t>HD045999</t>
  </si>
  <si>
    <t>CAO THẮNG</t>
  </si>
  <si>
    <t>HD045998</t>
  </si>
  <si>
    <t>HOÀNG QUỐC VIỆT</t>
  </si>
  <si>
    <t>HD045997</t>
  </si>
  <si>
    <t>cập nhật số lượng qua nhầm</t>
  </si>
  <si>
    <t>HD045996</t>
  </si>
  <si>
    <t>DH020334</t>
  </si>
  <si>
    <t>KH001793</t>
  </si>
  <si>
    <t>Bs Hoàng Thịnh</t>
  </si>
  <si>
    <t>ntn200892@gmail.com</t>
  </si>
  <si>
    <t>0849946346</t>
  </si>
  <si>
    <t>18 trần quang diệu, phường đức phổ, tỉnh quảng ngãi 0849946346 Hoàng thịnh</t>
  </si>
  <si>
    <t>nguyễn thanh nhàn -0356333212
địa chỉ: 261/14 lương định của - vĩnh ngọc - nha trang -khánh hoà</t>
  </si>
  <si>
    <t>HD045995</t>
  </si>
  <si>
    <t>DH020335</t>
  </si>
  <si>
    <t>HD045993</t>
  </si>
  <si>
    <t>DH020339</t>
  </si>
  <si>
    <t>ĐC: Minh Tâm hotel, 206, đường 3/2, phường 12, q.10 . 
Tên: Lan
SĐT: 0902912666</t>
  </si>
  <si>
    <t>BSN569</t>
  </si>
  <si>
    <t>TRANAXIC Cream - Kem trị nám tàn nhang, trắng da 30g</t>
  </si>
  <si>
    <t>SP094221</t>
  </si>
  <si>
    <t>Revision D.E.J Night Face Cream - Kem dưỡng ẩm chuyên sâu 48g</t>
  </si>
  <si>
    <t>HD045992</t>
  </si>
  <si>
    <t>DH020343</t>
  </si>
  <si>
    <t>KH001951</t>
  </si>
  <si>
    <t>Ngọc Quỳnh</t>
  </si>
  <si>
    <t>0353567070</t>
  </si>
  <si>
    <t>Ship qua 37 lê thị riêng quận 1 giúp e nha chị</t>
  </si>
  <si>
    <t>SP094224</t>
  </si>
  <si>
    <t>MD CARE AntiAc Exfo - Tẩy Tế Bào Chết Kiểm Soát Mụn, Giảm Viêm Và Giảm Tiết Dầu 30ml</t>
  </si>
  <si>
    <t>31032028</t>
  </si>
  <si>
    <t>HD045991</t>
  </si>
  <si>
    <t>23/12/2025 02:20</t>
  </si>
  <si>
    <t>DH020336</t>
  </si>
  <si>
    <t>HD045990</t>
  </si>
  <si>
    <t>DH020344</t>
  </si>
  <si>
    <t>BOOK XE 
2 Ejal 40 
1 restylane vital light 
1 lọ botox nabota hàn 
 33c lê thánh tôn nha.</t>
  </si>
  <si>
    <t>HD045989</t>
  </si>
  <si>
    <t>HD045988</t>
  </si>
  <si>
    <t>BSN409</t>
  </si>
  <si>
    <t>Pharmaform AZE – LIFT SERUM - Serum dưỡng da cấp ẩm 30ML</t>
  </si>
  <si>
    <t>HD045987</t>
  </si>
  <si>
    <t>DH020341</t>
  </si>
  <si>
    <t>KH001360</t>
  </si>
  <si>
    <t>thắm</t>
  </si>
  <si>
    <t>0363989399</t>
  </si>
  <si>
    <t>Thắm 0363989399, 40 DT 765 xã Sông Ray, Đồng Nai,</t>
  </si>
  <si>
    <t>HD045986</t>
  </si>
  <si>
    <t>26/12/2025 04:59</t>
  </si>
  <si>
    <t>2 ĐƠN 
 Thắm 0363989399, 40 DT 765 xã Sông Ray, Đồng Nai,</t>
  </si>
  <si>
    <t>BSN006</t>
  </si>
  <si>
    <t>ACNE RX BHA INTENSIVE GEL - Gel dưỡng dành cho da mụn 35g</t>
  </si>
  <si>
    <t>ACNE RX</t>
  </si>
  <si>
    <t>BSN435</t>
  </si>
  <si>
    <t>Rilastil Acnestil Micropeeling - Dung dịch tẩy da chết chuyên sâu cho da mụn thâm nám 30ml</t>
  </si>
  <si>
    <t>HD045985</t>
  </si>
  <si>
    <t>DH020253</t>
  </si>
  <si>
    <t>HD045984</t>
  </si>
  <si>
    <t>DH020340</t>
  </si>
  <si>
    <t>SP094012</t>
  </si>
  <si>
    <t>Triluma Mỹ XÁCH TAY</t>
  </si>
  <si>
    <t>HD045983</t>
  </si>
  <si>
    <t>2 ĐƠN
NAY GỬI VỀ 68 lê thánh tông, bắc Cam Ranh, khánh hoà</t>
  </si>
  <si>
    <t>HD045982</t>
  </si>
  <si>
    <t>68 lê thánh tông, bắc Cam Ranh, khánh hoà
NAY E GỬI E ĐỊA CHỈ NÀY</t>
  </si>
  <si>
    <t>HD045981</t>
  </si>
  <si>
    <t>KH001076</t>
  </si>
  <si>
    <t>DR Tùng - BS Như Ý</t>
  </si>
  <si>
    <t>0336363514 (0906706104)</t>
  </si>
  <si>
    <t>64/14 cù lao, phường 2, phú nhuận nha</t>
  </si>
  <si>
    <t>BSN274</t>
  </si>
  <si>
    <t>La Roche-Posay Cicaplast Baume B5 Soothing Repairing Balm - Kem Dưỡng Làm Dịu, Hỗ Trợ Phục Hồi Da 100ml</t>
  </si>
  <si>
    <t>LA ROCHE POSAY</t>
  </si>
  <si>
    <t>SP094003</t>
  </si>
  <si>
    <t>Image Skincare I PeeL Acne Lift – Dung Dịch Trị Mụn, Se Khít Lỗ Chân Lông, Giảm Nhờn 118ml</t>
  </si>
  <si>
    <t>IMAGE</t>
  </si>
  <si>
    <t>HD045980</t>
  </si>
  <si>
    <t>BSN039</t>
  </si>
  <si>
    <t>Aileene VOL 1 - Chất làm đầy vùng mềm 2ml/hộp</t>
  </si>
  <si>
    <t>HD045979</t>
  </si>
  <si>
    <t>DH020329</t>
  </si>
  <si>
    <t>HD045978</t>
  </si>
  <si>
    <t>DH020330</t>
  </si>
  <si>
    <t>KH000246</t>
  </si>
  <si>
    <t>Keri</t>
  </si>
  <si>
    <t>0935734460</t>
  </si>
  <si>
    <t>167 đỗ trạc - p. An khê - gia lai</t>
  </si>
  <si>
    <t>Gia Lai - Thị xã An Khê</t>
  </si>
  <si>
    <t>Phường Tây Sơn</t>
  </si>
  <si>
    <t>167 đỗ trạc - p. An khê - gia lai
0935734460</t>
  </si>
  <si>
    <t>HD045977</t>
  </si>
  <si>
    <t>BSN339</t>
  </si>
  <si>
    <t>Obagi Retinol + PHA Night Cream - Obagi Kem dưỡng trẻ hóa, sáng da ban đêm 50ml</t>
  </si>
  <si>
    <t>HD045976</t>
  </si>
  <si>
    <t>22/12/2025 02:23</t>
  </si>
  <si>
    <t>DH020328</t>
  </si>
  <si>
    <t>khách ghé lấy</t>
  </si>
  <si>
    <t>HD045975</t>
  </si>
  <si>
    <t>22/12/2025 02:22</t>
  </si>
  <si>
    <t>DH020327</t>
  </si>
  <si>
    <t>HD045974</t>
  </si>
  <si>
    <t>DH020326</t>
  </si>
  <si>
    <t>HD045973</t>
  </si>
  <si>
    <t>BSN518</t>
  </si>
  <si>
    <t>SVR Topialyse Gel Lavant - Gel Sữa Rửa Mặt Dạng Không Chứa Xà Phòng Dành Cho Da Khô 1000ml</t>
  </si>
  <si>
    <t>HD045972</t>
  </si>
  <si>
    <t>KH000475</t>
  </si>
  <si>
    <t>Nguyễn Hạnh</t>
  </si>
  <si>
    <t>0944966093</t>
  </si>
  <si>
    <t>33 đường số 1, KDC Cityland, P7, Gò Vấp</t>
  </si>
  <si>
    <t>siêu tốc Đặng dung Q1</t>
  </si>
  <si>
    <t>HD045971</t>
  </si>
  <si>
    <t>DH020325</t>
  </si>
  <si>
    <t>KH001236</t>
  </si>
  <si>
    <t>BS Bùi Minh Tâm</t>
  </si>
  <si>
    <t>0903017180 ( 0981017400)</t>
  </si>
  <si>
    <t>424 Cao Thắng P12 Q10</t>
  </si>
  <si>
    <t>book ze
có gì e đổi giúp c sdt giao hàng sau này sang sdt 0702 017 180 nhé</t>
  </si>
  <si>
    <t>SP094141</t>
  </si>
  <si>
    <t>Tinotin Tretinoin 0.1 gel USP</t>
  </si>
  <si>
    <t>SP093981</t>
  </si>
  <si>
    <t>Tinotin Tretinoin 0.05 gel USP</t>
  </si>
  <si>
    <t>BSN146</t>
  </si>
  <si>
    <t>Elasty F Plus - Chất làm đầy vùng mềm 1cc/1 hộp</t>
  </si>
  <si>
    <t>28082027</t>
  </si>
  <si>
    <t>HD045970</t>
  </si>
  <si>
    <t>DH020324</t>
  </si>
  <si>
    <t>KH001987</t>
  </si>
  <si>
    <t>Ngan Cao</t>
  </si>
  <si>
    <t>0767789951</t>
  </si>
  <si>
    <t>HD045969</t>
  </si>
  <si>
    <t>HD045968</t>
  </si>
  <si>
    <t>DH020323.01</t>
  </si>
  <si>
    <t>KH001586</t>
  </si>
  <si>
    <t>Chị My Đà Nẵng</t>
  </si>
  <si>
    <t>0935591992</t>
  </si>
  <si>
    <t>174 Lê đình lý đà nẵng</t>
  </si>
  <si>
    <t>SP094145</t>
  </si>
  <si>
    <t>Danique UV Defense Tinted Sunscreen SPF50+PA++++ - KCN Nâng tone 40ml</t>
  </si>
  <si>
    <t>Danique</t>
  </si>
  <si>
    <t>06112026</t>
  </si>
  <si>
    <t>BSN190</t>
  </si>
  <si>
    <t>Hyaestic 1% BHA Facial Gentle Cleanser - Sữa Rửa Mặt Dịu Nhẹ Làm Sạch Sâu (150ml)</t>
  </si>
  <si>
    <t>BSN647</t>
  </si>
  <si>
    <t>Peel da</t>
  </si>
  <si>
    <t>SP094015</t>
  </si>
  <si>
    <t>Rejuran S - Tiêm Sẹo 1ml</t>
  </si>
  <si>
    <t>30072027</t>
  </si>
  <si>
    <t>HD045967</t>
  </si>
  <si>
    <t>HD045965</t>
  </si>
  <si>
    <t>DH020316</t>
  </si>
  <si>
    <t>E gửi a
- 1 botulax
- 1 nabota
- 1 cặp meso exocode</t>
  </si>
  <si>
    <t>HD045964</t>
  </si>
  <si>
    <t>22/12/2025 09:56</t>
  </si>
  <si>
    <t>HD045963</t>
  </si>
  <si>
    <t>DH020322</t>
  </si>
  <si>
    <t>KH001168</t>
  </si>
  <si>
    <t>Spa Thùy Dung</t>
  </si>
  <si>
    <t>dinhdung36k3.1@gmail.com</t>
  </si>
  <si>
    <t>0976308987</t>
  </si>
  <si>
    <t>44 Văn Đức Giai, Phường Hưng Bình, Tp Vinh, Nghệ An</t>
  </si>
  <si>
    <t>BSN199</t>
  </si>
  <si>
    <t>Hydrinity Restorative HA Serum - Tinh chất phục hồi 30ml</t>
  </si>
  <si>
    <t>Hydrinity</t>
  </si>
  <si>
    <t>HD045962</t>
  </si>
  <si>
    <t>HD045961</t>
  </si>
  <si>
    <t>DH020321</t>
  </si>
  <si>
    <t>KH001889</t>
  </si>
  <si>
    <t>Tường Mỹ</t>
  </si>
  <si>
    <t>0964170170</t>
  </si>
  <si>
    <t>Tường Mỹ 
0964170170
382/3/14 Nguyễn thái Sơn, phường 5, gò vấp
ĐÓNG XỐP BỎ THÙNG BOOK XE</t>
  </si>
  <si>
    <t>BSN567</t>
  </si>
  <si>
    <t>TRANAXIC (Hộp 10 ống) Tinh chất Tranexamic acid 10% tiêm trị nám, trắng da</t>
  </si>
  <si>
    <t>HD045960</t>
  </si>
  <si>
    <t>DH020320</t>
  </si>
  <si>
    <t>KHÁCH TỰ BOOK SHIP ĐI NGUYỄN ẢNH THỦ Q12</t>
  </si>
  <si>
    <t>HD045959</t>
  </si>
  <si>
    <t>DH020318</t>
  </si>
  <si>
    <t>book xe
0933261088 Hoàng Yến
Chung cư b1, bông sao, f5, quận 8</t>
  </si>
  <si>
    <t>HD045958</t>
  </si>
  <si>
    <t>DH020317</t>
  </si>
  <si>
    <t>book xe
Chị gửi lại sđt và địa chỉ nhận hàng nghe em: 
64/14 Cù Lao, phường Cầu Kiệu (phường 2, quận phú nhuận cũ) 
Sđt nhận hàng: 093 1482953 (Hồng)</t>
  </si>
  <si>
    <t>BSN334</t>
  </si>
  <si>
    <t>Noreva EXFOLIAC SUNCARE FLUID SPF50+ - Kem chống nắng bảo vệ da trước tác hại của tia UVA và UVB từ ánh nắng mặt trời 40ML</t>
  </si>
  <si>
    <t>Novera</t>
  </si>
  <si>
    <t>HD045957</t>
  </si>
  <si>
    <t>BSN636</t>
  </si>
  <si>
    <t>Mặt nạ Tê Lidomask 5 Mask/hộp</t>
  </si>
  <si>
    <t>24032027</t>
  </si>
  <si>
    <t>HD045956</t>
  </si>
  <si>
    <t>HD045955</t>
  </si>
  <si>
    <t>DH020315</t>
  </si>
  <si>
    <t>KH001144</t>
  </si>
  <si>
    <t>Zalo Thoa Nguyen</t>
  </si>
  <si>
    <t>0931416883</t>
  </si>
  <si>
    <t>Salon Tân Thoa 62/29 Huỳnh Tịnh Của, P.19, Q. Bình Thạnh, HCM</t>
  </si>
  <si>
    <t>2 đơn
book xe</t>
  </si>
  <si>
    <t>BSN010</t>
  </si>
  <si>
    <t>Acnotin 10mg - Thuốc điều trị mụn trứng cá</t>
  </si>
  <si>
    <t>Acnotin</t>
  </si>
  <si>
    <t>HD045954</t>
  </si>
  <si>
    <t>DH020314</t>
  </si>
  <si>
    <t>book xe 
2 đơn</t>
  </si>
  <si>
    <t>BSN626</t>
  </si>
  <si>
    <t>Pynocare White lợi ích sáng da và tăng đàn hồi 30v</t>
  </si>
  <si>
    <t>HD045953</t>
  </si>
  <si>
    <t>DH020313</t>
  </si>
  <si>
    <t>KH001851</t>
  </si>
  <si>
    <t>Bs Lan (0332730723) (Q10)</t>
  </si>
  <si>
    <t>lannguyenthi307@gmail.com</t>
  </si>
  <si>
    <t>0332730723</t>
  </si>
  <si>
    <t>Địa chỉ : 796/8 sư van hạnh , q10 ,HCM</t>
  </si>
  <si>
    <t>BSN681</t>
  </si>
  <si>
    <t>Oh oh Divine Blue Cleansing &amp; massaging balm - Sáp tẩy trang làm sạch sâu 150ml</t>
  </si>
  <si>
    <t>25052028</t>
  </si>
  <si>
    <t>HD045952</t>
  </si>
  <si>
    <t>DH020312</t>
  </si>
  <si>
    <t>BSN220</t>
  </si>
  <si>
    <t>Inno Skin Repair - Huyết thanh sữa chữa phục hồi da tuýp nhỏ</t>
  </si>
  <si>
    <t>BSN271</t>
  </si>
  <si>
    <t>La Roche-Posay Thermal Spring Water Sensitive Skin - Xịt Khoáng Làm Dịu Và Bảo Vệ Da 50ml (Chai màu trắng)</t>
  </si>
  <si>
    <t>01022026</t>
  </si>
  <si>
    <t>HD045951</t>
  </si>
  <si>
    <t>DH020307</t>
  </si>
  <si>
    <t>BOOK XE siêu tốc
0938066406
1a1 nguyễn đình chiểu đakao q1</t>
  </si>
  <si>
    <t>BSN542</t>
  </si>
  <si>
    <t>Teoxane Deep Repair Balm - Kem dưỡng ẩm phục hồi 30ml</t>
  </si>
  <si>
    <t>04062028</t>
  </si>
  <si>
    <t>HD045950</t>
  </si>
  <si>
    <t>DH020308</t>
  </si>
  <si>
    <t>KH001357</t>
  </si>
  <si>
    <t>Bs Thoa (Q10)</t>
  </si>
  <si>
    <t>dr.skinacademy95@gmail.com</t>
  </si>
  <si>
    <t>0393889089</t>
  </si>
  <si>
    <t>252/17B Cao Thắng, p12, q10, HCM</t>
  </si>
  <si>
    <t>ĐÃ ĐI</t>
  </si>
  <si>
    <t>HD045949</t>
  </si>
  <si>
    <t>BSN487</t>
  </si>
  <si>
    <t>Skinceuticals Hydrating B5 (Pháp) – Tinh Chất Dưỡng Ẩm 30ml</t>
  </si>
  <si>
    <t>Skinceutical</t>
  </si>
  <si>
    <t>HD045948</t>
  </si>
  <si>
    <t>SP094086</t>
  </si>
  <si>
    <t>SkinCeuticals Vitamin C E Ferulic Serum – Serum Dưỡng Da Chống Lão Hoá 30ml</t>
  </si>
  <si>
    <t>HD045947</t>
  </si>
  <si>
    <t>HD045946</t>
  </si>
  <si>
    <t>đã đi đơn</t>
  </si>
  <si>
    <t>SP093972</t>
  </si>
  <si>
    <t>Radiance Beauva Melan A Cream - Kem dưỡng trẻ hóa, mờ nám 50ml</t>
  </si>
  <si>
    <t>BSN081</t>
  </si>
  <si>
    <t>Bioderma Sensibio H20 - Nước Tẩy Trang Dành Cho Da Nhạy Cảm 500ml</t>
  </si>
  <si>
    <t>BSN528</t>
  </si>
  <si>
    <t>SVR Sebiaclear Eau Micellaire - Nước Tẩy Trang dành cho da dầu mụn 400ml</t>
  </si>
  <si>
    <t>HD045945</t>
  </si>
  <si>
    <t>DH020296</t>
  </si>
  <si>
    <t>KH001749</t>
  </si>
  <si>
    <t>Chị Thiên Hương HN</t>
  </si>
  <si>
    <t>0398003042</t>
  </si>
  <si>
    <t>+Hoặc Hwin Group đường Nguyễn Xiển  Thanh Liệt - Thanh Trì - HN</t>
  </si>
  <si>
    <t>ĐI HN</t>
  </si>
  <si>
    <t>HD045943</t>
  </si>
  <si>
    <t>DH020306</t>
  </si>
  <si>
    <t>BSN426</t>
  </si>
  <si>
    <t>Rejuran Healer 2.7ML* 2ống</t>
  </si>
  <si>
    <t>29052027</t>
  </si>
  <si>
    <t>HD045942</t>
  </si>
  <si>
    <t>21/12/2025 02:16</t>
  </si>
  <si>
    <t>DH020305</t>
  </si>
  <si>
    <t>book siêu tốc</t>
  </si>
  <si>
    <t>HD045941</t>
  </si>
  <si>
    <t>HD045940</t>
  </si>
  <si>
    <t>DH020304</t>
  </si>
  <si>
    <t>KH001728</t>
  </si>
  <si>
    <t>Linh Nga</t>
  </si>
  <si>
    <t>0925379233</t>
  </si>
  <si>
    <t>464 Hùng Vương, Đinh Văn, Lâm Hà , Lâm Đồng</t>
  </si>
  <si>
    <t>HD045939</t>
  </si>
  <si>
    <t>DH020303</t>
  </si>
  <si>
    <t>HD045938.01</t>
  </si>
  <si>
    <t>HD045937</t>
  </si>
  <si>
    <t>DH020270</t>
  </si>
  <si>
    <t>BOOK 2H 
0907396173 - lan anh
4/21/26 tân thới nhất 1, phường tân thới nhất, q12, tp HCM
Nhà em là nhà cuối hẻm ( trước nhà có ghế đá màu vàng)
15 tuýp kem  chấm mụn biotrade</t>
  </si>
  <si>
    <t>HD045936</t>
  </si>
  <si>
    <t>SP094080</t>
  </si>
  <si>
    <t>PAULA'S CHOICE Body Lotion - Dưỡng thể 10% AHA 210ml</t>
  </si>
  <si>
    <t>HD045935</t>
  </si>
  <si>
    <t>DH020281</t>
  </si>
  <si>
    <t>50 An Bình P5, Quận 5
0907676000 c Ngân
1  serum HA renew hidrinity
1 lotion body AHA PC</t>
  </si>
  <si>
    <t>SP094219</t>
  </si>
  <si>
    <t>Hydrinity Renewing HA Serum – Serum Trẻ Hóa &amp; Chống lão hóa 30ml</t>
  </si>
  <si>
    <t>30052028</t>
  </si>
  <si>
    <t>HD045934</t>
  </si>
  <si>
    <t>KH000378</t>
  </si>
  <si>
    <t>Ny Nguyễn</t>
  </si>
  <si>
    <t>0966766439</t>
  </si>
  <si>
    <t>313 Lô C, chung cư trần quốc thảo p9 q3</t>
  </si>
  <si>
    <t>BSN168</t>
  </si>
  <si>
    <t>Goodndoc Hydra B5 Serum – Tinh Chất Phục Hồi Da 50ml</t>
  </si>
  <si>
    <t>Goodndoc</t>
  </si>
  <si>
    <t>HD045933</t>
  </si>
  <si>
    <t>DH020291</t>
  </si>
  <si>
    <t>KH000298</t>
  </si>
  <si>
    <t>Trà Giang Nguyễn</t>
  </si>
  <si>
    <t>0919881336</t>
  </si>
  <si>
    <t>146 an bình , p7q5</t>
  </si>
  <si>
    <t>mẫn xá long châu yên phong bắc ninh
0353509593</t>
  </si>
  <si>
    <t>HD045932</t>
  </si>
  <si>
    <t>DH020285</t>
  </si>
  <si>
    <t>BOOK XE
Hà
+84 90 3982005
30 trần hưng đạo p7 q5</t>
  </si>
  <si>
    <t>SP094185</t>
  </si>
  <si>
    <t>MartiDerm The Originals Proteos Screen SPF50+ Fluid Cream Light - Kem Chống Nắng Phổ Rộng Toàn Diện Ngừa Lão Hóa 40ml ( Tint)</t>
  </si>
  <si>
    <t>HD045931</t>
  </si>
  <si>
    <t>DH020276</t>
  </si>
  <si>
    <t>Qua chợ Đông Yên 500m tiệm Nail Quỳnh Giao Đông Yên Xã An Biên Tỉnh An Giang 0917771749</t>
  </si>
  <si>
    <t>SP094063</t>
  </si>
  <si>
    <t>CodeAge Liposomal Glutathione 500mg - Viên Uống Trắng Da 60 Viên</t>
  </si>
  <si>
    <t>Code Age</t>
  </si>
  <si>
    <t>HD045930</t>
  </si>
  <si>
    <t>ĐÃ ĐI 
THU COD 5170K</t>
  </si>
  <si>
    <t>SP094125</t>
  </si>
  <si>
    <t>Code Age Liposomal NMN - Viên chống lão hóa trẻ hóa da 90 viên</t>
  </si>
  <si>
    <t>SP094127</t>
  </si>
  <si>
    <t>Code Age Vitamins Liposomal Vitamin C+ - Viên Uống Trị Mụn Chống Oxy Hóa, Tăng Cường Miễn Dịch</t>
  </si>
  <si>
    <t>25092028</t>
  </si>
  <si>
    <t>HD045929</t>
  </si>
  <si>
    <t>DH020284</t>
  </si>
  <si>
    <t>HD045928</t>
  </si>
  <si>
    <t>HD045927</t>
  </si>
  <si>
    <t>BSN530</t>
  </si>
  <si>
    <t>SVR Sebiaclear Gel Moussant – Gel Rửa Mặt Dành Cho Da Mụn 55ml</t>
  </si>
  <si>
    <t>HD045926</t>
  </si>
  <si>
    <t>DH020302</t>
  </si>
  <si>
    <t>KH001986</t>
  </si>
  <si>
    <t>Anh Huy</t>
  </si>
  <si>
    <t>0855260735</t>
  </si>
  <si>
    <t>Ấp Bến Lội Xã Bình Châu Thành Phố Hồ Chí Minh</t>
  </si>
  <si>
    <t>HD045925</t>
  </si>
  <si>
    <t>DH020299</t>
  </si>
  <si>
    <t>BOOK SIÊU TỐC
sunrise city view 33 nguyễn hữu thọ phường tân hưng q7
0903369017</t>
  </si>
  <si>
    <t>HD045924</t>
  </si>
  <si>
    <t>DH020298</t>
  </si>
  <si>
    <t>HD045923</t>
  </si>
  <si>
    <t>DH020300</t>
  </si>
  <si>
    <t>SP094004</t>
  </si>
  <si>
    <t>Image I Enhance 25% Retinol Facial Enhancer - Tinh Chất Trẻ Hóa Da</t>
  </si>
  <si>
    <t>HD045922</t>
  </si>
  <si>
    <t>DH020301</t>
  </si>
  <si>
    <t>BSN663</t>
  </si>
  <si>
    <t>Kem ủ tê Pleincell</t>
  </si>
  <si>
    <t>HD045921</t>
  </si>
  <si>
    <t>DH020279</t>
  </si>
  <si>
    <t>book xe đã đi
2 kho</t>
  </si>
  <si>
    <t>BSN399</t>
  </si>
  <si>
    <t>Pharmaform B9 Propolis Vital Ampoule - Tinh Chất Keo Ong Hồi Phục GIảm Đỏ Tái Tạo 50ml</t>
  </si>
  <si>
    <t>HD045920</t>
  </si>
  <si>
    <t>DH020290</t>
  </si>
  <si>
    <t>KH001201</t>
  </si>
  <si>
    <t>Chị Huỳnh Trúc</t>
  </si>
  <si>
    <t>0933161691</t>
  </si>
  <si>
    <t>60B Nguyễn Thông f9 q3</t>
  </si>
  <si>
    <t>book xe
50 An Duong Vuong F9Q5
0909126866</t>
  </si>
  <si>
    <t>SP093994</t>
  </si>
  <si>
    <t>Mặt nạ SRX (1 GÓI 10 MASK)</t>
  </si>
  <si>
    <t>SRX</t>
  </si>
  <si>
    <t>22072028</t>
  </si>
  <si>
    <t>HD045919</t>
  </si>
  <si>
    <t>DH020289</t>
  </si>
  <si>
    <t>BOOK ZE 
41, nguyễn thị nhung, khu đô thị vạn phúc, hiệp bình phước , thủ đức
0914284505</t>
  </si>
  <si>
    <t>BSN312</t>
  </si>
  <si>
    <t>Mona Frema Sunpre sunpre DD - Kem chống nắng nâng tông (MÀU CAM)</t>
  </si>
  <si>
    <t>Mona</t>
  </si>
  <si>
    <t>HD045917</t>
  </si>
  <si>
    <t>20/12/2025 13:17</t>
  </si>
  <si>
    <t>SP093975</t>
  </si>
  <si>
    <t>Dermica AcneZon Ampoule - Xử lý mụn viêm, khô mụn viêm, mờ thâm 10 ampoule</t>
  </si>
  <si>
    <t>AcneZon</t>
  </si>
  <si>
    <t>HD045916</t>
  </si>
  <si>
    <t>20/12/2025 13:18</t>
  </si>
  <si>
    <t>DH020268</t>
  </si>
  <si>
    <t>KH001481</t>
  </si>
  <si>
    <t>Dr Lê Na (Zalo Leenana)</t>
  </si>
  <si>
    <t>0886292368</t>
  </si>
  <si>
    <t>Phòng khám Dr Lê Na, 1049 Huỳnh Tấn Phát, Phú Thuận, Quận 7, Thành phố Hồ Chí Minh</t>
  </si>
  <si>
    <t>2 ĐƠN
MAI SHIP 2H TỪ 13H ĐẾN 17H 
Đ/C: Số 33 đường 40 Tân Phong Q7</t>
  </si>
  <si>
    <t>SP094210</t>
  </si>
  <si>
    <t>Dermafirm Hydro Fresh Fomula Emulsion - Sữa dưỡng ẩm cấp nước 120ml</t>
  </si>
  <si>
    <t>Dermafirm</t>
  </si>
  <si>
    <t>03112027</t>
  </si>
  <si>
    <t>SP094051</t>
  </si>
  <si>
    <t>PURLES 61 M-PEEL 40% / PEEL TÁI TẠO, ĐIỀU TRỊ TĂNG SẮC TỐ SAU VIÊM VÀ NGĂN NGỪA MỤN TÁI PHÁT 100ml</t>
  </si>
  <si>
    <t>HD045915</t>
  </si>
  <si>
    <t>DH020273</t>
  </si>
  <si>
    <t>Mai book xe</t>
  </si>
  <si>
    <t>SP094216</t>
  </si>
  <si>
    <t>Inno Hair Vital - Hoạt chất mọc tóc 4x2.5ml (NỮ)</t>
  </si>
  <si>
    <t>HD045914</t>
  </si>
  <si>
    <t>20/12/2025 13:21</t>
  </si>
  <si>
    <t>SP094198</t>
  </si>
  <si>
    <t>Colorescience Sunforgettable Total Protection Face Shield FLEX SPF 50 - Kem Chống Nắng SPF50 55ML</t>
  </si>
  <si>
    <t>Colorescience</t>
  </si>
  <si>
    <t>HD045913</t>
  </si>
  <si>
    <t>DH020267</t>
  </si>
  <si>
    <t>BSN678</t>
  </si>
  <si>
    <t>Vivant 8% mandelic acid 3 in 1 serum</t>
  </si>
  <si>
    <t>Vivant</t>
  </si>
  <si>
    <t>HD045912</t>
  </si>
  <si>
    <t>DH020294</t>
  </si>
  <si>
    <t>HD045911</t>
  </si>
  <si>
    <t>DH020293</t>
  </si>
  <si>
    <t>GỬI CHÀNH BAY
HPUX</t>
  </si>
  <si>
    <t>HD045910</t>
  </si>
  <si>
    <t>DH020292</t>
  </si>
  <si>
    <t>KÈM 4 chai TTBC Jean 
khách tự book xe
BS HUÊ HCM</t>
  </si>
  <si>
    <t>HD045909</t>
  </si>
  <si>
    <t>DH020288</t>
  </si>
  <si>
    <t>Chung đơn book xe</t>
  </si>
  <si>
    <t>HD045908</t>
  </si>
  <si>
    <t>DH020286</t>
  </si>
  <si>
    <t>KH000038</t>
  </si>
  <si>
    <t>Lê Quỳnh Nga</t>
  </si>
  <si>
    <t>Quynhnga208@gmail.com</t>
  </si>
  <si>
    <t>0987978279</t>
  </si>
  <si>
    <t>891/9 Nguyễn Kiệm</t>
  </si>
  <si>
    <t>Phường 03</t>
  </si>
  <si>
    <t>BOOOK XE</t>
  </si>
  <si>
    <t>BSN680</t>
  </si>
  <si>
    <t>Obagi Hydrate Luxe - Kem dưỡng ẩm 48g</t>
  </si>
  <si>
    <t>HD045907</t>
  </si>
  <si>
    <t>DH020283</t>
  </si>
  <si>
    <t>KH001953</t>
  </si>
  <si>
    <t>Chị Thu Hằng 0987378995</t>
  </si>
  <si>
    <t>0987378995</t>
  </si>
  <si>
    <t>TMV Thiện Mỹ, 88 nguyễn thái học, phường bến thành, hcm</t>
  </si>
  <si>
    <t>BSN174</t>
  </si>
  <si>
    <t>Heliocare Cápsulas Oral – Viên Uống Chống Nắng 60 Viên</t>
  </si>
  <si>
    <t>Heliocare</t>
  </si>
  <si>
    <t>HD045906</t>
  </si>
  <si>
    <t>DH020282</t>
  </si>
  <si>
    <t>KH000199</t>
  </si>
  <si>
    <t>Khánh Hương</t>
  </si>
  <si>
    <t>0919455739</t>
  </si>
  <si>
    <t>48 Sư Vạn Hạnh p 9 Q5</t>
  </si>
  <si>
    <t>Hồ Chí Minh - Quận 5</t>
  </si>
  <si>
    <t>Phường 09</t>
  </si>
  <si>
    <t>BSN170</t>
  </si>
  <si>
    <t>Goodndoc Sun Repair SPF50 - Kem chống nắng, che khuyết điểm 50ml</t>
  </si>
  <si>
    <t>BSN354</t>
  </si>
  <si>
    <t>OH OH OATMERE SERUM (WITH 4.5% OAT EXTRACT &amp; 9,9PPM EGF) - SERUM TINH CHẤT TẾ BÀO GỐC, TÁI TẠO DA</t>
  </si>
  <si>
    <t>HD045905</t>
  </si>
  <si>
    <t>DH020280</t>
  </si>
  <si>
    <t>BSN639</t>
  </si>
  <si>
    <t>Apizit - Thuốc bôi mụn</t>
  </si>
  <si>
    <t>HD045904</t>
  </si>
  <si>
    <t>20/12/2025 13:22</t>
  </si>
  <si>
    <t>DH020278</t>
  </si>
  <si>
    <t>BSN526</t>
  </si>
  <si>
    <t>SVR Topialyse Gel Lavant - Gel Sữa Rửa Mặt Dạng Không Chứa Xà Phòng Dành Cho Da Khô 200ml</t>
  </si>
  <si>
    <t>HD045903</t>
  </si>
  <si>
    <t>DH020277</t>
  </si>
  <si>
    <t>KH001297</t>
  </si>
  <si>
    <t>Thu Hà SVR</t>
  </si>
  <si>
    <t>0904474867</t>
  </si>
  <si>
    <t>phí ghtk 2 đơn nhờ đóng</t>
  </si>
  <si>
    <t>HD045902</t>
  </si>
  <si>
    <t>DH020275</t>
  </si>
  <si>
    <t>KHÁCH TỰ BOOK XE ĐI HUỲNH TẤN PHÁT</t>
  </si>
  <si>
    <t>HD045901</t>
  </si>
  <si>
    <t>DH020274</t>
  </si>
  <si>
    <t>KH000771</t>
  </si>
  <si>
    <t>C Diễm (Zalo Nguyễn Diễm)</t>
  </si>
  <si>
    <t>0982858148</t>
  </si>
  <si>
    <t>Ấp phương lâm- xã phú lâm- tân phú
Đồng nai</t>
  </si>
  <si>
    <t>BSN302</t>
  </si>
  <si>
    <t>Mona Frema Sunpre AA SPF 50+ PA++++ - Kem chống nắng 60ml</t>
  </si>
  <si>
    <t>HD045900</t>
  </si>
  <si>
    <t>DH020272</t>
  </si>
  <si>
    <t>KH000960</t>
  </si>
  <si>
    <t>Zalo Hien Nguyen</t>
  </si>
  <si>
    <t>nguyenhien.oceania@gmail.com</t>
  </si>
  <si>
    <t>0707563954</t>
  </si>
  <si>
    <t>119/18 đường số 7, phường 3, gò vấp, hcm</t>
  </si>
  <si>
    <t>BSN157</t>
  </si>
  <si>
    <t>Floslek Pharma Mattifying Cream - Kem Hỗ Trợ Kiềm Dầu Nhờn</t>
  </si>
  <si>
    <t>01022029</t>
  </si>
  <si>
    <t>HD045899</t>
  </si>
  <si>
    <t>KH000821</t>
  </si>
  <si>
    <t>Ngô Châu (Chị Hoài Phan)</t>
  </si>
  <si>
    <t>0931043879</t>
  </si>
  <si>
    <t>185/19c/35 ngô chí quốc, bình chiểu, thủ đức</t>
  </si>
  <si>
    <t>HD045898</t>
  </si>
  <si>
    <t>HD045897</t>
  </si>
  <si>
    <t>DH020269</t>
  </si>
  <si>
    <t>BSN269</t>
  </si>
  <si>
    <t>LA ROCHE POSAY B5 SERUM 10ML</t>
  </si>
  <si>
    <t>BSN293</t>
  </si>
  <si>
    <t>L-OTHIN ĐV - Đẹp da và Hỗ Trợ Thanh Nhiệt Giải Độc, Bảo Vệ Tế Bào Gan</t>
  </si>
  <si>
    <t>LIVER ĐV</t>
  </si>
  <si>
    <t>HD045896</t>
  </si>
  <si>
    <t>KH001920</t>
  </si>
  <si>
    <t>Zalo Tấm Hàn</t>
  </si>
  <si>
    <t>0868016366</t>
  </si>
  <si>
    <t>Kđt Âu Cơ - phường Âu Cơ - Tx Phú thọ</t>
  </si>
  <si>
    <t>SP094217</t>
  </si>
  <si>
    <t>Colorescience Face Shield SPF 50 Glow - Kem chống nắng căng bóng da 55ML</t>
  </si>
  <si>
    <t>SP093999</t>
  </si>
  <si>
    <t>Tinh Chất Tảo Laboratoire Avenir PhycovitC 10ml x 14 ống từ Pháp</t>
  </si>
  <si>
    <t>SP094215</t>
  </si>
  <si>
    <t>RRS® HA WHITENING Làm trắng, điều trị nám 6x3ml</t>
  </si>
  <si>
    <t>RRS</t>
  </si>
  <si>
    <t>HD045895</t>
  </si>
  <si>
    <t>SP094213</t>
  </si>
  <si>
    <t>JA Hydra Cleansing Milk - Sữa rửa mặt dưỡng ẩm 210ML</t>
  </si>
  <si>
    <t>SP094211</t>
  </si>
  <si>
    <t>MD CARE Hydrating Milk Cleanser - Sữa Rửa Mặt Dịu Nhẹ Và Cấp Ẩm Dành Cho Da Nhạy Cảm 200ml</t>
  </si>
  <si>
    <t>28072028</t>
  </si>
  <si>
    <t>SP094212</t>
  </si>
  <si>
    <t>MD CARE Mandelic Acid 5% Gel Cleanser - Sữa Rửa Mặt Mande 5% Dạng Gel Sạch Sâu Và Tẩy Tế Bào Chết Nhẹ Nhàng 200ml</t>
  </si>
  <si>
    <t>05112028</t>
  </si>
  <si>
    <t>HD045891</t>
  </si>
  <si>
    <t>KH001320</t>
  </si>
  <si>
    <t>Hà Hoàng</t>
  </si>
  <si>
    <t>0972868576</t>
  </si>
  <si>
    <t>190, Trần Hưng Đạo, KP1, P1, tp Tây Ninh
.</t>
  </si>
  <si>
    <t>HD045890</t>
  </si>
  <si>
    <t>HD045889</t>
  </si>
  <si>
    <t>20/12/2025 02:13</t>
  </si>
  <si>
    <t>SP094208</t>
  </si>
  <si>
    <t>kelo - Cote Gel mờ sẹo 6g</t>
  </si>
  <si>
    <t>HD045888</t>
  </si>
  <si>
    <t>SP093956</t>
  </si>
  <si>
    <t>Ekseption Hyaluronic Niacin - Serum giảm mụn, xóa thâm</t>
  </si>
  <si>
    <t>05082029</t>
  </si>
  <si>
    <t>HD045887</t>
  </si>
  <si>
    <t>DH020266</t>
  </si>
  <si>
    <t>0938385983 Trang
Nhà Thuốc Tâm Đức
725 Nguyễn văn tạo hiệp Phước nhà bè</t>
  </si>
  <si>
    <t>HD045886</t>
  </si>
  <si>
    <t>KH001524</t>
  </si>
  <si>
    <t>Inno Hỗ trợ BS Huê</t>
  </si>
  <si>
    <t>HD045885</t>
  </si>
  <si>
    <t>BS HUÊ HN</t>
  </si>
  <si>
    <t>HD045884</t>
  </si>
  <si>
    <t>HHT HCM</t>
  </si>
  <si>
    <t>HD045883</t>
  </si>
  <si>
    <t>BSN226</t>
  </si>
  <si>
    <t>Inno Dark Spot Eraser 24H Cream - Kem xóa thâm nám 50ml</t>
  </si>
  <si>
    <t>SP094161</t>
  </si>
  <si>
    <t>Inno Hair Loss Control - Hoạt chất mọc tóc 4x2.5ml (NAM)</t>
  </si>
  <si>
    <t>HD045882</t>
  </si>
  <si>
    <t>HD045881</t>
  </si>
  <si>
    <t>HD045880</t>
  </si>
  <si>
    <t>DH020263</t>
  </si>
  <si>
    <t>GỬI XE</t>
  </si>
  <si>
    <t>BSN181</t>
  </si>
  <si>
    <t>Histolab Egf Complex Ampoule 50% - Tinh chất chống lão hóa 50ml</t>
  </si>
  <si>
    <t>BSN390</t>
  </si>
  <si>
    <t>Purles 111 Soothing Cream - Kem làm dịu chống mẩn đỏ và bảo vệ da 50ml</t>
  </si>
  <si>
    <t>SP094206</t>
  </si>
  <si>
    <t>RILASTIL XEROLACT CLEANSING GEL - GEL TẮM, RỬA MẶT TOÀN THÂN 400ML</t>
  </si>
  <si>
    <t>01092029</t>
  </si>
  <si>
    <t>HD045878</t>
  </si>
  <si>
    <t>KH000285</t>
  </si>
  <si>
    <t>Hoàng Đức Nhật (ZALO BS Nhật)</t>
  </si>
  <si>
    <t>0933087378</t>
  </si>
  <si>
    <t>Nhà thuốc 408, số 35, khu phố 3, phường Chánh Phú Hoà, Bến Cát, Bình Dương</t>
  </si>
  <si>
    <t>Gửi lên chị cẩm
Chợ chánh lưu. Quốc lộ 14 
Nhà thuốc 408 
Chánh phú hoà. Bến cát. Bình dương
0947295545</t>
  </si>
  <si>
    <t>SP094205</t>
  </si>
  <si>
    <t>ZO Skin Health Rozatrol - Kem Dưỡng Phục Hồi, Giảm Đỏ Cho Da 20ml</t>
  </si>
  <si>
    <t>ZO SKIN HEALTH</t>
  </si>
  <si>
    <t>SP094204</t>
  </si>
  <si>
    <t>ZO 10% VITAMIN C SELF ACTIVATING - SERUM C 10%</t>
  </si>
  <si>
    <t>BSN211</t>
  </si>
  <si>
    <t>Image Iluma Intense Facial Illuminator – Tinh Chất Mờ Đốm Nâu 30ml</t>
  </si>
  <si>
    <t>HD045877</t>
  </si>
  <si>
    <t>BSN677</t>
  </si>
  <si>
    <t>FAU Skin Solution SOS Mask - Mặt nạ miếng</t>
  </si>
  <si>
    <t>FAU</t>
  </si>
  <si>
    <t>HD045876</t>
  </si>
  <si>
    <t>DH020262</t>
  </si>
  <si>
    <t>KH001985</t>
  </si>
  <si>
    <t>Ngọc khách tiêm</t>
  </si>
  <si>
    <t>0869487272</t>
  </si>
  <si>
    <t>HD045875</t>
  </si>
  <si>
    <t>BSN219</t>
  </si>
  <si>
    <t>Inno deep Cleanser - Sữa rửa mặt 200ml</t>
  </si>
  <si>
    <t>BSN381</t>
  </si>
  <si>
    <t>Purles 167 Retinal night serum - Giảm nếp nhăn, chảy xệ. Làm mịn, căng bóng tức thì. 30ml</t>
  </si>
  <si>
    <t>BSN551</t>
  </si>
  <si>
    <t>Theramid vitamin a</t>
  </si>
  <si>
    <t>Theramid</t>
  </si>
  <si>
    <t>BSN439</t>
  </si>
  <si>
    <t>Rilastil D Clar Daily Depigmenting Cream - Kem cấp ẩm điều trị thâm nám 40ml</t>
  </si>
  <si>
    <t>SP094179</t>
  </si>
  <si>
    <t>Ksurgery Hydrawave Pro-Age Face Serum 30ml</t>
  </si>
  <si>
    <t>Medik 8</t>
  </si>
  <si>
    <t>1/11/2027</t>
  </si>
  <si>
    <t>HD045874</t>
  </si>
  <si>
    <t>DH020260</t>
  </si>
  <si>
    <t>KH001882</t>
  </si>
  <si>
    <t>Bác sĩ Ngọc Thảo</t>
  </si>
  <si>
    <t>0932066520</t>
  </si>
  <si>
    <t>12/14 Phan kế Bính quận 1</t>
  </si>
  <si>
    <t>BSN350</t>
  </si>
  <si>
    <t>Obagi 360 Retinol 0.5 – Kem Chống Lão Hóa Da, Ngừa Mụn 28g</t>
  </si>
  <si>
    <t>HD045873</t>
  </si>
  <si>
    <t>DH020257</t>
  </si>
  <si>
    <t>BSN263</t>
  </si>
  <si>
    <t>Klapp Boost Anti Couperose - Tinh chất giảm viêm, dãn mao mạch 5x2ml</t>
  </si>
  <si>
    <t>Klapp</t>
  </si>
  <si>
    <t>BSN676</t>
  </si>
  <si>
    <t>FAU SOS Ampoule – Tinh chất giảm đỏ, làm dịu, phục hồi da (10ml*5)</t>
  </si>
  <si>
    <t>HD045872</t>
  </si>
  <si>
    <t>DH020259</t>
  </si>
  <si>
    <t>HD045871</t>
  </si>
  <si>
    <t>DH020258</t>
  </si>
  <si>
    <t>HD045870</t>
  </si>
  <si>
    <t>DH020261</t>
  </si>
  <si>
    <t>HD045869</t>
  </si>
  <si>
    <t>KH000810</t>
  </si>
  <si>
    <t>Thi Huỳnh (BVDL)</t>
  </si>
  <si>
    <t>0934087549</t>
  </si>
  <si>
    <t>BVDL TP HCM</t>
  </si>
  <si>
    <t>HD045868</t>
  </si>
  <si>
    <t>HD045867</t>
  </si>
  <si>
    <t>SP094203</t>
  </si>
  <si>
    <t>ZO PIGMENT CONTROL+BLENDING CRÈME4% – Kem Điều Trị Sắc Tố Da 80ml</t>
  </si>
  <si>
    <t>HD045866</t>
  </si>
  <si>
    <t>SP094147</t>
  </si>
  <si>
    <t>INFINI E EYEBOOSTER - Meso vùng mắt 2x1ml</t>
  </si>
  <si>
    <t>HD045865</t>
  </si>
  <si>
    <t>DH020255</t>
  </si>
  <si>
    <t>HD045864</t>
  </si>
  <si>
    <t>HD045863</t>
  </si>
  <si>
    <t>HD045862</t>
  </si>
  <si>
    <t>DH020256</t>
  </si>
  <si>
    <t>BSN560</t>
  </si>
  <si>
    <t>Tacrolimus Ointment 0.1%</t>
  </si>
  <si>
    <t>HD045861</t>
  </si>
  <si>
    <t>KH000902</t>
  </si>
  <si>
    <t>Nguyễn Phương (Gò Vấp)</t>
  </si>
  <si>
    <t>nguyenphuong.lptn@gmail.com</t>
  </si>
  <si>
    <t>0974260194</t>
  </si>
  <si>
    <t>C1 Chung cư Khang Gia, phường 14, quận Gò Vấp )</t>
  </si>
  <si>
    <t>BSN563</t>
  </si>
  <si>
    <t>Adapalene Benzoyl Peroxide Adapex Bpo - Gel Chấm Mụn</t>
  </si>
  <si>
    <t>HD045860</t>
  </si>
  <si>
    <t>KH001980</t>
  </si>
  <si>
    <t>Chị Hiền Vi Derm</t>
  </si>
  <si>
    <t>BSN548</t>
  </si>
  <si>
    <t>Sữa Dưỡng Thể Làm Sáng Da 15% Glycolic Acid - The Perfect Body Lotion (237ml)</t>
  </si>
  <si>
    <t>The perfect derma</t>
  </si>
  <si>
    <t>HD045859</t>
  </si>
  <si>
    <t>GHTK 
lô H017, chung cư Đồng Diều, Cao Lỗ, p4, q8
0369314714</t>
  </si>
  <si>
    <t>HD045858</t>
  </si>
  <si>
    <t>KH001567</t>
  </si>
  <si>
    <t>Zalo chị Coo Tiên</t>
  </si>
  <si>
    <t>nguyenthicamtien191098@gmail.com</t>
  </si>
  <si>
    <t>0792470217</t>
  </si>
  <si>
    <t>2A phú hoà p7 tân bình</t>
  </si>
  <si>
    <t>HD045857.03</t>
  </si>
  <si>
    <t>KH000250</t>
  </si>
  <si>
    <t>Nguyễn Thị Trầm</t>
  </si>
  <si>
    <t>0359176556</t>
  </si>
  <si>
    <t>Bệnh viện quốc tế DNA, 1015 Trần Hưng Đạo, r 5, quận 5, TP Hồ Chí Mình</t>
  </si>
  <si>
    <t>Trầm 0359176556
Block MP9-X, KĐT Mizuki, Bình Hưng, Bình Chánh , TP Hồ Chí Minh</t>
  </si>
  <si>
    <t>HD045856</t>
  </si>
  <si>
    <t>SP094201</t>
  </si>
  <si>
    <t>MD:Ceuticals MD Complex Melanoceuticals CX - Tinh Chất Giảm Nám Dưỡng Trắng Da 5X7ML</t>
  </si>
  <si>
    <t>HD045855</t>
  </si>
  <si>
    <t>DH020250</t>
  </si>
  <si>
    <t>HD045854</t>
  </si>
  <si>
    <t>HD045853.01</t>
  </si>
  <si>
    <t>HD045852</t>
  </si>
  <si>
    <t>HD045851</t>
  </si>
  <si>
    <t>DH020251</t>
  </si>
  <si>
    <t>HD045850</t>
  </si>
  <si>
    <t>BSN072</t>
  </si>
  <si>
    <t>BIHAKU viên uống trắng da collagen Nhật</t>
  </si>
  <si>
    <t>BIHAKU</t>
  </si>
  <si>
    <t>18062028</t>
  </si>
  <si>
    <t>HD045849</t>
  </si>
  <si>
    <t>HD045848</t>
  </si>
  <si>
    <t>KH000550</t>
  </si>
  <si>
    <t>Thuận</t>
  </si>
  <si>
    <t>HD045847</t>
  </si>
  <si>
    <t>DH020249</t>
  </si>
  <si>
    <t>KH001372</t>
  </si>
  <si>
    <t>Thành Bảo</t>
  </si>
  <si>
    <t>0989311150</t>
  </si>
  <si>
    <t>27 nguyễn đình chiểu, đa kao quận 1</t>
  </si>
  <si>
    <t>SP094110</t>
  </si>
  <si>
    <t>Restylane Defyne Tiêm cằm thái dương 1ml</t>
  </si>
  <si>
    <t>HD045846</t>
  </si>
  <si>
    <t>KH001780</t>
  </si>
  <si>
    <t>Bs Thuỳ Nhi</t>
  </si>
  <si>
    <t>thuynhi.vutm@gmail.com</t>
  </si>
  <si>
    <t>0931851621</t>
  </si>
  <si>
    <t>HD045845</t>
  </si>
  <si>
    <t>DH020231</t>
  </si>
  <si>
    <t>HD045844</t>
  </si>
  <si>
    <t>23/12/2025 10:57</t>
  </si>
  <si>
    <t>DH020248</t>
  </si>
  <si>
    <t>TH000364</t>
  </si>
  <si>
    <t>KH001593</t>
  </si>
  <si>
    <t>Nguyễn Đào Phương Linh</t>
  </si>
  <si>
    <t>DrPhuongLinh.Derma@gmail.com</t>
  </si>
  <si>
    <t>0338871991</t>
  </si>
  <si>
    <t>Quang Liêm 0917529353 Hiệu giày Quang Liêm, ấp Thanh Bình 3, xã Bình Châu, huyện Xuyên Mộc, tỉnh BRVT (Đ/c mới xã bình châu, tphcm)</t>
  </si>
  <si>
    <t>GHTK 2 chiều đổi hàng cho khách</t>
  </si>
  <si>
    <t>BSN345</t>
  </si>
  <si>
    <t>Obagi Elastiderm Eye Complete Complex Serum – Tinh Chất Chống Nhăn, Giảm Thâm Quầng Mắt 14ml</t>
  </si>
  <si>
    <t>HD045843</t>
  </si>
  <si>
    <t>DH020247</t>
  </si>
  <si>
    <t>1 serum posquam gửi về
Tiệm tóc Mỹ Lệ, thôn 1 ealê, xã easup, Đăk Lăk ạ
0816317856</t>
  </si>
  <si>
    <t>SP094199</t>
  </si>
  <si>
    <t>PostQuam Medskin Vita-C Serum Q88 - Serum Giảm Nám, Dưỡng Sáng Da, Chống Lão Hóa</t>
  </si>
  <si>
    <t>HD045842</t>
  </si>
  <si>
    <t>ghtk</t>
  </si>
  <si>
    <t>HD045841</t>
  </si>
  <si>
    <t>DH020232</t>
  </si>
  <si>
    <t>SP094182</t>
  </si>
  <si>
    <t>Decaar Purifying Cleansing Gel - GEL RỬA MẶT THẢI ĐỘC 500ml (Hộp)</t>
  </si>
  <si>
    <t>Decaar</t>
  </si>
  <si>
    <t>SP094191</t>
  </si>
  <si>
    <t>DERMEDEN LUMIXDERM BRIGHTENING CREAM - KEM DƯỠNG SÁNG DA CAO CẤP, GIẢM NÁM, MỜ THÂM 40ml</t>
  </si>
  <si>
    <t>DermEden</t>
  </si>
  <si>
    <t>01092030</t>
  </si>
  <si>
    <t>SP094190</t>
  </si>
  <si>
    <t>Dermeden Rich Cream - Kem dưỡng ẩm ,chống lão hóa chuyên sâu 50ml</t>
  </si>
  <si>
    <t>BSN193</t>
  </si>
  <si>
    <t>Hyaestic 20% Aze Cream - Kem điều trị mụn và nám chuyên sâu 30ml</t>
  </si>
  <si>
    <t>HD045840</t>
  </si>
  <si>
    <t>KH001221</t>
  </si>
  <si>
    <t>Thúy An Spa</t>
  </si>
  <si>
    <t>0948865558</t>
  </si>
  <si>
    <t>Akspa &amp; beauty  359 nguyễn thiện thuật q3</t>
  </si>
  <si>
    <t>HD045839</t>
  </si>
  <si>
    <t>DH020233</t>
  </si>
  <si>
    <t>BSN172</t>
  </si>
  <si>
    <t>GoodnDoc Centella Repair Cream - Kem Rau Má Dưỡng Ẩm Phục Hồi Giảm Thâm Nám Trắng Sáng Da Chống Lão Hóa 50ml</t>
  </si>
  <si>
    <t>HD045837</t>
  </si>
  <si>
    <t>DH020240</t>
  </si>
  <si>
    <t>BSN062</t>
  </si>
  <si>
    <t>Babe Depigment Lotion Glow - Sữa Dưỡng Cân Bằng Da 150ml</t>
  </si>
  <si>
    <t>HD045836</t>
  </si>
  <si>
    <t>DH020244</t>
  </si>
  <si>
    <t>KH001798</t>
  </si>
  <si>
    <t>Kim Thoa</t>
  </si>
  <si>
    <t>daothoa_1992@Icloud.Com</t>
  </si>
  <si>
    <t>0964707270</t>
  </si>
  <si>
    <t>Mây Beauty spa 
Trung tâm thương mại Bù nho Phú riềng bình Phước</t>
  </si>
  <si>
    <t>2,2 kg</t>
  </si>
  <si>
    <t>BSN204</t>
  </si>
  <si>
    <t>ICON SKIN- 12% MANDELIC SMART PEEL SYSTEM 30ml</t>
  </si>
  <si>
    <t>ICON SKIN</t>
  </si>
  <si>
    <t>BSN180</t>
  </si>
  <si>
    <t>Histolab Azulene Complex Complex Ampoule 72% - Tinh chất trị mụn kháng viêm 50ml</t>
  </si>
  <si>
    <t>BSN182</t>
  </si>
  <si>
    <t>Histolab Red Out K Cream - Kem tái tạo phục hồi da 50ml</t>
  </si>
  <si>
    <t>HD045835</t>
  </si>
  <si>
    <t>KH000728</t>
  </si>
  <si>
    <t>Châu Thanh Xuân</t>
  </si>
  <si>
    <t>0909634346 (0792272154)</t>
  </si>
  <si>
    <t>72/8D cô giang p2 phú nhuận</t>
  </si>
  <si>
    <t>SP094155</t>
  </si>
  <si>
    <t>DermEden Cicaderm Repair Care - Kem dưỡng ẩm cho da nhạy cảm 30m</t>
  </si>
  <si>
    <t>HD045834</t>
  </si>
  <si>
    <t>DH020241</t>
  </si>
  <si>
    <t>HD045833</t>
  </si>
  <si>
    <t>DH020246</t>
  </si>
  <si>
    <t>GHTK MVĐ 1516103694</t>
  </si>
  <si>
    <t>HD045832</t>
  </si>
  <si>
    <t>KH001573</t>
  </si>
  <si>
    <t>Chị Diệu Linh (Hà Nam)</t>
  </si>
  <si>
    <t>dieulinhrabbit@gmail.com</t>
  </si>
  <si>
    <t>0869996858</t>
  </si>
  <si>
    <t>Thẩm mỹ viện Tây Hoa, chợ đằn- lê hồ- kim bảng- hà nam</t>
  </si>
  <si>
    <t>HD045831</t>
  </si>
  <si>
    <t>BSN065</t>
  </si>
  <si>
    <t>Babe Stop AKN Repairing Moisturiser – Kem dưỡng phục hồi da mụn 50ml (tuýp) MÀU XANH</t>
  </si>
  <si>
    <t>HD045829</t>
  </si>
  <si>
    <t>DH020245</t>
  </si>
  <si>
    <t>BSN247</t>
  </si>
  <si>
    <t>(HÀNG CÔNG TY) Juvederm volift with lidocain</t>
  </si>
  <si>
    <t>juvederm</t>
  </si>
  <si>
    <t>HD045828</t>
  </si>
  <si>
    <t>KH001908</t>
  </si>
  <si>
    <t>Bích Ngọc Dương</t>
  </si>
  <si>
    <t>0966796191</t>
  </si>
  <si>
    <t>6/32 khúc hạo,phường vĩnh niệm,quận lê chân,hp</t>
  </si>
  <si>
    <t>HUTOX ĐÃ ĐI HN</t>
  </si>
  <si>
    <t>SP094196</t>
  </si>
  <si>
    <t>Hutox 100UN</t>
  </si>
  <si>
    <t>HD045827.01</t>
  </si>
  <si>
    <t>KH001925</t>
  </si>
  <si>
    <t>BS Thắm BMT</t>
  </si>
  <si>
    <t>0326329729</t>
  </si>
  <si>
    <t>155 nguyễn thị định, p thành nhất, buôn ma thuột, đắk lắk</t>
  </si>
  <si>
    <t>SP094195</t>
  </si>
  <si>
    <t>Image Skincare Daily Prevention Ultra Defense Moisturizer SPF50 - Kem Chống Nắng Từ Mỹ (73gr)</t>
  </si>
  <si>
    <t>HD045826</t>
  </si>
  <si>
    <t>DH020243</t>
  </si>
  <si>
    <t>KH001742</t>
  </si>
  <si>
    <t>Bảo Ni</t>
  </si>
  <si>
    <t>0965448698</t>
  </si>
  <si>
    <t>379R/9, Trần Nam Phú, An Khánh, Ninh Kiều, Cần Thơ</t>
  </si>
  <si>
    <t>BSN029</t>
  </si>
  <si>
    <t>AHOHWA PRESTIGE SOLUTION SHINNING CERAMIDE WATER CREAM - Kem dưỡng làm dịu, phục hồi nhanh 80g</t>
  </si>
  <si>
    <t>HD045825</t>
  </si>
  <si>
    <t>HD045824</t>
  </si>
  <si>
    <t>SP094193</t>
  </si>
  <si>
    <t>Purles 144</t>
  </si>
  <si>
    <t>HD045823</t>
  </si>
  <si>
    <t>SP094028</t>
  </si>
  <si>
    <t>Inno redness peel - Hoạt chất tái tạo cho da nhạy cảm 6x2ml</t>
  </si>
  <si>
    <t>HD045822</t>
  </si>
  <si>
    <t>HD045821</t>
  </si>
  <si>
    <t>KH000823</t>
  </si>
  <si>
    <t>Bs Hồ Vương</t>
  </si>
  <si>
    <t>0903925838</t>
  </si>
  <si>
    <t>Tháp 3 Chung Cư Palm Heights phường An Phú tp Thủ Đức, tp HCM</t>
  </si>
  <si>
    <t>HD045820</t>
  </si>
  <si>
    <t>KH001551</t>
  </si>
  <si>
    <t>Chị Nguyễn Sơn Trúc Bombit</t>
  </si>
  <si>
    <t>0916505744</t>
  </si>
  <si>
    <t>7 Trần Quốc Thảo, P. Võ Thị Sáu, Q.3</t>
  </si>
  <si>
    <t>HD045819</t>
  </si>
  <si>
    <t>19/12/2025 14:33</t>
  </si>
  <si>
    <t>DH020230</t>
  </si>
  <si>
    <t>SP094009</t>
  </si>
  <si>
    <t>Ducray Anaphase+ Shampoo - Dầu Gội cho da mỏng yếu 200ml</t>
  </si>
  <si>
    <t>HD045818</t>
  </si>
  <si>
    <t>19/12/2025 15:42</t>
  </si>
  <si>
    <t>DH020234</t>
  </si>
  <si>
    <t>TH000355,TH000357</t>
  </si>
  <si>
    <t>Đơn SPX</t>
  </si>
  <si>
    <t>HD045817</t>
  </si>
  <si>
    <t>DH020235</t>
  </si>
  <si>
    <t>HD045816</t>
  </si>
  <si>
    <t>DH020236</t>
  </si>
  <si>
    <t>Khu phố Hiếu Cảm, phường Hưng Long, thị xã Chơn Thành, tỉnh Bình Phước ( nay là Khu phố Hiếu Cảm, phường Chơn Thành, tỉnh Đồng Nai)
Chị Mỹ Linh 0982575419
(Kem Zymogen đã lấy)</t>
  </si>
  <si>
    <t>BSN429</t>
  </si>
  <si>
    <t>Revision Skincare papaya Enzyme Cleanser - Sữa rửa mặt cân bằng độ ẩm da 100ml</t>
  </si>
  <si>
    <t>HD045815</t>
  </si>
  <si>
    <t>DH020238</t>
  </si>
  <si>
    <t>HD045814</t>
  </si>
  <si>
    <t>DH020239</t>
  </si>
  <si>
    <t>KH001768</t>
  </si>
  <si>
    <t>Dr Hoa Linh</t>
  </si>
  <si>
    <t>Hoalinh1702@gmail.com</t>
  </si>
  <si>
    <t>0817774898</t>
  </si>
  <si>
    <t>Olin Clinic &amp; Spa 
79 đường số 4, cư xá Đô Thành, phường 4, quận 3</t>
  </si>
  <si>
    <t>BSN327</t>
  </si>
  <si>
    <t>NeoStrata ProSystem Retinol Peel - Peel Da 1 lọ</t>
  </si>
  <si>
    <t>Neostrata</t>
  </si>
  <si>
    <t>HD045813</t>
  </si>
  <si>
    <t>DH020242</t>
  </si>
  <si>
    <t>HD045812</t>
  </si>
  <si>
    <t>DH020185</t>
  </si>
  <si>
    <t>KH000872</t>
  </si>
  <si>
    <t>DR NGỌC TRAI</t>
  </si>
  <si>
    <t>0777734343</t>
  </si>
  <si>
    <t>1057 Nguyễn Trãi F14 Q5</t>
  </si>
  <si>
    <t>SP094067</t>
  </si>
  <si>
    <t>Paula’s Choice 10% Niacinamide Booster - Tinh Chất Thu Nhỏ Lỗ Chân Lông</t>
  </si>
  <si>
    <t>HD045811</t>
  </si>
  <si>
    <t>HD045810.01</t>
  </si>
  <si>
    <t>DH020229</t>
  </si>
  <si>
    <t>HD045809</t>
  </si>
  <si>
    <t>DH020237</t>
  </si>
  <si>
    <t>Khu phố Hiếu Cảm, phường Hưng Long, thị xã Chơn Thành, tỉnh Bình Phước ( nay là Khu phố Hiếu Cảm, phường Chơn Thành, tỉnh Đồng Nai)
Chị Mỹ Linh 0982575419</t>
  </si>
  <si>
    <t>BSN500</t>
  </si>
  <si>
    <t>Skleer Gel trị mụn làm dịu da 30ml</t>
  </si>
  <si>
    <t>Skleer</t>
  </si>
  <si>
    <t>HD045808</t>
  </si>
  <si>
    <t>19/12/2025 02:11</t>
  </si>
  <si>
    <t>HD045807</t>
  </si>
  <si>
    <t>HD045806</t>
  </si>
  <si>
    <t>HD045805</t>
  </si>
  <si>
    <t>DH020228</t>
  </si>
  <si>
    <t>ĐƠN RA BÙ 17/11 CHƯA RA BILL</t>
  </si>
  <si>
    <t>HD045804</t>
  </si>
  <si>
    <t>KH001942</t>
  </si>
  <si>
    <t>Chị Kim Hoa ( Hốc Môn 0903065739)</t>
  </si>
  <si>
    <t>0903065739</t>
  </si>
  <si>
    <t>Spa Thoa :5/47d ấp nam thới, thới tam thôn Hóc Môn</t>
  </si>
  <si>
    <t>BSN245</t>
  </si>
  <si>
    <t>JALUPRO SUPER HYDRO - TINH CHẤT NÂNG CƠ VÀ LÀM TRẺ HOÁ DA (DẠNG TIÊM)</t>
  </si>
  <si>
    <t>HD045803</t>
  </si>
  <si>
    <t>SP094158</t>
  </si>
  <si>
    <t>CellExosome Black Label Skin 1 cặp</t>
  </si>
  <si>
    <t>20052028</t>
  </si>
  <si>
    <t>HD045802</t>
  </si>
  <si>
    <t>HD045801</t>
  </si>
  <si>
    <t>DH020226</t>
  </si>
  <si>
    <t>KH001649</t>
  </si>
  <si>
    <t>Hà Giang</t>
  </si>
  <si>
    <t>0962879806</t>
  </si>
  <si>
    <t>213 Ng Văn Khạ, xã Tân An Hội, huyện Củ Chi, HCM</t>
  </si>
  <si>
    <t>213 Nguyễn Văn Khạ, Tân An Hội, Củ Chi, HCM 
0962879806</t>
  </si>
  <si>
    <t>BSN035</t>
  </si>
  <si>
    <t>AHOHWA Whitening Ampoule NTG - Ampoule dưỡng trắng mờ thâm nám MẪU MỚI 50ML</t>
  </si>
  <si>
    <t>HD045800</t>
  </si>
  <si>
    <t>DH020223</t>
  </si>
  <si>
    <t>KH001301</t>
  </si>
  <si>
    <t>Nguyễn Bảo Ngọc</t>
  </si>
  <si>
    <t>0817555303</t>
  </si>
  <si>
    <t>406/45 cộng hoà, p13, quận tân bình nha a</t>
  </si>
  <si>
    <t>MAI BOOK XE 2H
Hà 084 5795725
259 hoàng hoa thám p13 tân bình</t>
  </si>
  <si>
    <t>HD045799</t>
  </si>
  <si>
    <t>KH000426</t>
  </si>
  <si>
    <t>Yến Thư</t>
  </si>
  <si>
    <t>0936906859</t>
  </si>
  <si>
    <t>77/13/23 phạm đăng giảng, p. Bhh , btan</t>
  </si>
  <si>
    <t>HD045798</t>
  </si>
  <si>
    <t>DH020149</t>
  </si>
  <si>
    <t>Chung cư Emerald Cổng 1 sảnh B1 Celadon city , Phường sơn kỳ , quận tân phú , Thành Phố Hồ Chí Minh
097 7736036
ship 4h</t>
  </si>
  <si>
    <t>BSN461</t>
  </si>
  <si>
    <t>Rilastil D-Clar Depigmenting Drops - Tinh chất trị nám và đều màu da 30ml</t>
  </si>
  <si>
    <t>BSN053</t>
  </si>
  <si>
    <t>AT Bamboo Mask Hydrating Recovering - Mặt nạ cấp ẩm và phục hồi cho yếu và hư tổn</t>
  </si>
  <si>
    <t>AT</t>
  </si>
  <si>
    <t>HD045797</t>
  </si>
  <si>
    <t>DH020227</t>
  </si>
  <si>
    <t>GOM ĐƠN</t>
  </si>
  <si>
    <t>BSN535</t>
  </si>
  <si>
    <t>SVR Sebiaclear Gel Moussant – Gel Rửa Mặt Dành Cho Da Mụn 200ml</t>
  </si>
  <si>
    <t>HD045796</t>
  </si>
  <si>
    <t>SP094150</t>
  </si>
  <si>
    <t>LaCabine 5x Pure Hyaluronic Serum - Tinh Chất Dưỡng Ẩm, Làm Mờ Nếp Nhăn 30ml</t>
  </si>
  <si>
    <t>HD045795</t>
  </si>
  <si>
    <t>KH001045</t>
  </si>
  <si>
    <t>Lê Duy Nguyễn</t>
  </si>
  <si>
    <t>Leduynguyen0406@gmail.com</t>
  </si>
  <si>
    <t>0967433565</t>
  </si>
  <si>
    <t>Tab Beauty Clinic - 39 Lương Hữu Khánh, Phường Phạm Ngũ Lão, Quận 1 (ĐC Nhà 611/28A Điện Biên Phủ, phường 1, quận 3)</t>
  </si>
  <si>
    <t>9/4 Châu Văn Liêm, phường Long Xuyên, tỉnh An Giang (bánh mì Như Mai)
sđt: 0332237690
Ngọc Lý</t>
  </si>
  <si>
    <t>BSN011</t>
  </si>
  <si>
    <t>Acnotin 20 mg - Thuốc điều trị mụn trứng cá</t>
  </si>
  <si>
    <t>HD045794</t>
  </si>
  <si>
    <t>DH020204</t>
  </si>
  <si>
    <t>Luhilo chị book lun ship về 
465 Đoàn Văn Bơ Xóm chiếu
0908104954</t>
  </si>
  <si>
    <t>SP094178</t>
  </si>
  <si>
    <t>Luhilo Tiêm bap 5 điểm</t>
  </si>
  <si>
    <t>Luhilo</t>
  </si>
  <si>
    <t>HD045793</t>
  </si>
  <si>
    <t>KH000516</t>
  </si>
  <si>
    <t>Hương Dương</t>
  </si>
  <si>
    <t>0988020525</t>
  </si>
  <si>
    <t>a6 cc an bình city 232 phạm văn đồng cổ nhuế 1 hn</t>
  </si>
  <si>
    <t>HD045792</t>
  </si>
  <si>
    <t>KH001719</t>
  </si>
  <si>
    <t>Biotrade BS Hoàng Hường</t>
  </si>
  <si>
    <t>SP094060</t>
  </si>
  <si>
    <t>BIOTRADE ACNAUT ACTIVE LOTION - LOTION GIẢM MỤN 60ml</t>
  </si>
  <si>
    <t>BSN095</t>
  </si>
  <si>
    <t>Biotrade Acnaut Hydro Active - Kem dưỡng hoạt tính 60ml</t>
  </si>
  <si>
    <t>HD045791</t>
  </si>
  <si>
    <t>HD045790</t>
  </si>
  <si>
    <t>HD045789.01</t>
  </si>
  <si>
    <t>HD045788</t>
  </si>
  <si>
    <t>KH000730</t>
  </si>
  <si>
    <t>BS Linh Bình Tân</t>
  </si>
  <si>
    <t>0962809579</t>
  </si>
  <si>
    <t>346 bình trị đông - bình tân</t>
  </si>
  <si>
    <t>SP094180</t>
  </si>
  <si>
    <t>FCL anpha-beta acne Cleanser - Sữa rửa mặt 200ml</t>
  </si>
  <si>
    <t>FCL</t>
  </si>
  <si>
    <t>HD045787</t>
  </si>
  <si>
    <t>HD045786</t>
  </si>
  <si>
    <t>BSN544</t>
  </si>
  <si>
    <t>Teoxane post procedure - Kem dưỡng phục hồi da tổn thương sâu tốt nhất 200ml</t>
  </si>
  <si>
    <t>21072029</t>
  </si>
  <si>
    <t>HD045785</t>
  </si>
  <si>
    <t>HD045784</t>
  </si>
  <si>
    <t>DH020212</t>
  </si>
  <si>
    <t>KH000177</t>
  </si>
  <si>
    <t>Loan</t>
  </si>
  <si>
    <t>0965369233</t>
  </si>
  <si>
    <t>Sn 566, khu 1, tt Hậu lộc</t>
  </si>
  <si>
    <t>Thị trấn Hậu Lộc</t>
  </si>
  <si>
    <t>gui ghtk thu cod</t>
  </si>
  <si>
    <t>BSN070</t>
  </si>
  <si>
    <t>Bihaku Gel Cream - Kem dưỡng trắng mờ nám 30g</t>
  </si>
  <si>
    <t>BSN413</t>
  </si>
  <si>
    <t>Pharmaform Skin Brightener - Serum trắng da, Giảm thâm mụn và thâm nám 20ml</t>
  </si>
  <si>
    <t>HD045783</t>
  </si>
  <si>
    <t>DH020217</t>
  </si>
  <si>
    <t>KH001675</t>
  </si>
  <si>
    <t>Thúy Lan</t>
  </si>
  <si>
    <t>Thuylannguyen5984@gmail.com</t>
  </si>
  <si>
    <t>0945690768</t>
  </si>
  <si>
    <t>Lavita garden, đường số 3</t>
  </si>
  <si>
    <t>Hồ Chí Minh - Thành phố Thủ Đức</t>
  </si>
  <si>
    <t>Phường Trường Thọ</t>
  </si>
  <si>
    <t>BSN401</t>
  </si>
  <si>
    <t>Pharmaform Protemax Viên uống hỗ trợ mọc tóc, dưỡng móng</t>
  </si>
  <si>
    <t>SP094143</t>
  </si>
  <si>
    <t>MD CARE Calming &amp; Moisturizing Acne Body Lotion - Sữa dưỡng thể dành cho da mụn 200ml</t>
  </si>
  <si>
    <t>24062028</t>
  </si>
  <si>
    <t>HD045782</t>
  </si>
  <si>
    <t>DH020192</t>
  </si>
  <si>
    <t>KH001745</t>
  </si>
  <si>
    <t>Bs Như Bình</t>
  </si>
  <si>
    <t>bsntdl.nhubinh@gmail.com</t>
  </si>
  <si>
    <t>0368016473</t>
  </si>
  <si>
    <t>62 Nguyễn Văn Cừ nối dài, p An Bình, Ninh Kiều, Cần Thơ</t>
  </si>
  <si>
    <t>Cho c lên đơn gửi dùm c
Bé Tấn Phước 0976787818
Số 89 Trần Phú, Đông Thịnh 6, P. Mỹ Phước, TP. Long Xuyên, An Giang
1 serum mụn rilastil
1 orobanc kem dưỡng cica</t>
  </si>
  <si>
    <t>SP094176</t>
  </si>
  <si>
    <t>Orobanc CICA - B3 TOTAL REPAIR MOISTURIZING CREAM - Kem dưỡng ẩm, phục hồi, tái tạo da và ngăn ngừa lão hóa 30g</t>
  </si>
  <si>
    <t>Orobanc</t>
  </si>
  <si>
    <t>30062028</t>
  </si>
  <si>
    <t>HD045781</t>
  </si>
  <si>
    <t>19/12/2025 02:10</t>
  </si>
  <si>
    <t>DH020218</t>
  </si>
  <si>
    <t>CHUNG ĐƠN GHTK</t>
  </si>
  <si>
    <t>BSN088</t>
  </si>
  <si>
    <t>Bioreju Sunscreen - Kem chống nắng nâng tone 50g</t>
  </si>
  <si>
    <t>Bioreju</t>
  </si>
  <si>
    <t>HD045780</t>
  </si>
  <si>
    <t>DH020221</t>
  </si>
  <si>
    <t>KH001946</t>
  </si>
  <si>
    <t>Acne Studio  PMT</t>
  </si>
  <si>
    <t>0338633339</t>
  </si>
  <si>
    <t>ACNE STUDIO by PMT Số 10 đường số 8, Khu dân cư Hà Đô, Phường Hoà Hưng, Thành phố Hồ Chí Minh ( Phường 12, Quận 10 cũ)</t>
  </si>
  <si>
    <t>HD045779</t>
  </si>
  <si>
    <t>DH020222</t>
  </si>
  <si>
    <t>KH001298</t>
  </si>
  <si>
    <t>Bs Yến Nhi (An Giang)</t>
  </si>
  <si>
    <t>0977727825</t>
  </si>
  <si>
    <t>C3-3 khu phố Khang An, phường Châu Phú B, tp châu đốc, an giang</t>
  </si>
  <si>
    <t>HD045778</t>
  </si>
  <si>
    <t>HD045777</t>
  </si>
  <si>
    <t>DH020214</t>
  </si>
  <si>
    <t>Giao e 1 cặp meso code 
1 kem dưỡng postquam cho da hỗn hợp mụn viêm</t>
  </si>
  <si>
    <t>HD045776</t>
  </si>
  <si>
    <t>KH001446</t>
  </si>
  <si>
    <t>Hằng Beaute’ Spa.</t>
  </si>
  <si>
    <t>Minhhang3691@gmail.com</t>
  </si>
  <si>
    <t>0966905777</t>
  </si>
  <si>
    <t>Số 47 Đường Nguyễn Trãi Tổ 9, P.Quyết Thắng TP Sơn La</t>
  </si>
  <si>
    <t>SP094105</t>
  </si>
  <si>
    <t>VI Derm Dark Spot Lifting Serum - Tinh Chất Làm Mờ Thâm Nám, Dưỡng Da Đều Màu 50ml</t>
  </si>
  <si>
    <t>HD045775</t>
  </si>
  <si>
    <t>HD045774</t>
  </si>
  <si>
    <t>HD045772</t>
  </si>
  <si>
    <t>DH020216</t>
  </si>
  <si>
    <t>KH000900</t>
  </si>
  <si>
    <t>Nguyễn Kim Hiền</t>
  </si>
  <si>
    <t>0377831109</t>
  </si>
  <si>
    <t>Đường Đinh Tiên Hoàng- TT Cam Đức- Cam Lâm- Khánh Hoà</t>
  </si>
  <si>
    <t>KIMHEE SKIN CLINIC - Đinh Tiên Hoàng - Cam Đức - Cam Lâm - Khánh Hoà</t>
  </si>
  <si>
    <t>BSN586</t>
  </si>
  <si>
    <t>Vic Derma B5 50ml</t>
  </si>
  <si>
    <t>Vic Derma</t>
  </si>
  <si>
    <t>BSN276</t>
  </si>
  <si>
    <t>La Roche-Posay Effaclar Micellar Water Ultra Oily Skin - Nước Làm Sạch Sâu Và Tẩy Trang Dành Cho Da Dầu 400ml (CHAI MÀU XANH)</t>
  </si>
  <si>
    <t>HD045771</t>
  </si>
  <si>
    <t>DH020219</t>
  </si>
  <si>
    <t>KH001270</t>
  </si>
  <si>
    <t>Đinh Y Quyên</t>
  </si>
  <si>
    <t>0979746677</t>
  </si>
  <si>
    <t>28 Trần Hưng Đạo- Tây sơn- Pleiku- Gia Lai</t>
  </si>
  <si>
    <t>Book xe
120/4/5 trường chinh, phường bảy hiền,  tân bình 
0772 719 767
Tuấn Khôi</t>
  </si>
  <si>
    <t>BSN329</t>
  </si>
  <si>
    <t>Neova DNA Damage Control Everyda Broad Spectrum SPF 44 - Kem chống nắng</t>
  </si>
  <si>
    <t>HD045770</t>
  </si>
  <si>
    <t>KH000849</t>
  </si>
  <si>
    <t>Thủy Linh</t>
  </si>
  <si>
    <t>0962506217</t>
  </si>
  <si>
    <t>8 đường D9, phường Chánh Nghĩa, tp Thủ Dầu Một, Bình Dương</t>
  </si>
  <si>
    <t>GHÉ LẤY</t>
  </si>
  <si>
    <t>HD045768</t>
  </si>
  <si>
    <t>DH020215</t>
  </si>
  <si>
    <t>19082028</t>
  </si>
  <si>
    <t>HD045767</t>
  </si>
  <si>
    <t>KH001592</t>
  </si>
  <si>
    <t>Bs Thu Hiền</t>
  </si>
  <si>
    <t>ltthien0511@gmail.com</t>
  </si>
  <si>
    <t>0969935260</t>
  </si>
  <si>
    <t>Chung cư Mỹ Phú 60/68 Lâm Văn Bền, Tân Kiểng, Q7</t>
  </si>
  <si>
    <t>HD045766</t>
  </si>
  <si>
    <t>KH001456</t>
  </si>
  <si>
    <t>Chị Trang ( Zalo JV Beauty)</t>
  </si>
  <si>
    <t>0902991078</t>
  </si>
  <si>
    <t>528/5/100 Điện Biên Phủ, p11, quan 10, tphcm</t>
  </si>
  <si>
    <t>BSN108</t>
  </si>
  <si>
    <t>Allergan Botox 100 Thổ</t>
  </si>
  <si>
    <t>HD045765</t>
  </si>
  <si>
    <t>HD045764</t>
  </si>
  <si>
    <t>HD045763</t>
  </si>
  <si>
    <t>HD045762</t>
  </si>
  <si>
    <t>HD045761</t>
  </si>
  <si>
    <t>DH020213</t>
  </si>
  <si>
    <t>KH000138</t>
  </si>
  <si>
    <t>Bs Nụ Spring</t>
  </si>
  <si>
    <t>0988332280</t>
  </si>
  <si>
    <t>cty bv Vạn Phúc , ql 13 , p hiệp bình phước</t>
  </si>
  <si>
    <t>Phường Hiệp Bình Phước</t>
  </si>
  <si>
    <t>HD045760</t>
  </si>
  <si>
    <t>26/12/2025 11:16</t>
  </si>
  <si>
    <t>DH020197</t>
  </si>
  <si>
    <t>HD045757</t>
  </si>
  <si>
    <t>DH020202</t>
  </si>
  <si>
    <t>KH001175</t>
  </si>
  <si>
    <t>Ái Vy</t>
  </si>
  <si>
    <t>pevy.dt@gmail.com</t>
  </si>
  <si>
    <t>0979752122</t>
  </si>
  <si>
    <t>Chung cư kingdom 101 lock A,334 tô hiến thành quận 10</t>
  </si>
  <si>
    <t>BOOK XE
Mỹ Duyên
096 3961959
 472a nguyễn tri phương, Phường 9, Quận 10, Hồ Chí Minh</t>
  </si>
  <si>
    <t>HD045756</t>
  </si>
  <si>
    <t>DH020199</t>
  </si>
  <si>
    <t>BSN160</t>
  </si>
  <si>
    <t>Fusion F-HA Lọ lẻ</t>
  </si>
  <si>
    <t>HD045755</t>
  </si>
  <si>
    <t>SP094171</t>
  </si>
  <si>
    <t>SVR Micellar Sebiaclear Eau Micellaire - Nước Tẩy Trang Giúp Loại Bỏ Dầu Cho Da 75ml</t>
  </si>
  <si>
    <t>HD045754.01</t>
  </si>
  <si>
    <t>SP094162</t>
  </si>
  <si>
    <t>Skinderma Melano Cream - kem giảm thâm nám 30ml</t>
  </si>
  <si>
    <t>01082029</t>
  </si>
  <si>
    <t>HD045753</t>
  </si>
  <si>
    <t>18/12/2025 16:46</t>
  </si>
  <si>
    <t>DH020210</t>
  </si>
  <si>
    <t>HD045752</t>
  </si>
  <si>
    <t>DH020211</t>
  </si>
  <si>
    <t>chung đơn serum mắt obagi</t>
  </si>
  <si>
    <t>SP093971</t>
  </si>
  <si>
    <t>Radiance Beauva TCA PEEL 2ML MINISIZE</t>
  </si>
  <si>
    <t>HD045751</t>
  </si>
  <si>
    <t>DH020206</t>
  </si>
  <si>
    <t>BSN040</t>
  </si>
  <si>
    <t>Bộ nám AiThan 15G</t>
  </si>
  <si>
    <t>AiThan</t>
  </si>
  <si>
    <t>HD045750</t>
  </si>
  <si>
    <t>DH020205</t>
  </si>
  <si>
    <t>BOOK XE SIÊU TỐC 
Khu CH2 block P3 khu dân cư cityland park hill đường số 8 phường 10 gò vấp ạ
Sdt e : 0705 500 500</t>
  </si>
  <si>
    <t>HD045749</t>
  </si>
  <si>
    <t>DH020203</t>
  </si>
  <si>
    <t>book xe 
Giao c 1 kcn này
350/56/37 Nguyễn Văn Lượng p.16 q.gò vấp
0988251535 Kiên</t>
  </si>
  <si>
    <t>BSN314</t>
  </si>
  <si>
    <t>Mona SUNPRE DD X-Treme 50+ Sunscreen Foundation - KEM CHỐNG NẮNG CAO CẤP MÀU KEM NỀN 50ml (MÀU HỒNG)</t>
  </si>
  <si>
    <t>HD045748</t>
  </si>
  <si>
    <t>DH020200</t>
  </si>
  <si>
    <t>KH001210</t>
  </si>
  <si>
    <t>Dr Thi Thi</t>
  </si>
  <si>
    <t>nguyenthikimthi9993@gmail.com</t>
  </si>
  <si>
    <t>0917090993</t>
  </si>
  <si>
    <t>84 Thành Thái, P12, Quận 10</t>
  </si>
  <si>
    <t>Nguyễn Thị Kim Thi 
0917090993
659 đường 30/4, xã mỹ tân, cao lãnh, đồng tháp</t>
  </si>
  <si>
    <t>BSN324</t>
  </si>
  <si>
    <t>Nazorel Dầu gội trị gàu 100ml</t>
  </si>
  <si>
    <t>Nazorel</t>
  </si>
  <si>
    <t>HD045747</t>
  </si>
  <si>
    <t>DH020198</t>
  </si>
  <si>
    <t>HD045746</t>
  </si>
  <si>
    <t>DH020195</t>
  </si>
  <si>
    <t>HD045745</t>
  </si>
  <si>
    <t>DH020194</t>
  </si>
  <si>
    <t>Ship giúp em 1 botox nabota
29/18 nguyễn gia trí bình thạnh
0964014365</t>
  </si>
  <si>
    <t>HD045744</t>
  </si>
  <si>
    <t>TH000354</t>
  </si>
  <si>
    <t>BSN595</t>
  </si>
  <si>
    <t>White RX Glutathione 1000MG - Viên uống sáng da 30V</t>
  </si>
  <si>
    <t>White RX</t>
  </si>
  <si>
    <t>SP094177</t>
  </si>
  <si>
    <t>Jean D'Arcel Vegetalie Deep Cleansing Scrub - Tẩy Tế Bào Chết Dạng Hạt (50ml) J135</t>
  </si>
  <si>
    <t>Jean D'Arcel</t>
  </si>
  <si>
    <t>30092027</t>
  </si>
  <si>
    <t>HD045743</t>
  </si>
  <si>
    <t>17/12/2025 02:22</t>
  </si>
  <si>
    <t>HD045742</t>
  </si>
  <si>
    <t>KH000041</t>
  </si>
  <si>
    <t>Hạnh Lee</t>
  </si>
  <si>
    <t>hanhleeht@gmail.com</t>
  </si>
  <si>
    <t>0978040455</t>
  </si>
  <si>
    <t>442/69/10 Ymoal - Cư Êbuar Đăk Lăk</t>
  </si>
  <si>
    <t>HD045741</t>
  </si>
  <si>
    <t>HD045740</t>
  </si>
  <si>
    <t>DH020191</t>
  </si>
  <si>
    <t>BSN480</t>
  </si>
  <si>
    <t>Sensilis Micellar Water [AR] - Nước tẩy trang làm sạch bụi bẩn, lớp trang điểm và làm dịu cho mọi loại da. Không mùi.400ml</t>
  </si>
  <si>
    <t>HD045739</t>
  </si>
  <si>
    <t>DH020193</t>
  </si>
  <si>
    <t>mã GHTK 1694357273</t>
  </si>
  <si>
    <t>HD045738</t>
  </si>
  <si>
    <t>DH020190</t>
  </si>
  <si>
    <t>SP094170</t>
  </si>
  <si>
    <t>Dermedic Hydrain hialuro - Nước tẩy trang dành cho da khô 500ml</t>
  </si>
  <si>
    <t>Dermedic</t>
  </si>
  <si>
    <t>HD045737</t>
  </si>
  <si>
    <t>TH000363</t>
  </si>
  <si>
    <t>SALE MƯỢN</t>
  </si>
  <si>
    <t>SP094024</t>
  </si>
  <si>
    <t>Obagi Rebalance Skin Barrier Recovery Cream - Kem Dưỡng Phục Hồi Da 48g</t>
  </si>
  <si>
    <t>21212026</t>
  </si>
  <si>
    <t>HD045736</t>
  </si>
  <si>
    <t>HD045735</t>
  </si>
  <si>
    <t>KH001824</t>
  </si>
  <si>
    <t>BS Vũ Ly</t>
  </si>
  <si>
    <t>0931253158</t>
  </si>
  <si>
    <t>Sea spa: 180 đường III, kdc Khang Điền, p. Phước Long, tpHCM</t>
  </si>
  <si>
    <t>SP094169</t>
  </si>
  <si>
    <t>Sensilis Purify Balancing Toner - Tone cân bằng cho mọi loại da 200ml</t>
  </si>
  <si>
    <t>28022030</t>
  </si>
  <si>
    <t>BSN262</t>
  </si>
  <si>
    <t>Klapp Boost Anti Pigmentation - Tinh chất sáng trắng giảm sắc tố 5x2ml</t>
  </si>
  <si>
    <t>02102027</t>
  </si>
  <si>
    <t>HD045734</t>
  </si>
  <si>
    <t>DH020188</t>
  </si>
  <si>
    <t>CÓ 2 ĐƠN</t>
  </si>
  <si>
    <t>HD045733</t>
  </si>
  <si>
    <t>DH020189</t>
  </si>
  <si>
    <t>HD045732</t>
  </si>
  <si>
    <t>DH020186</t>
  </si>
  <si>
    <t>HD045731</t>
  </si>
  <si>
    <t>16/12/2025 17:06</t>
  </si>
  <si>
    <t>KH001931</t>
  </si>
  <si>
    <t>Zalo chị Vie Vie</t>
  </si>
  <si>
    <t>0934157796</t>
  </si>
  <si>
    <t>222 thống nhất - Phường Lagi - Lâm Đồng</t>
  </si>
  <si>
    <t>HD045730</t>
  </si>
  <si>
    <t>DH020187</t>
  </si>
  <si>
    <t>HD045729</t>
  </si>
  <si>
    <t>HD045728</t>
  </si>
  <si>
    <t>BSN565</t>
  </si>
  <si>
    <t>Megaduo Gel, ngừa mụn trứng cá, mụn đầu trắng, đầu đen, làm mờ thâm</t>
  </si>
  <si>
    <t>HD045727</t>
  </si>
  <si>
    <t>18/12/2025 02:13</t>
  </si>
  <si>
    <t>SP094167</t>
  </si>
  <si>
    <t>MartiDerm Pigment Zero Bright - Serum DSP dưỡng sáng da, mờ nám hộp 30 ống</t>
  </si>
  <si>
    <t>HD045726</t>
  </si>
  <si>
    <t>HD045725</t>
  </si>
  <si>
    <t>ĐƠN 6/12</t>
  </si>
  <si>
    <t>BSN397</t>
  </si>
  <si>
    <t>Pharmaform retinol 1% enhancer - tinh chất tái tạo da hiệu quả 15ml (MẪU MỚI)</t>
  </si>
  <si>
    <t>BSN408</t>
  </si>
  <si>
    <t>Pharmaform Phyto Boost Cream - Kem Chống Lão Hóa Và Phục Hồi Hàng Rào Bảo Vệ Da 30g</t>
  </si>
  <si>
    <t>HD045724</t>
  </si>
  <si>
    <t>CẬP NHẬT ĐƠN 1/12 RA THIẾU</t>
  </si>
  <si>
    <t>HD045723</t>
  </si>
  <si>
    <t>BSN382</t>
  </si>
  <si>
    <t>Purles 129 Cotton Foam Cleanser - Sữa rửa mặt dạng bọt 125ml</t>
  </si>
  <si>
    <t>HD045722</t>
  </si>
  <si>
    <t>DH020163</t>
  </si>
  <si>
    <t>BSN648</t>
  </si>
  <si>
    <t>Purles 161 Tinh chất Microbiome Renewal Shot 5x2ml</t>
  </si>
  <si>
    <t>SP094157</t>
  </si>
  <si>
    <t>Pharmaform Exfol Multi-Acid Peel - Tinh chất Peel da làm sáng, tái tạo căng bóng da 30ml</t>
  </si>
  <si>
    <t>12072028</t>
  </si>
  <si>
    <t>SP094156</t>
  </si>
  <si>
    <t>Jean D’Arcel Masque Astringent Cleansing Mask J12 - Mặt Nạ Kiểm Soát Nhờn,Thu Nhỏ Chân Lông 30ml</t>
  </si>
  <si>
    <t>HD045721</t>
  </si>
  <si>
    <t>16/12/2025 13:43</t>
  </si>
  <si>
    <t>LỌ RÁCH TEM
Khu vực 2, Phường Trà Lồng, Thị xã Long Mỹ, tỉnh Hậu Giang 
0339369793
Người nhận: cô Như Ý</t>
  </si>
  <si>
    <t>HD045720</t>
  </si>
  <si>
    <t>KH001568</t>
  </si>
  <si>
    <t>Bs Tuấn Anh</t>
  </si>
  <si>
    <t>0775799513</t>
  </si>
  <si>
    <t>57/30 hồ thị kỷ p1 q10</t>
  </si>
  <si>
    <t>HD045719</t>
  </si>
  <si>
    <t>BSN602</t>
  </si>
  <si>
    <t>Yuejin Mặt nạ B5 repair control EGF phục hồi làm dịu da</t>
  </si>
  <si>
    <t>Yuejin</t>
  </si>
  <si>
    <t>HD045718</t>
  </si>
  <si>
    <t>BOOK XE HCM</t>
  </si>
  <si>
    <t>HD045717</t>
  </si>
  <si>
    <t>THU HÀ MƯỢN</t>
  </si>
  <si>
    <t>BSN523</t>
  </si>
  <si>
    <t>SVR Sebiaclear Hydra – Kem Dưỡng Ẩm Cho Da Dầu 40ml</t>
  </si>
  <si>
    <t>HD045716</t>
  </si>
  <si>
    <t>DH020169</t>
  </si>
  <si>
    <t>2 serum  D-clar
2 srm Aqua 
2 srm da dầu acnes stil gel 400ml ( xanh lá ) 
2 ttbc mícro 30ml
2 tẩy trang Ri 400ml
Số 10 , đường số 16, Khu dân cư 135 , xã Bến Lức , Tỉnh Tây Ninh
- SDT : 0968944210 Ly</t>
  </si>
  <si>
    <t>BSN446</t>
  </si>
  <si>
    <t>Rilastil Acnestil Cleansing Gel - Sữa rửa mặt cho da mụn 400ml</t>
  </si>
  <si>
    <t>BSN441</t>
  </si>
  <si>
    <t>Rilastil Aqua Face Cleanser - Sữa rửa mặt Aqua 200ml</t>
  </si>
  <si>
    <t>HD045715</t>
  </si>
  <si>
    <t>DH020177</t>
  </si>
  <si>
    <t>SP094148</t>
  </si>
  <si>
    <t>Mona Frema Eha Double Hyaluronic Acid - Gel cấp nước 50G</t>
  </si>
  <si>
    <t>BSN319</t>
  </si>
  <si>
    <t>Mona Frema Ceramide SC-Barrier Emulsified Moiturizer - Tinh chất dưỡng ẩm và phục hồi da 50ml</t>
  </si>
  <si>
    <t>03022028</t>
  </si>
  <si>
    <t>HD045714</t>
  </si>
  <si>
    <t>DH020178</t>
  </si>
  <si>
    <t>ĐƠN 1 ĐƠN ĐI BAY, TÂN BÌNH BOOK XE</t>
  </si>
  <si>
    <t>SP093993</t>
  </si>
  <si>
    <t>Osmosis Rescue MD Epidermal Repair Serum - Serum Phục Hồi làn Da Hư Tổn MD 30ml</t>
  </si>
  <si>
    <t>Osmosis</t>
  </si>
  <si>
    <t>HD045713</t>
  </si>
  <si>
    <t>DH020181</t>
  </si>
  <si>
    <t>ĐƠN 2, ĐI BAY</t>
  </si>
  <si>
    <t>SP094164</t>
  </si>
  <si>
    <t>Osmosis Stemfactor Advanced Growth Factor Serum - Serum Thúc Đẩy Sản Sinh Cấp Tế Bào 30ml</t>
  </si>
  <si>
    <t>HD045712</t>
  </si>
  <si>
    <t>DH020180</t>
  </si>
  <si>
    <t>ĐƠN 1, ĐI BAY BOOK XE TÂN BÌNH</t>
  </si>
  <si>
    <t>BSN539</t>
  </si>
  <si>
    <t>Synergie Skin Dermiotic Prebiotics &amp; Postbiotics - Pre-serum với phức hợp 30ml</t>
  </si>
  <si>
    <t>Synergie Skin</t>
  </si>
  <si>
    <t>SP094163</t>
  </si>
  <si>
    <t>KB PURE AZO CREAM - KEM TÁI TẠO CÂN BẰNG ĐIỀU TRỊ MỤN 30ml</t>
  </si>
  <si>
    <t>HD045711</t>
  </si>
  <si>
    <t>DH020182</t>
  </si>
  <si>
    <t>ĐƠN 2, ĐI GHTK</t>
  </si>
  <si>
    <t>SP094166</t>
  </si>
  <si>
    <t>MD:ceuticals md:Tranex Retipeel - Peel da sinh học trị nám, sáng da 5 ống</t>
  </si>
  <si>
    <t>28022028</t>
  </si>
  <si>
    <t>BSN294</t>
  </si>
  <si>
    <t>LumaNano Dark Sport Remover with Gold Nano - Tinh chất trị nám da 20ml</t>
  </si>
  <si>
    <t>Lumanano</t>
  </si>
  <si>
    <t>BSN001</t>
  </si>
  <si>
    <t>Fucidin H</t>
  </si>
  <si>
    <t>Abbott</t>
  </si>
  <si>
    <t>31082026</t>
  </si>
  <si>
    <t>HD045710</t>
  </si>
  <si>
    <t>DH020162</t>
  </si>
  <si>
    <t>SP094154</t>
  </si>
  <si>
    <t>Dermeden Mela-Protocole Hyperpigmentation TXA NIA 5.10 - Tinh chất giảm tăng sắc tố sau viêm 5x5ml</t>
  </si>
  <si>
    <t>HD045709</t>
  </si>
  <si>
    <t>DH020166</t>
  </si>
  <si>
    <t>KH001470</t>
  </si>
  <si>
    <t>Bs Minh Trang</t>
  </si>
  <si>
    <t>0983141392</t>
  </si>
  <si>
    <t>169 Phạm Vấn, phường Lam Sơn,Tp Thanh Hoá</t>
  </si>
  <si>
    <t>HD045708</t>
  </si>
  <si>
    <t>DH020167</t>
  </si>
  <si>
    <t>HD045707</t>
  </si>
  <si>
    <t>DH020184</t>
  </si>
  <si>
    <t>HD045706</t>
  </si>
  <si>
    <t>DH020183</t>
  </si>
  <si>
    <t>BSN147</t>
  </si>
  <si>
    <t>Emothion- Viên Uống Trắng Da Chống Lão Hóa</t>
  </si>
  <si>
    <t>Emothion</t>
  </si>
  <si>
    <t>HD045705</t>
  </si>
  <si>
    <t>HD045704</t>
  </si>
  <si>
    <t>KH001659</t>
  </si>
  <si>
    <t>BS Vi (Zalo Thanh Vi)</t>
  </si>
  <si>
    <t>0378826178</t>
  </si>
  <si>
    <t>345/47 âu cơ, phú trung, tân phú, tp hcm (DDC2: ship về địa chỉ M1 Thất Sơn, cư xá Bắc Hải, p15, q10, tp HCM)</t>
  </si>
  <si>
    <t>HD045703</t>
  </si>
  <si>
    <t>DH020170</t>
  </si>
  <si>
    <t>HD045702</t>
  </si>
  <si>
    <t>DH020173</t>
  </si>
  <si>
    <t>HD045701</t>
  </si>
  <si>
    <t>DH020179</t>
  </si>
  <si>
    <t>KH001984</t>
  </si>
  <si>
    <t>Đoan Trinh</t>
  </si>
  <si>
    <t>0915398384</t>
  </si>
  <si>
    <t>305 nguyễn văn trỗi quận tân bình</t>
  </si>
  <si>
    <t>BSN097</t>
  </si>
  <si>
    <t>Biotrade ACNAUT MATTIFYING TONIC - Nước Hoa Hồng Dùng Được Cho Da Mụn, Điều Tiết Bã Nhờn,</t>
  </si>
  <si>
    <t>BSN479</t>
  </si>
  <si>
    <t>Sensilis Purify Essential Cleanser - Gel rửa mặt kiểm soát nhờn cho da dầu mụn 200ml</t>
  </si>
  <si>
    <t>HD045700</t>
  </si>
  <si>
    <t>DH020175</t>
  </si>
  <si>
    <t>HD045699</t>
  </si>
  <si>
    <t>KH001971</t>
  </si>
  <si>
    <t>Anh Phi Đặng</t>
  </si>
  <si>
    <t>HD045698</t>
  </si>
  <si>
    <t>DH020174</t>
  </si>
  <si>
    <t>BSN003</t>
  </si>
  <si>
    <t>Abbott Hydroquinone Cream USP 4% - Kem Nám Melalite 30g</t>
  </si>
  <si>
    <t>HD045697</t>
  </si>
  <si>
    <t>DH020172</t>
  </si>
  <si>
    <t>HD045696</t>
  </si>
  <si>
    <t>DH020171</t>
  </si>
  <si>
    <t>HD045695</t>
  </si>
  <si>
    <t>DH020168</t>
  </si>
  <si>
    <t>HD045694</t>
  </si>
  <si>
    <t>Bill 16/12 
Sp : 2h Karisma cty 
Ck, siêu tốc Q10</t>
  </si>
  <si>
    <t>HD045693</t>
  </si>
  <si>
    <t>BSN488</t>
  </si>
  <si>
    <t>Skinclinic Coralip - Son dưỡng môi 15ml</t>
  </si>
  <si>
    <t>Skinclinic</t>
  </si>
  <si>
    <t>HD045692</t>
  </si>
  <si>
    <t>BSN552</t>
  </si>
  <si>
    <t>AzeMix Gel 20g</t>
  </si>
  <si>
    <t>HD045691</t>
  </si>
  <si>
    <t>KH000167</t>
  </si>
  <si>
    <t>Chị Trâm Tracy</t>
  </si>
  <si>
    <t>0866981072</t>
  </si>
  <si>
    <t>Hẻm số 12, đường Huỳnh Tấn Phát, khu phố Hiệp Lễ, phường Hiệp Ninh, TP Tây Ninh
Triệu Nguyễn Ngọc Trâm</t>
  </si>
  <si>
    <t>HD045690</t>
  </si>
  <si>
    <t>HD045689</t>
  </si>
  <si>
    <t>DH020158</t>
  </si>
  <si>
    <t>HD045688</t>
  </si>
  <si>
    <t>16/12/2025 04:02</t>
  </si>
  <si>
    <t>DH020156</t>
  </si>
  <si>
    <t>HD045687</t>
  </si>
  <si>
    <t>HD045686</t>
  </si>
  <si>
    <t>DH020165</t>
  </si>
  <si>
    <t>725 Nguyễn văn tạo hiệp Phước nhà bè
Trang 0938385983
Tặng kèm sữa rửa mặt</t>
  </si>
  <si>
    <t>SP094144</t>
  </si>
  <si>
    <t>Zo Exfoliation Accelerator - Kem tẩy tế bào chết 30ml</t>
  </si>
  <si>
    <t>HD045685</t>
  </si>
  <si>
    <t>DH020160</t>
  </si>
  <si>
    <t>HD045684</t>
  </si>
  <si>
    <t>DH020159</t>
  </si>
  <si>
    <t>TẠO MÃ 2 CHIỀU THU HỒI HÀNG</t>
  </si>
  <si>
    <t>BSN316</t>
  </si>
  <si>
    <t>Mặt nạ Mona 500ml</t>
  </si>
  <si>
    <t>BSN458</t>
  </si>
  <si>
    <t>RILASTIL DAILY CARE MICELLAR SOLUTION - Dung dịch tẩy trang cho mặt và mắt 250ML</t>
  </si>
  <si>
    <t>HD045683</t>
  </si>
  <si>
    <t>DH020150</t>
  </si>
  <si>
    <t>SP094153</t>
  </si>
  <si>
    <t>Histolab Azulene Complex Complex Ampoule 72% - Tinh chất trị mụn kháng viêm 150ml</t>
  </si>
  <si>
    <t>SP094149</t>
  </si>
  <si>
    <t>Dermedic NORMACNE Antibacterial cleansing gel - Gel rửa mặt làm sạch cho da dầu mụn 200ml</t>
  </si>
  <si>
    <t>HD045682</t>
  </si>
  <si>
    <t>DH020143</t>
  </si>
  <si>
    <t>HD045681</t>
  </si>
  <si>
    <t>DH020139</t>
  </si>
  <si>
    <t>BSN141</t>
  </si>
  <si>
    <t>EKSEPTION ALL DAY SHIELD - KEM CHỐNG NẮNG CĂNG BÓNG &amp; TRẺ HÓA 50ml</t>
  </si>
  <si>
    <t>HD045680</t>
  </si>
  <si>
    <t>HD045679</t>
  </si>
  <si>
    <t>HD045678</t>
  </si>
  <si>
    <t>KH001716</t>
  </si>
  <si>
    <t>Chị Trang Trương Biotrade</t>
  </si>
  <si>
    <t>0362868939</t>
  </si>
  <si>
    <t>16 ngõ 141 quan nhân, phường nhân chính, quận thanh xuân</t>
  </si>
  <si>
    <t>HD045677</t>
  </si>
  <si>
    <t>KH001475</t>
  </si>
  <si>
    <t>Chị Huệ Cosmetic</t>
  </si>
  <si>
    <t>0978779258</t>
  </si>
  <si>
    <t>SP094160</t>
  </si>
  <si>
    <t>Elasty Line plus 17g</t>
  </si>
  <si>
    <t>HD045676</t>
  </si>
  <si>
    <t>Sdt ngừoi nhận cũng là 0983123356 ạ
68 lê thánh tông, bắc Cam Ranh, khánh hoà</t>
  </si>
  <si>
    <t>BSN013</t>
  </si>
  <si>
    <t>A-Derma Primalba 2in1 Cleansing Gel for Body &amp; Hair Tắm Gội 2 trong 1 Cho Bé 200ML</t>
  </si>
  <si>
    <t>BSN589</t>
  </si>
  <si>
    <t>Vichy Dercos Anti Dandruff DS Pelliculaire Dermatological Shampoo – Dầu gội trị gàu cho da đầu dầu 200ML ( MÀU XANH)</t>
  </si>
  <si>
    <t>SP094036</t>
  </si>
  <si>
    <t>Fixderma Skarfix-TX Cream - Kem Dưỡng Da Mờ Thâm Nám, Tàn Nhang 15g</t>
  </si>
  <si>
    <t>15072027</t>
  </si>
  <si>
    <t>HD045675</t>
  </si>
  <si>
    <t>DH020161</t>
  </si>
  <si>
    <t>HD045674</t>
  </si>
  <si>
    <t>HD045673</t>
  </si>
  <si>
    <t>HD045672</t>
  </si>
  <si>
    <t>HD045671</t>
  </si>
  <si>
    <t>DH020082</t>
  </si>
  <si>
    <t>SP094128</t>
  </si>
  <si>
    <t>KLAPP IMMUN COUPEROSE SERUM - TINH CHẤT DƯỠNG ẨM CHO DA NHẠY CẢM 30ml</t>
  </si>
  <si>
    <t>11032028</t>
  </si>
  <si>
    <t>HD045670</t>
  </si>
  <si>
    <t>MAI BOOK LÊ VĂN QUỚI HCM</t>
  </si>
  <si>
    <t>HD045669</t>
  </si>
  <si>
    <t>HD045668</t>
  </si>
  <si>
    <t>BS HUÊ HCM 12/12</t>
  </si>
  <si>
    <t>HD045667</t>
  </si>
  <si>
    <t>HD045666</t>
  </si>
  <si>
    <t>DH020152</t>
  </si>
  <si>
    <t>Thôn kty1, xã chưkbô, krongbuk daklak nhé ạ 0986671545 hương</t>
  </si>
  <si>
    <t>HD045665</t>
  </si>
  <si>
    <t>DH020155</t>
  </si>
  <si>
    <t>HD045664</t>
  </si>
  <si>
    <t>HD045663</t>
  </si>
  <si>
    <t>DH020137</t>
  </si>
  <si>
    <t>KH001205</t>
  </si>
  <si>
    <t>Dr Kiều Loan</t>
  </si>
  <si>
    <t>0989155394</t>
  </si>
  <si>
    <t>Số 8/15 ngõ 477 kim mã, ngọc khánh, Ba đình, Hn</t>
  </si>
  <si>
    <t>G2 Sunshine Garden Dương Văn Bé, Hà  Nội
Xuân 0784532012</t>
  </si>
  <si>
    <t>HD045662</t>
  </si>
  <si>
    <t>HD045661</t>
  </si>
  <si>
    <t>HD045660</t>
  </si>
  <si>
    <t>KH001147</t>
  </si>
  <si>
    <t>Đinh Thảo Nguyên</t>
  </si>
  <si>
    <t>0935444923</t>
  </si>
  <si>
    <t>14 đường 31 p4 quận 4 (SĐT Nhận hàng 0854444542)</t>
  </si>
  <si>
    <t>HD045659</t>
  </si>
  <si>
    <t>HD045658</t>
  </si>
  <si>
    <t>HD045657</t>
  </si>
  <si>
    <t>BSN529</t>
  </si>
  <si>
    <t>SVR Sebiaclear Micro Peel - Nước hoa hồng 150ml</t>
  </si>
  <si>
    <t>HD045656</t>
  </si>
  <si>
    <t>DH020146</t>
  </si>
  <si>
    <t>744 kp lồ ồ, phường tây nam, tphcm
Gia Như 0975522559</t>
  </si>
  <si>
    <t>HD045655</t>
  </si>
  <si>
    <t>DH020147</t>
  </si>
  <si>
    <t>Mỹ Linh 0982575419
Khu phố Hiếu Cảm, phường Hưng Long, thị xã Chơn Thành, tỉnh Bình Phước ( nay là Khu phố Hiếu Cảm, phường Chơn Thành, tỉnh Đồng Nai)
KÈM 3 MÓN CỦA BS THƯ</t>
  </si>
  <si>
    <t>BSN337</t>
  </si>
  <si>
    <t>Obagi Claribright SUZANOBAGIMD - Lotion Trắng Da Và Dưỡng Ẩm 50ml</t>
  </si>
  <si>
    <t>HD045654</t>
  </si>
  <si>
    <t>DH020154</t>
  </si>
  <si>
    <t>HD045653</t>
  </si>
  <si>
    <t>DH020157</t>
  </si>
  <si>
    <t>HD045652</t>
  </si>
  <si>
    <t>17/12/2025 02:21</t>
  </si>
  <si>
    <t>DH020151</t>
  </si>
  <si>
    <t>HD045651</t>
  </si>
  <si>
    <t>DH020148</t>
  </si>
  <si>
    <t>HD045650</t>
  </si>
  <si>
    <t>DH020145</t>
  </si>
  <si>
    <t>Mỹ Linh 0982575419
Khu phố Hiếu Cảm, phường Hưng Long, thị xã Chơn Thành, tỉnh Bình Phước ( nay là Khu phố Hiếu Cảm, phường Chơn Thành, tỉnh Đồng Nai)
KÈM 3 MÓN CỦA BS THƯ
ĐƠN 1</t>
  </si>
  <si>
    <t>BSN570</t>
  </si>
  <si>
    <t>Transino Whitening – Viên Uống Giảm Nám Trắng Da – 240 Viên</t>
  </si>
  <si>
    <t>Transino</t>
  </si>
  <si>
    <t>HD045649</t>
  </si>
  <si>
    <t>DH020144</t>
  </si>
  <si>
    <t>20012028</t>
  </si>
  <si>
    <t>HD045648</t>
  </si>
  <si>
    <t>DH020142</t>
  </si>
  <si>
    <t>KH001730</t>
  </si>
  <si>
    <t>Công Quốc</t>
  </si>
  <si>
    <t>0917919756</t>
  </si>
  <si>
    <t>58 Năm Châu</t>
  </si>
  <si>
    <t>Phường 11</t>
  </si>
  <si>
    <t>HD045647</t>
  </si>
  <si>
    <t>HD045646</t>
  </si>
  <si>
    <t>BSN679</t>
  </si>
  <si>
    <t>Hylamend Gel hỗ trợ cải thiện mụn và phục hồi da sau mụn 30ml</t>
  </si>
  <si>
    <t>Hylamend</t>
  </si>
  <si>
    <t>HD045645</t>
  </si>
  <si>
    <t>BSN156</t>
  </si>
  <si>
    <t>Floslek Anti Acne Bacterial Face Cleansing Gel - Sữa Rửa Mặt Dạng Gel Cho Da Nhờn Mụn 200ml</t>
  </si>
  <si>
    <t>HD045644</t>
  </si>
  <si>
    <t>HD045643</t>
  </si>
  <si>
    <t>HD045642</t>
  </si>
  <si>
    <t>HD045641.01</t>
  </si>
  <si>
    <t>BSN024</t>
  </si>
  <si>
    <t>AHOHWA First Solution BRIGHTENING TONE-UP CREAM - Mặt Nạ Ủ Trắng Dạng Kem 500G</t>
  </si>
  <si>
    <t>HD045640</t>
  </si>
  <si>
    <t>HD045639</t>
  </si>
  <si>
    <t>SP094151</t>
  </si>
  <si>
    <t>Mona AAL - Kem chống nắng Light 60ML (VÀNG NHẠT)</t>
  </si>
  <si>
    <t>10062028</t>
  </si>
  <si>
    <t>HD045638</t>
  </si>
  <si>
    <t>KH001341</t>
  </si>
  <si>
    <t>Hải Oanh</t>
  </si>
  <si>
    <t>0783383986</t>
  </si>
  <si>
    <t>19 đất thánh phường sáu quận tân bình</t>
  </si>
  <si>
    <t>BSN054</t>
  </si>
  <si>
    <t>[ Hàng Công Ty ] Kem dưỡng ẩm phục hồi Avene Cicalfate Emulsion 40ml cho da dầu (mẫu mới)</t>
  </si>
  <si>
    <t>HD045637</t>
  </si>
  <si>
    <t>HD045636</t>
  </si>
  <si>
    <t>Linh Đàm</t>
  </si>
  <si>
    <t>HD045635</t>
  </si>
  <si>
    <t>HD045634</t>
  </si>
  <si>
    <t>ĐƠN NGÀY 13/12</t>
  </si>
  <si>
    <t>HD045633</t>
  </si>
  <si>
    <t>DH020140</t>
  </si>
  <si>
    <t>KH001717</t>
  </si>
  <si>
    <t>BS Lưu Hạnh</t>
  </si>
  <si>
    <t>0984541073</t>
  </si>
  <si>
    <t>HD045632</t>
  </si>
  <si>
    <t>DH020141</t>
  </si>
  <si>
    <t>HD045631</t>
  </si>
  <si>
    <t>HD045630</t>
  </si>
  <si>
    <t>DH020138</t>
  </si>
  <si>
    <t>KH ĐẾN LẤY</t>
  </si>
  <si>
    <t>HD045629</t>
  </si>
  <si>
    <t>KH001355</t>
  </si>
  <si>
    <t>Nhung</t>
  </si>
  <si>
    <t>dr.nhungtran03@gmail.com</t>
  </si>
  <si>
    <t>0762720214</t>
  </si>
  <si>
    <t>Chung cư B1 trường sa,p17, bình thạnh
Cổng 1, ngay cột cờ</t>
  </si>
  <si>
    <t>cho chị lên đơn:
1. kem rau má goodndoc: 01 hộp
2. sữa dưỡng ẩm body cerave lotion: 01 hộp
3. xịt khoáng aven 150ml: 01 chai
Người nhận: Phước 0948175181
                      Miếu vương phù, quận 12</t>
  </si>
  <si>
    <t>BSN060</t>
  </si>
  <si>
    <t>Avene Thermal Spring Water - Xịt khoáng Cấp Nước, Làm Dịu &amp; Giảm Kích Ứng 150ml</t>
  </si>
  <si>
    <t>HD045628</t>
  </si>
  <si>
    <t>Gửi giúp a đơn này với em
- Kem chống nắng Sumfine 
- SRM babe 
Địa chỉ:  Trường Children's word ( gần hạt kiểm lâm)  Bắc Vĩnh, Cam Hải Tây, Cam Lâm
Nguyễn Thị Trầm Hương- 0905074404</t>
  </si>
  <si>
    <t>HD045627</t>
  </si>
  <si>
    <t>18/12/2025 02:14</t>
  </si>
  <si>
    <t>MÃ GHTK 129500987530</t>
  </si>
  <si>
    <t>HD045626</t>
  </si>
  <si>
    <t>HD045625</t>
  </si>
  <si>
    <t>HD045624</t>
  </si>
  <si>
    <t>DH020127</t>
  </si>
  <si>
    <t>HD045623</t>
  </si>
  <si>
    <t>HD045622</t>
  </si>
  <si>
    <t>DH020134</t>
  </si>
  <si>
    <t>KH001333</t>
  </si>
  <si>
    <t>Leira</t>
  </si>
  <si>
    <t>0903 920056</t>
  </si>
  <si>
    <t>84 thăng long p4 tân bình</t>
  </si>
  <si>
    <t>@Thuậnn 84 Thăng Long
Sđt: 0365005525 - Quế Chi 
C gửi nghen</t>
  </si>
  <si>
    <t>HD045621</t>
  </si>
  <si>
    <t>DH020136</t>
  </si>
  <si>
    <t>BSN047</t>
  </si>
  <si>
    <t>Ami eye 2ML XÁCH TAY</t>
  </si>
  <si>
    <t>Ami</t>
  </si>
  <si>
    <t>HD045620</t>
  </si>
  <si>
    <t>DH020135</t>
  </si>
  <si>
    <t>HD045618</t>
  </si>
  <si>
    <t>DH020130</t>
  </si>
  <si>
    <t>KH000846</t>
  </si>
  <si>
    <t>BS Hiền (Q9)</t>
  </si>
  <si>
    <t>0399449966</t>
  </si>
  <si>
    <t>151 đường số 8 - phường linh xuân- tp. thủ đức - tphcm</t>
  </si>
  <si>
    <t>mai ship</t>
  </si>
  <si>
    <t>BSN161</t>
  </si>
  <si>
    <t>Fusion Mesotherapy F-ACN - Tiêm trị mụn</t>
  </si>
  <si>
    <t>HD045617</t>
  </si>
  <si>
    <t>DH020126</t>
  </si>
  <si>
    <t>KH000588</t>
  </si>
  <si>
    <t>Bs Phạm Sỹ</t>
  </si>
  <si>
    <t>0765397693</t>
  </si>
  <si>
    <t>3/7 ấp bắc lân đường nguyễn thị sóc bã điểm hóc môn</t>
  </si>
  <si>
    <t>HD045616</t>
  </si>
  <si>
    <t>HD045615</t>
  </si>
  <si>
    <t>HD045614</t>
  </si>
  <si>
    <t>HD045613</t>
  </si>
  <si>
    <t>HD045612</t>
  </si>
  <si>
    <t>2 serum dclar nha Vi 
80 ấp Tân hạnh xã Xuân bảo huyện Cẩm Mỹ đồng Nai 
thảo 0932239839</t>
  </si>
  <si>
    <t>HD045611</t>
  </si>
  <si>
    <t>DH020117</t>
  </si>
  <si>
    <t>KH000103</t>
  </si>
  <si>
    <t>Lê Hùng</t>
  </si>
  <si>
    <t>0961176678</t>
  </si>
  <si>
    <t>17 đặng văn ngữ</t>
  </si>
  <si>
    <t>Nghệ An - Thành phố Vinh</t>
  </si>
  <si>
    <t>Phường Hưng Dũng</t>
  </si>
  <si>
    <t>HD045610</t>
  </si>
  <si>
    <t>HD045609</t>
  </si>
  <si>
    <t>DH020132</t>
  </si>
  <si>
    <t>KH001962</t>
  </si>
  <si>
    <t>Hoàng Anh</t>
  </si>
  <si>
    <t>0845168574</t>
  </si>
  <si>
    <t>58 Phước Hưng Q5</t>
  </si>
  <si>
    <t>BOOK SIÊU TỐC</t>
  </si>
  <si>
    <t>HD045608</t>
  </si>
  <si>
    <t>26/12/2025 11:17</t>
  </si>
  <si>
    <t>DH020131</t>
  </si>
  <si>
    <t>KH000117</t>
  </si>
  <si>
    <t>Thanh Bình Nguyễn</t>
  </si>
  <si>
    <t>0905968488</t>
  </si>
  <si>
    <t>15 nguyễn khuyến - p. Tân lợi- tp Buôn ma Thuột</t>
  </si>
  <si>
    <t>HD045607</t>
  </si>
  <si>
    <t>DH020129</t>
  </si>
  <si>
    <t>KH001445</t>
  </si>
  <si>
    <t>Thanh Thảo (Zalo Thảo Skinsci)</t>
  </si>
  <si>
    <t>0934240394</t>
  </si>
  <si>
    <t>A40 Ngô Tất Tố, phường Xuân An, Phan Thiết, Bình Thuận</t>
  </si>
  <si>
    <t>HD045606</t>
  </si>
  <si>
    <t>DH020119</t>
  </si>
  <si>
    <t>BOOK CHÀNH XE, THÔNG TIN NHƯ TRÊN BILL</t>
  </si>
  <si>
    <t>18122028</t>
  </si>
  <si>
    <t>HD045605</t>
  </si>
  <si>
    <t>DH020128</t>
  </si>
  <si>
    <t>KH001412</t>
  </si>
  <si>
    <t>BS Hằng ( Hạo Nhiên)</t>
  </si>
  <si>
    <t>BOOK XE
262 Đường 3/2 P.12 Quận 10 TP HCM
0847303456</t>
  </si>
  <si>
    <t>BSN404</t>
  </si>
  <si>
    <t>Pharmaform Cystane Mela Cream - Tinh chất chống oxy hóa, hỗ trợ giảm nám, tàn nhang 30ml</t>
  </si>
  <si>
    <t>HD045604</t>
  </si>
  <si>
    <t>15/12/2025 03:43</t>
  </si>
  <si>
    <t>DH020125</t>
  </si>
  <si>
    <t>BOOK XE
7a/46 thành thái q10
0918115522</t>
  </si>
  <si>
    <t>HD045603</t>
  </si>
  <si>
    <t>DH020124</t>
  </si>
  <si>
    <t>HD045602</t>
  </si>
  <si>
    <t>DH020123</t>
  </si>
  <si>
    <t>HD045601</t>
  </si>
  <si>
    <t>DH020122</t>
  </si>
  <si>
    <t>KH001645</t>
  </si>
  <si>
    <t>Đặng Thùy Dương</t>
  </si>
  <si>
    <t>dangthuyduong2503@gmail.com</t>
  </si>
  <si>
    <t>0988146052</t>
  </si>
  <si>
    <t>94kp2 Thị Trấn Đông Thành -huyện Đức Huệ- tỉnh Long An</t>
  </si>
  <si>
    <t>HD045600</t>
  </si>
  <si>
    <t>DH020121</t>
  </si>
  <si>
    <t>Địa chỉ: 
Địa chỉ giao hàng: 310 Nguyễn Văn Linh, Phường Thanh Khê, Đà Nẵng, Việt Nam
SĐT nhận hàng: Ms Trúc 0352524777</t>
  </si>
  <si>
    <t>HD045599</t>
  </si>
  <si>
    <t>DH020120</t>
  </si>
  <si>
    <t>ĐI CÙNG ĐƠN TRƯỚC</t>
  </si>
  <si>
    <t>HD045598</t>
  </si>
  <si>
    <t>DH020118</t>
  </si>
  <si>
    <t>HD045595</t>
  </si>
  <si>
    <t>DH020115</t>
  </si>
  <si>
    <t>ĐÃ Đi 13/12</t>
  </si>
  <si>
    <t>HD045594</t>
  </si>
  <si>
    <t>DH020113</t>
  </si>
  <si>
    <t>BOOK GẤP CHO C TRÚC BOMBIT</t>
  </si>
  <si>
    <t>HD045593</t>
  </si>
  <si>
    <t>DH020112</t>
  </si>
  <si>
    <t>HD045592</t>
  </si>
  <si>
    <t>DH020111</t>
  </si>
  <si>
    <t>KH001679</t>
  </si>
  <si>
    <t>Chị Nhân</t>
  </si>
  <si>
    <t>0903331942</t>
  </si>
  <si>
    <t>49 Trương đình nghệ, p8, q11</t>
  </si>
  <si>
    <t>BSN616</t>
  </si>
  <si>
    <t>Căng chỉ fullface</t>
  </si>
  <si>
    <t>HD045591</t>
  </si>
  <si>
    <t>DH020110</t>
  </si>
  <si>
    <t>HD045590</t>
  </si>
  <si>
    <t>DH020109</t>
  </si>
  <si>
    <t>BSN234</t>
  </si>
  <si>
    <t>ISIS PHARMA Neotone Aqua Micellar Solution - Dung Dịch Micellar Tẩy Trang Làm Sáng Da 250mL</t>
  </si>
  <si>
    <t>ISIS PHARMA</t>
  </si>
  <si>
    <t>01012026</t>
  </si>
  <si>
    <t>BSN497</t>
  </si>
  <si>
    <t>Skinuva Brite Hyperpigmentation Treatment - Kem trị nám</t>
  </si>
  <si>
    <t>Skinuva</t>
  </si>
  <si>
    <t>HD045589</t>
  </si>
  <si>
    <t>DH020108</t>
  </si>
  <si>
    <t>MAI BOOK nhanh CHO KHÁCH 
42-44 Đường số 6, Tân Phong, Quận 7 0976949576</t>
  </si>
  <si>
    <t>BSN553</t>
  </si>
  <si>
    <t>Pigmolux Cream</t>
  </si>
  <si>
    <t>HD045588</t>
  </si>
  <si>
    <t>DH020106</t>
  </si>
  <si>
    <t>MAI BOOK 4H CHO KHÁCH</t>
  </si>
  <si>
    <t>BSN659</t>
  </si>
  <si>
    <t>BOTOX TOXTA 100 UNIT HÀN QUỐC - TIÊM XÓA NHĂN THON GỌN HÀM BẮP TAY CHÂN</t>
  </si>
  <si>
    <t>HD045587</t>
  </si>
  <si>
    <t>24/12/2025 02:17</t>
  </si>
  <si>
    <t>DH020107</t>
  </si>
  <si>
    <t>BOOK THẲNG</t>
  </si>
  <si>
    <t>HD045586</t>
  </si>
  <si>
    <t>BSN085</t>
  </si>
  <si>
    <t>Bioderma Sébium Hydra - Kem dưỡng nuôi dưỡng, làm dịu và phục hồi da mụn 40ml</t>
  </si>
  <si>
    <t>HD045585</t>
  </si>
  <si>
    <t>KH001411</t>
  </si>
  <si>
    <t>Thoại Vy (Q11)</t>
  </si>
  <si>
    <t>0917299646</t>
  </si>
  <si>
    <t>Chung cư Phú Thọ - Lô 3a, Đường Lữ Gia, p15, q11</t>
  </si>
  <si>
    <t>HD045584</t>
  </si>
  <si>
    <t>BSN422</t>
  </si>
  <si>
    <t>Radiance Beauva B35 Ha+ - Serum cấp nước phục hồi da 60ml</t>
  </si>
  <si>
    <t>HD045583</t>
  </si>
  <si>
    <t>HD045582</t>
  </si>
  <si>
    <t>HD045581</t>
  </si>
  <si>
    <t>SP094140</t>
  </si>
  <si>
    <t>Usolab Moisturizing Hyaluron HA - Nước cân bằng da Toner mọi loại da 1000ml</t>
  </si>
  <si>
    <t>28052028</t>
  </si>
  <si>
    <t>HD045580</t>
  </si>
  <si>
    <t>DH020105</t>
  </si>
  <si>
    <t>HD045579</t>
  </si>
  <si>
    <t>DH020083</t>
  </si>
  <si>
    <t>SP094129</t>
  </si>
  <si>
    <t>Bombit HSC Hair/Scalp - Tinh chất kích mọc tóc, trẻ hóa da đầu 4x5ml</t>
  </si>
  <si>
    <t>Bombit</t>
  </si>
  <si>
    <t>HD045578</t>
  </si>
  <si>
    <t>DH020104</t>
  </si>
  <si>
    <t>HD045577</t>
  </si>
  <si>
    <t>DH020101</t>
  </si>
  <si>
    <t>KH001495</t>
  </si>
  <si>
    <t>Thanh Uyên</t>
  </si>
  <si>
    <t>0982879654</t>
  </si>
  <si>
    <t>1/53-55 hoàng việt tân bình</t>
  </si>
  <si>
    <t>ship luôn giùm e ạ ,252/9 Vườn Lài An phú đông hcm
BOOK XE</t>
  </si>
  <si>
    <t>HD045576</t>
  </si>
  <si>
    <t>DH020088</t>
  </si>
  <si>
    <t>SP094133</t>
  </si>
  <si>
    <t>Azecont cream (15g) - 15% azelaic acid, kem giúp mờ hết thâm mụn MÀU XANH</t>
  </si>
  <si>
    <t>SP094132</t>
  </si>
  <si>
    <t>TEOXANE Teosyal Redensity 1 - Tinh Chất Ngăn Ngừa Nếp Nhăn, 1ml x 2 (XÁCH TAY)</t>
  </si>
  <si>
    <t>06032027</t>
  </si>
  <si>
    <t>HD045575</t>
  </si>
  <si>
    <t>DH020090</t>
  </si>
  <si>
    <t>BSN241</t>
  </si>
  <si>
    <t>JA AHA Preparation Lotion - Nước cân bằng cho mọi loại da 210ml</t>
  </si>
  <si>
    <t>HD045574</t>
  </si>
  <si>
    <t>KH000145</t>
  </si>
  <si>
    <t>Bs Xuân Việt</t>
  </si>
  <si>
    <t>0986527976</t>
  </si>
  <si>
    <t>51 B ngách 51 ngõ 29 phố trạm p Long biên p Long biên Hà nội</t>
  </si>
  <si>
    <t>ấp bình tiền 2 , xã Đức hoà, tỉnh Tây ninh 
0937928924 Mai Hoa</t>
  </si>
  <si>
    <t>HD045573</t>
  </si>
  <si>
    <t>HD045572</t>
  </si>
  <si>
    <t>KH001235</t>
  </si>
  <si>
    <t>BS Minh Thao ( ISKIN)</t>
  </si>
  <si>
    <t>0767028793</t>
  </si>
  <si>
    <t>271 Nguyễn Đình Chiểu-Q3</t>
  </si>
  <si>
    <t>HD045571</t>
  </si>
  <si>
    <t>DH020099</t>
  </si>
  <si>
    <t>HD045570</t>
  </si>
  <si>
    <t>DH020100</t>
  </si>
  <si>
    <t>HD045569</t>
  </si>
  <si>
    <t>BSN503</t>
  </si>
  <si>
    <t>Smas Pro Vitamin B5 Hydra Serum - Tinh Chất Phục Hồi Và Cấp Ẩm</t>
  </si>
  <si>
    <t>HD045568</t>
  </si>
  <si>
    <t>HD045567</t>
  </si>
  <si>
    <t>HD045566</t>
  </si>
  <si>
    <t>HD045565</t>
  </si>
  <si>
    <t>DH020087</t>
  </si>
  <si>
    <t>SP094130</t>
  </si>
  <si>
    <t>Usolab Bio Tone Up Whitening Body Mask - Mặt Nạ Ủ Trắng 5x20g</t>
  </si>
  <si>
    <t>07092028</t>
  </si>
  <si>
    <t>HD045564</t>
  </si>
  <si>
    <t>DH020077</t>
  </si>
  <si>
    <t>KH001929</t>
  </si>
  <si>
    <t>Trịnh Thị Như Quỳnh</t>
  </si>
  <si>
    <t>0932522474</t>
  </si>
  <si>
    <t>96/1B ấp Mỹ Hoà 1, xã Trung Chánh, huyện Hóc Môn, TPHCM</t>
  </si>
  <si>
    <t>752 Quang Trung, p8, Gò Vấp
0932522474</t>
  </si>
  <si>
    <t>HD045562</t>
  </si>
  <si>
    <t>DH020085</t>
  </si>
  <si>
    <t>HD045561</t>
  </si>
  <si>
    <t>HD045560</t>
  </si>
  <si>
    <t>Trần Ngọc Trâm
0886634635
16 Bùi Viện, phường Bình Khánh, Long Xuyên, An Giang (tiệm ảnh Ngọc Hùng)</t>
  </si>
  <si>
    <t>BSN533</t>
  </si>
  <si>
    <t>SVR Physiopure Gelée Moussante – Gel Rửa Mặt Dành Cho Da Nhạy Cảm 200ml</t>
  </si>
  <si>
    <t>HD045559</t>
  </si>
  <si>
    <t>TH000352</t>
  </si>
  <si>
    <t>HD045558</t>
  </si>
  <si>
    <t>SP094135</t>
  </si>
  <si>
    <t>Gigi Ester C Mandelic 13% &amp; Salicylic 2% Peel - Tinh chất sáng da 100ml</t>
  </si>
  <si>
    <t>Gigi</t>
  </si>
  <si>
    <t>HD045557.01</t>
  </si>
  <si>
    <t>BSN122</t>
  </si>
  <si>
    <t>Cerave Sữa Rửa Mặt CeraVe Hydrating Cleanser cho da khô 236ml (Công ty)</t>
  </si>
  <si>
    <t>13062028</t>
  </si>
  <si>
    <t>SP094136</t>
  </si>
  <si>
    <t>Usolab Soft Oatmeal Enzyme Powder Wash - Bột Tẩy Da Chết 50ml</t>
  </si>
  <si>
    <t>13012028</t>
  </si>
  <si>
    <t>HD045556</t>
  </si>
  <si>
    <t>KH001878</t>
  </si>
  <si>
    <t>Nhà Mộc Q10 (Zalo MN)</t>
  </si>
  <si>
    <t>0353967102</t>
  </si>
  <si>
    <t>520 nguyễn chí thanh phường 7 quận 10</t>
  </si>
  <si>
    <t>BSN202</t>
  </si>
  <si>
    <t>ICON SKIN Night - Serum Đêm chống tái mụn 30ml</t>
  </si>
  <si>
    <t>BSN203</t>
  </si>
  <si>
    <t>ICON SKIN Day Fluid - Kem dưỡng ngày dành cho da dầu mụn</t>
  </si>
  <si>
    <t>BSN201</t>
  </si>
  <si>
    <t>Icon Skin 25% Mandelic Peel System Smart hỗ trợ làm đều màu da</t>
  </si>
  <si>
    <t>HD045555</t>
  </si>
  <si>
    <t>HD045554</t>
  </si>
  <si>
    <t>HD045553</t>
  </si>
  <si>
    <t>DH020094</t>
  </si>
  <si>
    <t>KH000670</t>
  </si>
  <si>
    <t>Lê Quyên</t>
  </si>
  <si>
    <t>0939288788</t>
  </si>
  <si>
    <t>nhà số 69, đường 1b ghtk
Khu novaland golf park, 1 Đường Số 2, Long Thạnh Mỹ, Thủ Đức, Thành phố Hồ Chí Minh
Dt 0939288788- 077 9595362</t>
  </si>
  <si>
    <t>HD045552</t>
  </si>
  <si>
    <t>DH020096</t>
  </si>
  <si>
    <t>BSN355</t>
  </si>
  <si>
    <t>Oh oh Skin health Serum - Tinh chất dưỡng sáng da, giảm thâm nám 30ml</t>
  </si>
  <si>
    <t>HD045551</t>
  </si>
  <si>
    <t>DH020097</t>
  </si>
  <si>
    <t>1cms mona lotion tím
1 chấm mụn biotrade nhỏ
BOOK XE</t>
  </si>
  <si>
    <t>HD045550</t>
  </si>
  <si>
    <t>DH020093</t>
  </si>
  <si>
    <t>0112027</t>
  </si>
  <si>
    <t>HD045549</t>
  </si>
  <si>
    <t>DH020095</t>
  </si>
  <si>
    <t>HD045548</t>
  </si>
  <si>
    <t>HD045547</t>
  </si>
  <si>
    <t>HD045546</t>
  </si>
  <si>
    <t>HD045545</t>
  </si>
  <si>
    <t>DH020092</t>
  </si>
  <si>
    <t>HD045544</t>
  </si>
  <si>
    <t>DH020091</t>
  </si>
  <si>
    <t>Đi chung đơn trước. Book xe</t>
  </si>
  <si>
    <t>SP094010</t>
  </si>
  <si>
    <t>DUCRAY Keracnyl UV Anti-Blemish Fluid SPF50+ - Kem Chống Nắng Dịu Da, Mờ Thâm Cho Da Dầu, Mụn 50ml</t>
  </si>
  <si>
    <t>BSN369</t>
  </si>
  <si>
    <t>PostQuam Acne Control Gel Q12 - Gel giúp kiểm soát và giảm mụn</t>
  </si>
  <si>
    <t>HD045543</t>
  </si>
  <si>
    <t>DH020079</t>
  </si>
  <si>
    <t>HD045542</t>
  </si>
  <si>
    <t>DH020066</t>
  </si>
  <si>
    <t>HD045541</t>
  </si>
  <si>
    <t>HD045540</t>
  </si>
  <si>
    <t>DH020086</t>
  </si>
  <si>
    <t>HD045539</t>
  </si>
  <si>
    <t>DH020089</t>
  </si>
  <si>
    <t>HD045538</t>
  </si>
  <si>
    <t>HD045536</t>
  </si>
  <si>
    <t>14/12/2025 03:36</t>
  </si>
  <si>
    <t>DH020078</t>
  </si>
  <si>
    <t>KH001212</t>
  </si>
  <si>
    <t>Dr Lâm Ngọc Thùy</t>
  </si>
  <si>
    <t>0786201012</t>
  </si>
  <si>
    <t>30 Nguyễn Kim phường 6 quận 10</t>
  </si>
  <si>
    <t>HD045535</t>
  </si>
  <si>
    <t>SP094131</t>
  </si>
  <si>
    <t>Teoxane Redensity 2 -Tiêm Tan Thâm Quầng Mắt 2X1ml (XÁCH TAY)</t>
  </si>
  <si>
    <t>02102026</t>
  </si>
  <si>
    <t>HD045534</t>
  </si>
  <si>
    <t>DH020081</t>
  </si>
  <si>
    <t>HD045533</t>
  </si>
  <si>
    <t>16/12/2025 10:37</t>
  </si>
  <si>
    <t>TH000351</t>
  </si>
  <si>
    <t>SALE MƯỢN HÀNG</t>
  </si>
  <si>
    <t>HD045532</t>
  </si>
  <si>
    <t>13/12/2025 03:16</t>
  </si>
  <si>
    <t>HD045531</t>
  </si>
  <si>
    <t>HD045530</t>
  </si>
  <si>
    <t>HD045529</t>
  </si>
  <si>
    <t>ĐƠN NGÀY 10/12</t>
  </si>
  <si>
    <t>SP094019</t>
  </si>
  <si>
    <t>Inno 01 ID - Hoạt chất điều trị nám 6x2ml</t>
  </si>
  <si>
    <t>HD045528</t>
  </si>
  <si>
    <t>Đơn xuất hn em book về pháo đài láng @Thuậnn</t>
  </si>
  <si>
    <t>SP094053</t>
  </si>
  <si>
    <t>Inno 03 Moist - Làm mềm da 30ml</t>
  </si>
  <si>
    <t>HD045527</t>
  </si>
  <si>
    <t>mỗi mã sl 1 xuất HN em book về hoàng đạo thúy ( ĐƠN NGÀY 10/12)</t>
  </si>
  <si>
    <t>BSN383</t>
  </si>
  <si>
    <t>Purles 110 soothing Elixir - Tinh chất làm dịu da 30ml</t>
  </si>
  <si>
    <t>HD045526</t>
  </si>
  <si>
    <t>DH020076</t>
  </si>
  <si>
    <t>HD045525</t>
  </si>
  <si>
    <t>KH001198</t>
  </si>
  <si>
    <t>Chị Trang Cherry</t>
  </si>
  <si>
    <t>0908478795</t>
  </si>
  <si>
    <t>52A dg 79 phường phước long b quân 9 hcm</t>
  </si>
  <si>
    <t>HD045524</t>
  </si>
  <si>
    <t>DH020060.01</t>
  </si>
  <si>
    <t>3 trai serum SRX , 2nia oh oh , 2 neova , 1 thùng nạ b5</t>
  </si>
  <si>
    <t>HD045523</t>
  </si>
  <si>
    <t>DH020054</t>
  </si>
  <si>
    <t>HD045522</t>
  </si>
  <si>
    <t>12/12/2025 16:43</t>
  </si>
  <si>
    <t>BỎ HD CHO KHÁCH</t>
  </si>
  <si>
    <t>BSN205</t>
  </si>
  <si>
    <t>Icon Skin Serum xịt điều trị mụn body 100ml</t>
  </si>
  <si>
    <t>HD045521</t>
  </si>
  <si>
    <t>BSN046</t>
  </si>
  <si>
    <t>Aknicare Fast - SP dưỡng da dành cho da mụn 30ml</t>
  </si>
  <si>
    <t>Aknicare</t>
  </si>
  <si>
    <t>HD045520</t>
  </si>
  <si>
    <t>SP094122</t>
  </si>
  <si>
    <t>Priori DNA Recovery Cream - Kem phục hồi cấu trúc da 50ml</t>
  </si>
  <si>
    <t>Priori</t>
  </si>
  <si>
    <t>HD045519</t>
  </si>
  <si>
    <t>HD045518</t>
  </si>
  <si>
    <t>DH020058</t>
  </si>
  <si>
    <t>HD045517</t>
  </si>
  <si>
    <t>KH001304</t>
  </si>
  <si>
    <t>Pham Trinh</t>
  </si>
  <si>
    <t>0902956848</t>
  </si>
  <si>
    <t>1123 cmt8 phường 7 Tân bình tphcm</t>
  </si>
  <si>
    <t>HD045516</t>
  </si>
  <si>
    <t>DH020071</t>
  </si>
  <si>
    <t>BSN423</t>
  </si>
  <si>
    <t>RADIESSE 1.5CC</t>
  </si>
  <si>
    <t>RADIESSE</t>
  </si>
  <si>
    <t>HD045515</t>
  </si>
  <si>
    <t>DH020065</t>
  </si>
  <si>
    <t>KH001884</t>
  </si>
  <si>
    <t>Bác sĩ Rốt</t>
  </si>
  <si>
    <t>0901375359</t>
  </si>
  <si>
    <t>SP094115</t>
  </si>
  <si>
    <t>Image VITAL C Hydrating Eye Recovery Gel - GEL PHỤC HỒI VÀ CHỐNG THÂM QUẦN MẮT 15ml</t>
  </si>
  <si>
    <t>HD045514</t>
  </si>
  <si>
    <t>DH020074</t>
  </si>
  <si>
    <t>HD045513</t>
  </si>
  <si>
    <t>DH020056</t>
  </si>
  <si>
    <t>KH001608</t>
  </si>
  <si>
    <t>Zalo Pharma</t>
  </si>
  <si>
    <t>E gửi chị mã vận đơn ghtk 1211746992</t>
  </si>
  <si>
    <t>SP094111</t>
  </si>
  <si>
    <t>Mona Frema MPA 15% + 3.5 SteroPeel Exfoli - Serum tẩy tế bào chết giảm mụn sáng căng bóng da 30ml</t>
  </si>
  <si>
    <t>20082028</t>
  </si>
  <si>
    <t>SP094047</t>
  </si>
  <si>
    <t>Mona Frema White-Equation Reinforcing Concentrate - Sữa dưỡng trắng da 50ml</t>
  </si>
  <si>
    <t>15072028</t>
  </si>
  <si>
    <t>HD045512</t>
  </si>
  <si>
    <t>DH020067</t>
  </si>
  <si>
    <t>HD045511</t>
  </si>
  <si>
    <t>DH020072</t>
  </si>
  <si>
    <t>HD045510</t>
  </si>
  <si>
    <t>DH020075</t>
  </si>
  <si>
    <t>KH001582</t>
  </si>
  <si>
    <t>Nguyễn Xuân</t>
  </si>
  <si>
    <t>0976713319</t>
  </si>
  <si>
    <t>Simple Beauty  🏠 HỒ CHÍ MINH : 𝟗𝐁𝟎𝟐 𝐋𝐲́ 𝐕𝐚̆𝐧 𝐏𝐡𝐮̛́𝐜, 𝐓𝐚̂𝐧 Đ𝐢̣𝐧𝐡, 𝐐𝐮𝐚̣̂𝐧 𝟏 𝐇𝐂𝐌</t>
  </si>
  <si>
    <t>BOOK XE SHIP COD</t>
  </si>
  <si>
    <t>HD045509</t>
  </si>
  <si>
    <t>SP094118</t>
  </si>
  <si>
    <t>MartiDerm Black Diamond Skin Complex Advanced - Ampoule Chống Oxy Hoá, Trẻ Hóa &amp; Làm Sáng Da 30ampoule</t>
  </si>
  <si>
    <t>HD045508</t>
  </si>
  <si>
    <t>HD045507</t>
  </si>
  <si>
    <t>D7 253 phạm văn thuận tân mai biên hoà
Bs Nhi 0914284505</t>
  </si>
  <si>
    <t>HD045506</t>
  </si>
  <si>
    <t>DH020061</t>
  </si>
  <si>
    <t>HD045505</t>
  </si>
  <si>
    <t>12/12/2025 15:22</t>
  </si>
  <si>
    <t>KH000538</t>
  </si>
  <si>
    <t>Chị Ngân</t>
  </si>
  <si>
    <t>0938363913</t>
  </si>
  <si>
    <t>51/9 đường 24, linh đông, thủ đức</t>
  </si>
  <si>
    <t>Phường Linh Đông</t>
  </si>
  <si>
    <t>HD045504</t>
  </si>
  <si>
    <t>BSN297</t>
  </si>
  <si>
    <t>MartiDerm Skin Repair Cicra Vass Cream - Kem Dưỡng Tái Tạo &amp; Phục Hồi Da Nhạy Cảm 30ml</t>
  </si>
  <si>
    <t>SP094120</t>
  </si>
  <si>
    <t>Jean d'Arcel Clearing Milk- Sữa rửa mặt cho da dầu và da mụn J107 150ML</t>
  </si>
  <si>
    <t>HD045503</t>
  </si>
  <si>
    <t>HD045502</t>
  </si>
  <si>
    <t>DH020070</t>
  </si>
  <si>
    <t>HD045501</t>
  </si>
  <si>
    <t>DH020059</t>
  </si>
  <si>
    <t>KH001917</t>
  </si>
  <si>
    <t>Khánh Thư</t>
  </si>
  <si>
    <t>0984104952</t>
  </si>
  <si>
    <t>Chung cư bcons polygon 11 bế văn đàn, dĩ an, bình dương</t>
  </si>
  <si>
    <t>Chung cư bcons polygon 11 bế văn đàn dĩ an 0984104952</t>
  </si>
  <si>
    <t>SP094113</t>
  </si>
  <si>
    <t>Hyaestic 10% Concentrated TRX 5x5ml</t>
  </si>
  <si>
    <t>HD045500</t>
  </si>
  <si>
    <t>DH020068</t>
  </si>
  <si>
    <t>SP094117</t>
  </si>
  <si>
    <t>Profhilo - Tiêm sinh học chống lão hóa XT</t>
  </si>
  <si>
    <t>HD045499</t>
  </si>
  <si>
    <t>DH020069</t>
  </si>
  <si>
    <t>MAI GIAO</t>
  </si>
  <si>
    <t>HD045498</t>
  </si>
  <si>
    <t>DH020073</t>
  </si>
  <si>
    <t>HD045497</t>
  </si>
  <si>
    <t>HD045495</t>
  </si>
  <si>
    <t>KH001348</t>
  </si>
  <si>
    <t>Hoang Ngoc (Zalo Juna)</t>
  </si>
  <si>
    <t>0906695667</t>
  </si>
  <si>
    <t>63 sương nguyệt ánh phường bến thành quận 1</t>
  </si>
  <si>
    <t>HD045494</t>
  </si>
  <si>
    <t>KH001983</t>
  </si>
  <si>
    <t>Anh Huy INFINI</t>
  </si>
  <si>
    <t>0909372304</t>
  </si>
  <si>
    <t>HD045493</t>
  </si>
  <si>
    <t>28072029</t>
  </si>
  <si>
    <t>HD045492</t>
  </si>
  <si>
    <t>HD045491</t>
  </si>
  <si>
    <t>15/12/2025 03:44</t>
  </si>
  <si>
    <t>DH020064</t>
  </si>
  <si>
    <t>HD045490</t>
  </si>
  <si>
    <t>DH020055</t>
  </si>
  <si>
    <t>KH001982</t>
  </si>
  <si>
    <t>Bs Trần Châu</t>
  </si>
  <si>
    <t>0943448979</t>
  </si>
  <si>
    <t>nhà thuốc bs Hai Châu, chợ Thanh Hoá, p Trảng Dài Biên Hoà, Đồng Nai</t>
  </si>
  <si>
    <t>COD</t>
  </si>
  <si>
    <t>HD045488</t>
  </si>
  <si>
    <t>HD045487</t>
  </si>
  <si>
    <t>HD045486</t>
  </si>
  <si>
    <t>DH020062.01</t>
  </si>
  <si>
    <t>BSN235</t>
  </si>
  <si>
    <t>ISIS PHARMA NEOTONE GEL - Gel rửa mặt trắng sáng da 150ml</t>
  </si>
  <si>
    <t>date 01/26</t>
  </si>
  <si>
    <t>BSN002</t>
  </si>
  <si>
    <t>Bông Tẩy Trang Ipek 150 Miếng Cotton Pads</t>
  </si>
  <si>
    <t>HD045485</t>
  </si>
  <si>
    <t>DH020063</t>
  </si>
  <si>
    <t>HD045483</t>
  </si>
  <si>
    <t>HD045482</t>
  </si>
  <si>
    <t>HD045481</t>
  </si>
  <si>
    <t>SP094114</t>
  </si>
  <si>
    <t>Restylane Lidocaine 1ml</t>
  </si>
  <si>
    <t>HD045480</t>
  </si>
  <si>
    <t>HD045479</t>
  </si>
  <si>
    <t>DH020057</t>
  </si>
  <si>
    <t>HD045478</t>
  </si>
  <si>
    <t>KH001890</t>
  </si>
  <si>
    <t>Chị Phương (Đà Nẵng)</t>
  </si>
  <si>
    <t>ocphuong6868@gmail.com</t>
  </si>
  <si>
    <t>0786447779</t>
  </si>
  <si>
    <t>01 mộc bài 7 liên chiểu đà nẵng</t>
  </si>
  <si>
    <t>HD045477</t>
  </si>
  <si>
    <t>BSN142</t>
  </si>
  <si>
    <t>EKSEPTION Hyaluronic ZnPCA Serum – Tinh chất trị mụn kiểm soát nhờn – 75ml</t>
  </si>
  <si>
    <t>HD045476</t>
  </si>
  <si>
    <t>BSN353</t>
  </si>
  <si>
    <t>oh oh Flawless Abyss Serum (with 1.2% GHK Cu &amp; 9.9ppm EGF) - Tinh Chất Giảm Sẹo Lõm</t>
  </si>
  <si>
    <t>HD045475</t>
  </si>
  <si>
    <t>HD045474</t>
  </si>
  <si>
    <t>HD045473</t>
  </si>
  <si>
    <t>HD045472</t>
  </si>
  <si>
    <t>BSN044</t>
  </si>
  <si>
    <t>Akibe DDVS Phụ Nữ</t>
  </si>
  <si>
    <t>Aki</t>
  </si>
  <si>
    <t>HD045471</t>
  </si>
  <si>
    <t>HÀNG VỎ HỘP MÓP</t>
  </si>
  <si>
    <t>HÀNG MÓP</t>
  </si>
  <si>
    <t>HD045470</t>
  </si>
  <si>
    <t>KH000848</t>
  </si>
  <si>
    <t>Nguyễn Nhi</t>
  </si>
  <si>
    <t>0888993668</t>
  </si>
  <si>
    <t>433 Nguyễn Huệ, phường An Lộc, thị xã Bình Long, Bình Phước</t>
  </si>
  <si>
    <t>HD045469.01</t>
  </si>
  <si>
    <t>12/12/2025 03:45</t>
  </si>
  <si>
    <t>HD045468</t>
  </si>
  <si>
    <t>HD045467</t>
  </si>
  <si>
    <t>c ơi lên đơn HN nhé, đi Đông Anh ạ @Thuậnn</t>
  </si>
  <si>
    <t>HD045466</t>
  </si>
  <si>
    <t>San san - 0398757660
phố cổng sung -thổ tang-vĩnh tường-vĩnh phúc
dạ chị ghi thông tin lên hộp giúp em ạ</t>
  </si>
  <si>
    <t>HD045465</t>
  </si>
  <si>
    <t>HD045464</t>
  </si>
  <si>
    <t>HD045463</t>
  </si>
  <si>
    <t>HD045462</t>
  </si>
  <si>
    <t>HD045461</t>
  </si>
  <si>
    <t>HD045460</t>
  </si>
  <si>
    <t>DH020053</t>
  </si>
  <si>
    <t>HD045459</t>
  </si>
  <si>
    <t>DH020049</t>
  </si>
  <si>
    <t>KH001656</t>
  </si>
  <si>
    <t>Ds Ngọc</t>
  </si>
  <si>
    <t>Hongngocpharma09@gmail.com</t>
  </si>
  <si>
    <t>0981017400</t>
  </si>
  <si>
    <t>420 Cao Thắng</t>
  </si>
  <si>
    <t>Hồ Chí Minh - Quận 10</t>
  </si>
  <si>
    <t>HD045458</t>
  </si>
  <si>
    <t>DH020051</t>
  </si>
  <si>
    <t>BSN462</t>
  </si>
  <si>
    <t>RVB Lab The Skin Rebalancing Hydra-Toner - Dung dịch cân bằng và cung cấp lợi khuẩn 200ml</t>
  </si>
  <si>
    <t>RVB</t>
  </si>
  <si>
    <t>HD045457</t>
  </si>
  <si>
    <t>DH020052</t>
  </si>
  <si>
    <t>HD045456</t>
  </si>
  <si>
    <t>DH020047</t>
  </si>
  <si>
    <t>KH000677</t>
  </si>
  <si>
    <t>Như Mỹ</t>
  </si>
  <si>
    <t>0348359104</t>
  </si>
  <si>
    <t>Block A, cc summer Square, 243 Tân Hoà Đông, p14, quận 6</t>
  </si>
  <si>
    <t>HD045455</t>
  </si>
  <si>
    <t>DH020048</t>
  </si>
  <si>
    <t>HD045454</t>
  </si>
  <si>
    <t>DH020050</t>
  </si>
  <si>
    <t>đi chung đơn trước</t>
  </si>
  <si>
    <t>HD045453</t>
  </si>
  <si>
    <t>SP094109</t>
  </si>
  <si>
    <t>PostQuam Mourishing Cream Q17 - Kem phục hồi da tổn thương</t>
  </si>
  <si>
    <t>HD045452</t>
  </si>
  <si>
    <t>MÃ GHTK 1578492955</t>
  </si>
  <si>
    <t>BSN096</t>
  </si>
  <si>
    <t>BIOTRADE ACNAUT ACTIVE CREAM -KEM CHẤM MỤN 30ml</t>
  </si>
  <si>
    <t>HD045451</t>
  </si>
  <si>
    <t>TẠO MÃ 2 CHIỀU ĐỔI HÀNG CHO KHÁCH</t>
  </si>
  <si>
    <t>HD045450</t>
  </si>
  <si>
    <t>15/12/2025 09:45</t>
  </si>
  <si>
    <t>DH020046</t>
  </si>
  <si>
    <t>CHUNG ĐƠN TRƯỚC 
193 Đường số 26, phường  An Lạc , Bình Tân
Sdt : 0886888853 ( c . Thảo)
GHTK</t>
  </si>
  <si>
    <t>HD045449</t>
  </si>
  <si>
    <t>DH020044</t>
  </si>
  <si>
    <t>KH000553</t>
  </si>
  <si>
    <t>Dr Phương Trang</t>
  </si>
  <si>
    <t>0937338330</t>
  </si>
  <si>
    <t>21 quốc lộ 13 khu đô thị kim oanh mỹ phước bến cát bình dương</t>
  </si>
  <si>
    <t>HD045448</t>
  </si>
  <si>
    <t>0908755640
126 thôn 7 xã hoà phú, đaklak
nguyễn thị thu diễm</t>
  </si>
  <si>
    <t>BSN403</t>
  </si>
  <si>
    <t>Pharmaform Gluta N.A.C - Viên uống sáng da, ngừa lão hoá Hộp 30 viên</t>
  </si>
  <si>
    <t>HD045447</t>
  </si>
  <si>
    <t>DH020043</t>
  </si>
  <si>
    <t>KH001437</t>
  </si>
  <si>
    <t>Bé Anh Quốc</t>
  </si>
  <si>
    <t>0901616930</t>
  </si>
  <si>
    <t>BSN498</t>
  </si>
  <si>
    <t>Skita hydra B5 Complex - Serum dưỡng ẩm, làm sáng da, chống lão hóa 30ml</t>
  </si>
  <si>
    <t>Skita</t>
  </si>
  <si>
    <t>HD045446</t>
  </si>
  <si>
    <t>DH020045</t>
  </si>
  <si>
    <t>SP094106</t>
  </si>
  <si>
    <t>Medis Glutathione</t>
  </si>
  <si>
    <t>Medis</t>
  </si>
  <si>
    <t>SP094107</t>
  </si>
  <si>
    <t>Illuma Crystal rose</t>
  </si>
  <si>
    <t>Illuma</t>
  </si>
  <si>
    <t>HD045445.01</t>
  </si>
  <si>
    <t>KH000085</t>
  </si>
  <si>
    <t>Trương Việt Hà</t>
  </si>
  <si>
    <t>0778184352</t>
  </si>
  <si>
    <t>chung cư citygate, block a2, 15 Võ Văn Kiệt, p16, q8, 0778184352 chú HÙNG</t>
  </si>
  <si>
    <t>GHTK Sau để sdt c 0777066007</t>
  </si>
  <si>
    <t>HD045444</t>
  </si>
  <si>
    <t>HD045443.01</t>
  </si>
  <si>
    <t>DH020002</t>
  </si>
  <si>
    <t>KH000415</t>
  </si>
  <si>
    <t>Huyền Anh Spa</t>
  </si>
  <si>
    <t>0962038129</t>
  </si>
  <si>
    <t>Huyền anh spa 
Số nhà 263 Nguyễn Đại Năng, An Lưu, Kinh Môn, Hải Dương</t>
  </si>
  <si>
    <t>SP094096</t>
  </si>
  <si>
    <t>Obagi Elastiderm Lift Up &amp; Sculpt Facial Moisturizer - Kem Dưỡng Làm Săn Chắc, Nâng Cơ Mặt 50ml</t>
  </si>
  <si>
    <t>BSN587</t>
  </si>
  <si>
    <t>Vic Derma B9 - Serum B9 phục hồi, sáng da 50ml</t>
  </si>
  <si>
    <t>HD045442</t>
  </si>
  <si>
    <t>DH020042</t>
  </si>
  <si>
    <t>KH000035</t>
  </si>
  <si>
    <t>Bs Minh Ngọc</t>
  </si>
  <si>
    <t>0984848124</t>
  </si>
  <si>
    <t>138 nguyễn phong sắc - bv chấn thương chỉnh hình - hưng dũng</t>
  </si>
  <si>
    <t>Bệnh viện chấn thương chỉnh hình Nghệ An
138 nguyễn phong sắc, hưng dũng, nghệ an
0984848124</t>
  </si>
  <si>
    <t>HD045441</t>
  </si>
  <si>
    <t>HD045439</t>
  </si>
  <si>
    <t>TH000356</t>
  </si>
  <si>
    <t>C lên đơn cho em
4 Rilastil cho da mụn
3 toner Dermedic cho da mụn
3 kem dưỡng mụn Ava
C đổi 1 kcn Rilastil da mụn qua cho bạn kia giúp e, còn lại gửi hàng về Bình Phước cho e nha</t>
  </si>
  <si>
    <t>SP094099</t>
  </si>
  <si>
    <t>AVA Matte &amp; Shine Control Day Cream - Kem mờ &amp; sáng kiểm soát dầu ban ngày</t>
  </si>
  <si>
    <t>SP094098</t>
  </si>
  <si>
    <t>Dermedic Normacne Preventi Cleansing And Regulating Skin Toner - Nước Cân Bằng Cho Da Dầu Mụn 200ml</t>
  </si>
  <si>
    <t>BSN448</t>
  </si>
  <si>
    <t>Rilastil Age Repair - Kem chống nắng cho da lão hóa 40ml</t>
  </si>
  <si>
    <t>HD045438</t>
  </si>
  <si>
    <t>KH000166</t>
  </si>
  <si>
    <t>Khánh Đoan Healthy</t>
  </si>
  <si>
    <t>0706143939</t>
  </si>
  <si>
    <t>khu city land center nhà 57 đường số 7 phường 7 gò vấp</t>
  </si>
  <si>
    <t>Phường 14</t>
  </si>
  <si>
    <t>SP094023</t>
  </si>
  <si>
    <t>Obagi nuderm toner - Nước hoa hồng cân bằng da 200ml</t>
  </si>
  <si>
    <t>HD045437</t>
  </si>
  <si>
    <t>KH000007</t>
  </si>
  <si>
    <t>Thảo Long Thành</t>
  </si>
  <si>
    <t>0901669996</t>
  </si>
  <si>
    <t>Hee Beauty Spa - A5-12 chợ mới long thành (Kế bên Honda Thiên Kim), tt.long thành, huyện long thành, đồng nai.
CS2: Thảo 0901669996. Hee's Beauty Clinic - 1/1 Đường 33, P.An Khánh, Tp.Thủ Đức (Trần não quẹo vô)</t>
  </si>
  <si>
    <t>Đồng Nai - Huyện Long Thành</t>
  </si>
  <si>
    <t>Thị trấn Long Thành</t>
  </si>
  <si>
    <t>HD045436</t>
  </si>
  <si>
    <t>HD045435</t>
  </si>
  <si>
    <t>1 bha obagi
2 megaduo
1 dưỡng ẩm floslek
1 vitamin c Histolab
2 kcn mona xanh lá
1 bioderma tím
D7 253 phạm văn thuận tân mai biên hoà
Bs Nhi 0914284505</t>
  </si>
  <si>
    <t>BSN315</t>
  </si>
  <si>
    <t>Mona Frema EG - Kem chống nắng màu nền cho da mụn 30ml</t>
  </si>
  <si>
    <t>HD045434</t>
  </si>
  <si>
    <t>DH020036</t>
  </si>
  <si>
    <t>HD045433</t>
  </si>
  <si>
    <t>DH020038</t>
  </si>
  <si>
    <t>KH001680</t>
  </si>
  <si>
    <t>Phan Văn Phúc</t>
  </si>
  <si>
    <t>0347877687</t>
  </si>
  <si>
    <t>phòng khám da liễu tây an - 168 QL7A - TT Kim Nhan - Anh Sơn - Nghệ An</t>
  </si>
  <si>
    <t>Nghệ An - Huyện Anh Sơn</t>
  </si>
  <si>
    <t>Xã Thạch Sơn</t>
  </si>
  <si>
    <t>Freeship</t>
  </si>
  <si>
    <t>SP094014</t>
  </si>
  <si>
    <t>Ahohwa niacin 20% ampoule 30ml</t>
  </si>
  <si>
    <t>26102028</t>
  </si>
  <si>
    <t>HD045432</t>
  </si>
  <si>
    <t>BSN286</t>
  </si>
  <si>
    <t>Lacabine Anti Aging Oil Control - Kem ngừa mụn kiềm dầu</t>
  </si>
  <si>
    <t>HD045431</t>
  </si>
  <si>
    <t>DH020039</t>
  </si>
  <si>
    <t>KH001852</t>
  </si>
  <si>
    <t>Huyền Trang</t>
  </si>
  <si>
    <t>vienbamboothailan@gmail.com</t>
  </si>
  <si>
    <t>0333779456</t>
  </si>
  <si>
    <t>111 nguyễn thái bình quận 1.</t>
  </si>
  <si>
    <t>book xe 
THU COD</t>
  </si>
  <si>
    <t>HD045430</t>
  </si>
  <si>
    <t>DH020041</t>
  </si>
  <si>
    <t>HD045429</t>
  </si>
  <si>
    <t>KH000155</t>
  </si>
  <si>
    <t>Nguyễn Thuỳ  Quỳnh Như</t>
  </si>
  <si>
    <t>0794746112</t>
  </si>
  <si>
    <t>124/53 XVNT p21 quận Bình Thạnh</t>
  </si>
  <si>
    <t>HD045428</t>
  </si>
  <si>
    <t>DH020010</t>
  </si>
  <si>
    <t>GỬI KÈM 1 SERUM AVA 
Thôn kty1, xã chưkbô, krongbuk daklak nhé 
0986671545 hương</t>
  </si>
  <si>
    <t>HD045427</t>
  </si>
  <si>
    <t>DH020028</t>
  </si>
  <si>
    <t>Lây chị 5 tube số 1
5 tube số 3
5 chai HA uriage serum</t>
  </si>
  <si>
    <t>HD045426</t>
  </si>
  <si>
    <t>HD045425</t>
  </si>
  <si>
    <t>DH020037</t>
  </si>
  <si>
    <t>HD045424</t>
  </si>
  <si>
    <t>BSN175</t>
  </si>
  <si>
    <t>Heliocare 360 Pigment Solution Fluid SPF50+ – Gel Chống Nắng 50ml</t>
  </si>
  <si>
    <t>HD045423</t>
  </si>
  <si>
    <t>KH001967</t>
  </si>
  <si>
    <t>Công Ty TNHH Chăm Sóc Da Mzo</t>
  </si>
  <si>
    <t>0844555535</t>
  </si>
  <si>
    <t>42/29 nguyễn minh hoàng, tân bình</t>
  </si>
  <si>
    <t>SP093998</t>
  </si>
  <si>
    <t>Fusion Meso Therapy F-Melaclear - Tiêm điều trị nám tăng sắc tố 5x10ml</t>
  </si>
  <si>
    <t>SP094095</t>
  </si>
  <si>
    <t>Fusion Mesotherapy F-Radiance - Tiêm điều trị nám da 5x10ml</t>
  </si>
  <si>
    <t>HD045422</t>
  </si>
  <si>
    <t>BSN588</t>
  </si>
  <si>
    <t>Vichy Dercos Anti Dandruff DS Pelliculaire Dermatological Shampoo – Dầu gội trị gàu cho da đầu dầu 50ML</t>
  </si>
  <si>
    <t>HD045421.01</t>
  </si>
  <si>
    <t>SP094100</t>
  </si>
  <si>
    <t>Biotrade Odorex Deo Spray - Xịt khử mùi ngăn tiết mồ hôi,dưỡng trắng ngừa thâm đa năng không kích ứng da,không gây vàng áo</t>
  </si>
  <si>
    <t>31012030</t>
  </si>
  <si>
    <t>HD045420</t>
  </si>
  <si>
    <t>BSN317</t>
  </si>
  <si>
    <t>Mona Frema White Equation complex - Serum làm trắng da 30ml</t>
  </si>
  <si>
    <t>HD045419</t>
  </si>
  <si>
    <t>HD045418</t>
  </si>
  <si>
    <t>DH020016</t>
  </si>
  <si>
    <t>193 Đường số 26, phường  An Lạc , Bình Tân
Sdt : 0886888853 ( c . Thảo)</t>
  </si>
  <si>
    <t>SP094088</t>
  </si>
  <si>
    <t>Obagi Nu-Cil Eyelash Enhancing - Tinh Chất Dưỡng Mi 3ML</t>
  </si>
  <si>
    <t>24092027</t>
  </si>
  <si>
    <t>SP094087</t>
  </si>
  <si>
    <t>SkinCeuticals Triple Lipid Restore 2:4:2 - Kem Dưỡng Da Giúp Dưỡng Ẩm, Làm Da Mềm Mại, Giảm Nếp Nhăn Da 48ml</t>
  </si>
  <si>
    <t>HD045416</t>
  </si>
  <si>
    <t>DH020029</t>
  </si>
  <si>
    <t>BSN572</t>
  </si>
  <si>
    <t>Uriage Eau Thermale Sérum Booster H.A - Serum Dưỡng Ẩm Khoáng Tăng Cường H.A 30ML</t>
  </si>
  <si>
    <t>HD045415</t>
  </si>
  <si>
    <t>DH020030</t>
  </si>
  <si>
    <t>KH000306</t>
  </si>
  <si>
    <t>Lê Thảo Nguyên Q10</t>
  </si>
  <si>
    <t>0398791380</t>
  </si>
  <si>
    <t>28 đường số 4, p12,hado centrosa . quận 10</t>
  </si>
  <si>
    <t>Lấy e đơn 1 kcn tenamyd 
097 5685114
Lựu nguyễn
Trường tiểu học trung dũng; xã xuân đông; tỉnh đồng nai.</t>
  </si>
  <si>
    <t>HD045414</t>
  </si>
  <si>
    <t>DH020031</t>
  </si>
  <si>
    <t>HD045413</t>
  </si>
  <si>
    <t>DH020032</t>
  </si>
  <si>
    <t>KH001366</t>
  </si>
  <si>
    <t>Star Thủy Tinh</t>
  </si>
  <si>
    <t>0867789115</t>
  </si>
  <si>
    <t>Số 25, đường D1, KDC Việt Sing,Đường D1 phường an phú HCM</t>
  </si>
  <si>
    <t>HD045412</t>
  </si>
  <si>
    <t>DH020033</t>
  </si>
  <si>
    <t>KH000257</t>
  </si>
  <si>
    <t>Chị Nhung</t>
  </si>
  <si>
    <t>0969823898</t>
  </si>
  <si>
    <t>cống Tróc</t>
  </si>
  <si>
    <t>Hà Nam - Huyện Lý Nhân</t>
  </si>
  <si>
    <t>Xã Nhân Hưng</t>
  </si>
  <si>
    <t>ghtk thu cod</t>
  </si>
  <si>
    <t>HD045411</t>
  </si>
  <si>
    <t>DH020034</t>
  </si>
  <si>
    <t>HD045410</t>
  </si>
  <si>
    <t>DH020035</t>
  </si>
  <si>
    <t>HD045409</t>
  </si>
  <si>
    <t>ĐÓNG 26 HỘP ( 4 HỘP ĐÃ CÓ SẴN Ở KHO HN)
MÃ GHTK 1228338980</t>
  </si>
  <si>
    <t>HD045408</t>
  </si>
  <si>
    <t>HD045407</t>
  </si>
  <si>
    <t>BSN073</t>
  </si>
  <si>
    <t>Biocystine - Viên uống đẹp da, chống lão hoá hộp 30v</t>
  </si>
  <si>
    <t>Biocystine</t>
  </si>
  <si>
    <t>BSN127</t>
  </si>
  <si>
    <t>Collagenat No-Age Drink</t>
  </si>
  <si>
    <t>HD045406</t>
  </si>
  <si>
    <t>DH020024</t>
  </si>
  <si>
    <t>KH001981</t>
  </si>
  <si>
    <t>BS Nguyễn Hùng</t>
  </si>
  <si>
    <t>0973037006</t>
  </si>
  <si>
    <t>41/23 Nơ Trang Long p7 Bình Thạnh
Trang</t>
  </si>
  <si>
    <t>SP094093</t>
  </si>
  <si>
    <t>INTELSERUM (Tranexamic 3% + Niacinamide 10%) Ngăn Ngừa Lão Hóa, Sáng Da 30ml</t>
  </si>
  <si>
    <t>IntelDerm</t>
  </si>
  <si>
    <t>02062028</t>
  </si>
  <si>
    <t>HD045405</t>
  </si>
  <si>
    <t>DH020025</t>
  </si>
  <si>
    <t>BSN436</t>
  </si>
  <si>
    <t>Rilastil Acnestil H-Biome - Kem dưỡng ẩm kiềm dầu Biome 40ml</t>
  </si>
  <si>
    <t>HD045404</t>
  </si>
  <si>
    <t>DH020027</t>
  </si>
  <si>
    <t>BSN351</t>
  </si>
  <si>
    <t>Oh Oh HA &amp; Proteoglycans Amber - Tinh Chất Serum Dưỡng Ẩm Chuyên Sâu, Phục Hồi &amp; Trẻ Hóa Da 30ml</t>
  </si>
  <si>
    <t>HD045403</t>
  </si>
  <si>
    <t>Nguyệt Hằng
2/17 y ngông nối dài phường bmt nha
0359575053</t>
  </si>
  <si>
    <t>HD045402</t>
  </si>
  <si>
    <t>DH020026</t>
  </si>
  <si>
    <t>HD045401</t>
  </si>
  <si>
    <t>KH001784</t>
  </si>
  <si>
    <t>Trang Cao</t>
  </si>
  <si>
    <t>0799993696</t>
  </si>
  <si>
    <t>CC Tropic Garden   56 đường 66 
Thảo điền Tp Thủ Đức HCM</t>
  </si>
  <si>
    <t>HD045400</t>
  </si>
  <si>
    <t>HD045399</t>
  </si>
  <si>
    <t>20/12/2025 17:51</t>
  </si>
  <si>
    <t>TH000358,TH000361</t>
  </si>
  <si>
    <t>HD045398</t>
  </si>
  <si>
    <t>DH020005</t>
  </si>
  <si>
    <t>SP094078</t>
  </si>
  <si>
    <t>Zo Skin Health Hydrating Creme - Kem Dưỡng Giúp Làm Dịu, Giải Cứu Làn Da Khô Tổn Thương 58g</t>
  </si>
  <si>
    <t>SP094077</t>
  </si>
  <si>
    <t>ZO Skin Health Dual Action Scrub - Kem Tẩy Tế Bào Chết 58g</t>
  </si>
  <si>
    <t>SP094076</t>
  </si>
  <si>
    <t>Zo Skin Health Instant Pore Refiner - Serum Kiểm Soát Dầu và Thu Nhỏ Lỗ Chân Lông 29g</t>
  </si>
  <si>
    <t>SP094075</t>
  </si>
  <si>
    <t>Zo Skin Health Retinol +Acne Complex - Tinh Chất Retinol 1.0 Chuyên Biệt Dành Cho Làn Da Dầu Mụn 50ml</t>
  </si>
  <si>
    <t>HD045397.01</t>
  </si>
  <si>
    <t>KH000661</t>
  </si>
  <si>
    <t>Hồ Thị Hoài Thương</t>
  </si>
  <si>
    <t>0976340210</t>
  </si>
  <si>
    <t>450/21 Phan Xích Long p2 phú nhuận</t>
  </si>
  <si>
    <t>HD045396</t>
  </si>
  <si>
    <t>HD045395</t>
  </si>
  <si>
    <t>HD045394</t>
  </si>
  <si>
    <t>11/12/2025 03:30</t>
  </si>
  <si>
    <t>HD045393</t>
  </si>
  <si>
    <t>HD045392</t>
  </si>
  <si>
    <t>BOOK XE HỒ VĂN HUÊ</t>
  </si>
  <si>
    <t>HD045391</t>
  </si>
  <si>
    <t>HD045390</t>
  </si>
  <si>
    <t>MÃ GHTK 1619836376</t>
  </si>
  <si>
    <t>01122028</t>
  </si>
  <si>
    <t>HD045389</t>
  </si>
  <si>
    <t>HD045388</t>
  </si>
  <si>
    <t>MÃ GHTK 1030129916</t>
  </si>
  <si>
    <t>HD045387</t>
  </si>
  <si>
    <t>DH020022</t>
  </si>
  <si>
    <t>HD045386</t>
  </si>
  <si>
    <t>DH020006</t>
  </si>
  <si>
    <t>KH001813</t>
  </si>
  <si>
    <t>Chị Như Loan</t>
  </si>
  <si>
    <t>0962038866</t>
  </si>
  <si>
    <t>Số nhà 7-ngách 13 ngõ 99 vũ mạnh hùng khu 2 phú thứ kinh môn Hải dương</t>
  </si>
  <si>
    <t>THU COD
Địa chỉ 185 vũ mạnh hùng khu2 Phú Thứ Kinh Môn Hải Dương</t>
  </si>
  <si>
    <t>SP094079</t>
  </si>
  <si>
    <t>Exocobio Asce Plus Sunshine Cushion Pro - Phấn nước trang điểm chống nắng SPF 50+</t>
  </si>
  <si>
    <t>15112027</t>
  </si>
  <si>
    <t>HD045385</t>
  </si>
  <si>
    <t>DH020021</t>
  </si>
  <si>
    <t>KH000082</t>
  </si>
  <si>
    <t>Lê Bá Thảo Nghi</t>
  </si>
  <si>
    <t>0909719391 (0938140073)</t>
  </si>
  <si>
    <t>785/1 Luỹ Bán Bích, P. Phú Thọ Hoà, Q. Tân Phú</t>
  </si>
  <si>
    <t>Cho c 1 chai facial gel nmf - 1 egf oh oh - 1 nia oh oh - mã đơn viettel 129091340642</t>
  </si>
  <si>
    <t>HD045384</t>
  </si>
  <si>
    <t>HD045383</t>
  </si>
  <si>
    <t>TH000359,TH000362</t>
  </si>
  <si>
    <t>HD045382</t>
  </si>
  <si>
    <t>48/2M nguyễn thị sáu, ấp 48, xã thới tam thôn, huyện hóc môn
0915344446</t>
  </si>
  <si>
    <t>HD045381</t>
  </si>
  <si>
    <t>DH020020</t>
  </si>
  <si>
    <t>HD045380</t>
  </si>
  <si>
    <t>DH020018</t>
  </si>
  <si>
    <t>18 trần quang diệu, phường đức phổ, tỉnh quảng ngãi
0849946346
Hoàng thịnh</t>
  </si>
  <si>
    <t>HD045379</t>
  </si>
  <si>
    <t>DH020015</t>
  </si>
  <si>
    <t>HD045378</t>
  </si>
  <si>
    <t>BSN513</t>
  </si>
  <si>
    <t>SRS Body Fit Corporel - Dung dịch tiêm tan mỡ thừa 10x5ml</t>
  </si>
  <si>
    <t>HD045377</t>
  </si>
  <si>
    <t>DH020014</t>
  </si>
  <si>
    <t>SP094085</t>
  </si>
  <si>
    <t>Presensa ACNHEAL – HOẠT CHẤT GIẢM MỤN &amp; KHÁNG VIÊM 20x2ml</t>
  </si>
  <si>
    <t>Presensa</t>
  </si>
  <si>
    <t>HD045376</t>
  </si>
  <si>
    <t>DH020013</t>
  </si>
  <si>
    <t>Gửi a 3 tre 0,05 aret
2 serum b5 m&amp;f</t>
  </si>
  <si>
    <t>HD045375</t>
  </si>
  <si>
    <t>HD045374</t>
  </si>
  <si>
    <t>HD045373</t>
  </si>
  <si>
    <t>HD045372</t>
  </si>
  <si>
    <t>DH020012</t>
  </si>
  <si>
    <t>KH000461</t>
  </si>
  <si>
    <t>Bs Hạnh (Hana)</t>
  </si>
  <si>
    <t>02873030866 (077 7785485 - 0987309210)</t>
  </si>
  <si>
    <t>🏡Hanah Premium Center : 59 Trần Quốc Thảo - Phường Võ Thị Sáu - Quận 3 - TP. HCM</t>
  </si>
  <si>
    <t>HD045371</t>
  </si>
  <si>
    <t>HD045370</t>
  </si>
  <si>
    <t>BSN267</t>
  </si>
  <si>
    <t>Ksurgery K opera Rev - Hoạt chất tái tạo sinh học 1x3ml</t>
  </si>
  <si>
    <t>BSN491</t>
  </si>
  <si>
    <t>Skinderma Salicylic 20% - Hoạt chất tái tạo điều trị mụn trứng cá sáng da</t>
  </si>
  <si>
    <t>HD045369</t>
  </si>
  <si>
    <t>HD045368</t>
  </si>
  <si>
    <t>11/12/2025 03:29</t>
  </si>
  <si>
    <t>HD045367</t>
  </si>
  <si>
    <t>KH001269</t>
  </si>
  <si>
    <t>BS Hải Vân</t>
  </si>
  <si>
    <t>0902074849 (0939769636)</t>
  </si>
  <si>
    <t>252B nguyễn văn luông p11 q6</t>
  </si>
  <si>
    <t>SP094081</t>
  </si>
  <si>
    <t>Revision Skincare D-E-J Eye Cream -Kem dưỡng giảm nếp nhăn và thâm mắt 14g</t>
  </si>
  <si>
    <t>HD045366</t>
  </si>
  <si>
    <t>DH020011</t>
  </si>
  <si>
    <t>3 serum aqua
2 dưỡng hbiome
277cmt8, Đức Linh, Lâm Đồng 
0382085011 Phúc</t>
  </si>
  <si>
    <t>BSN452</t>
  </si>
  <si>
    <t>Rilastil Aqua Intense Gel Serum - Serum cấp ẩm đa tầng 30ml</t>
  </si>
  <si>
    <t>HD045365</t>
  </si>
  <si>
    <t>DH019974</t>
  </si>
  <si>
    <t>Đơn:
1. Kcn shadow spf 50: 01
2. Nia 20% paulachoi: 01
3. Bha 2% paula 30ml: 01
4. Kem rau má goodndoc: 01
Địa chỉ: 
           112 Lý Phục Man, phường Bình Thuận, quận 7, TPHCM
           Son 0935991745
Note: gọi điện báo khách khi hàng đến
Đi trong sáng mai thứ 3 9/12/25</t>
  </si>
  <si>
    <t>BSN359</t>
  </si>
  <si>
    <t>Paula’s Choice Clinical Niacinamide 20% Treatment – Hỗ Trợ Điều Trị Lỗ Chân Lông To, Khắc Phục Bề Mặt Da Kém Mềm Mịn 20ml</t>
  </si>
  <si>
    <t>HD045364</t>
  </si>
  <si>
    <t>DH019998</t>
  </si>
  <si>
    <t>Hyaestic LẤY HỘP MÓP, GỬI KÈM HÀNG PHƯƠNG</t>
  </si>
  <si>
    <t>BSN321</t>
  </si>
  <si>
    <t>Murad Rapid Dark Spot Correcting - Serum Giảm Thâm Nám Nhanh 30ml</t>
  </si>
  <si>
    <t>Murad</t>
  </si>
  <si>
    <t>SP093977</t>
  </si>
  <si>
    <t>MD care PRO-Retinol 0.6 Kem dưỡng và cải thiện nếp nhăn 0.6 30ml</t>
  </si>
  <si>
    <t>30092028</t>
  </si>
  <si>
    <t>HD045363</t>
  </si>
  <si>
    <t>25/12/2025 17:17</t>
  </si>
  <si>
    <t>DH020007</t>
  </si>
  <si>
    <t>TH000365</t>
  </si>
  <si>
    <t>KH000241</t>
  </si>
  <si>
    <t>Xương Rồng</t>
  </si>
  <si>
    <t>0888343620</t>
  </si>
  <si>
    <t>Thôn minh thành xã hàm minh huyện hàm thuận nam tỉnh bình thuận</t>
  </si>
  <si>
    <t>BSN603</t>
  </si>
  <si>
    <t>Ziaja Vitamin C.B3 Niacinamide Face Toner Before &amp; After Make-up 190ml - Xịt cân bằng sáng da C.B3 Niacinamide</t>
  </si>
  <si>
    <t>ZIAJA</t>
  </si>
  <si>
    <t>HD045362</t>
  </si>
  <si>
    <t>DH020008</t>
  </si>
  <si>
    <t>Block A-04.08, Office tel, Sunrise Riverside, Phuoc Kien, Nha Be, HCM
0967935953 𝗧𝗵𝗲 𝗟𝘂𝗻𝗮 𝗕𝗲𝗮𝘂𝘁𝘆 𝗦𝗽𝗮</t>
  </si>
  <si>
    <t>HD045361.01</t>
  </si>
  <si>
    <t>DH020009</t>
  </si>
  <si>
    <t>HD045360.01</t>
  </si>
  <si>
    <t>BSN004</t>
  </si>
  <si>
    <t>Acnapill - Viên uống hỗ trợ tăng cường sức đề kháng,giúp giảm mệt mỏi do thiếu vitanmin</t>
  </si>
  <si>
    <t>Acnapill</t>
  </si>
  <si>
    <t>19102027</t>
  </si>
  <si>
    <t>HD045359</t>
  </si>
  <si>
    <t>HD045358</t>
  </si>
  <si>
    <t>HD045357</t>
  </si>
  <si>
    <t>DH019996</t>
  </si>
  <si>
    <t>GHTK 
Lấy e 1 cặp asce ; 10 kim 34 về Chung cư sky9; đường số 1; phường phú hữu; tp thủ đức 
Sơn- 0974943608</t>
  </si>
  <si>
    <t>HD045356</t>
  </si>
  <si>
    <t>DH020004</t>
  </si>
  <si>
    <t>GHTK 1471188757
KÈM 2 NÁCH NHẬT</t>
  </si>
  <si>
    <t>HD045355</t>
  </si>
  <si>
    <t>18/12/2025 03:23</t>
  </si>
  <si>
    <t>Gửi giúp chị 1 Nia Paula 10%
Lê vy, đường võ thị sáu. Kp hải trung, thị trấn phước hải. Đất đỏ. Bà rịa vũng tàu.
0379060644</t>
  </si>
  <si>
    <t>HD045354</t>
  </si>
  <si>
    <t>HD045353</t>
  </si>
  <si>
    <t>BSN651</t>
  </si>
  <si>
    <t>Tiêm Tan Filler Malinda – Hàn Quốc LỌ LẺ</t>
  </si>
  <si>
    <t>HD045352</t>
  </si>
  <si>
    <t>LINH ĐÀM</t>
  </si>
  <si>
    <t>HD045351</t>
  </si>
  <si>
    <t>DH020003</t>
  </si>
  <si>
    <t>KH001739</t>
  </si>
  <si>
    <t>Thanh Nhàn</t>
  </si>
  <si>
    <t>hathanhnhan9578@gmail.com</t>
  </si>
  <si>
    <t>0983904762</t>
  </si>
  <si>
    <t>Phòng khám bsck1. Thanh Nhàn, an phú 06, an phú, thuận an, bình dương</t>
  </si>
  <si>
    <t>HD045350</t>
  </si>
  <si>
    <t>DH019973</t>
  </si>
  <si>
    <t>MIỄN SHIP</t>
  </si>
  <si>
    <t>SP094048</t>
  </si>
  <si>
    <t>Uriage Xémose Cérat Relipidant Anti-Irritations - Nhũ Tương Hỗ Trợ Điều Trị Da Khô, Viêm Da Cơ Địa, Chàm 200ml</t>
  </si>
  <si>
    <t>HD045349</t>
  </si>
  <si>
    <t>DH020001</t>
  </si>
  <si>
    <t>ĐI THẲNG</t>
  </si>
  <si>
    <t>SP094072</t>
  </si>
  <si>
    <t>JA CLARIFYING FACE FOAM - Bọt rửa mặt trị mụn giảm dầu 230ml</t>
  </si>
  <si>
    <t>HD045348</t>
  </si>
  <si>
    <t>DH019997</t>
  </si>
  <si>
    <t>KH001840</t>
  </si>
  <si>
    <t>A Bình</t>
  </si>
  <si>
    <t>0355733822</t>
  </si>
  <si>
    <t>518B Điện Biên Phủ, P19, Bình Thạnh HCM</t>
  </si>
  <si>
    <t>Toà nhà An Phong 518B Điện Biên Phủ, Bình Thạnh nha</t>
  </si>
  <si>
    <t>HD045347</t>
  </si>
  <si>
    <t>DH019999</t>
  </si>
  <si>
    <t>KH000064</t>
  </si>
  <si>
    <t>Trần Hoàng</t>
  </si>
  <si>
    <t>0967668115</t>
  </si>
  <si>
    <t>80 nguyễn thiếp - diên hồng - pleiku - gia lai</t>
  </si>
  <si>
    <t>568 Hai Bà Trưng, phường Hội An, TP Đà Nẵng
BS HOÀNG 0967668115</t>
  </si>
  <si>
    <t>HD045346</t>
  </si>
  <si>
    <t>DH020000</t>
  </si>
  <si>
    <t>SP094062</t>
  </si>
  <si>
    <t>MD CARE Exfoliating Body Wash - Sữa Tắm Giảm Mụn &amp; Tẩy Tế Bào Chết AHAs &amp; BHA 200ml</t>
  </si>
  <si>
    <t>03062028</t>
  </si>
  <si>
    <t>BSN477</t>
  </si>
  <si>
    <t>Sebamed Extreme Dry Skin Repair Lotion 10% Urea - Lotion dưỡng ẩm giảm khô, ngứa, bong tróc cho da khô, viêm da cơ địa (200ml)</t>
  </si>
  <si>
    <t>Sebamed</t>
  </si>
  <si>
    <t>HD045345</t>
  </si>
  <si>
    <t>HD045344.01</t>
  </si>
  <si>
    <t>HD045343</t>
  </si>
  <si>
    <t>HD045342</t>
  </si>
  <si>
    <t>em lấy 2 chai này xuất HN em book đi thanh liệt thanh trì</t>
  </si>
  <si>
    <t>HD045341</t>
  </si>
  <si>
    <t>MÃ GHTK 1598907525</t>
  </si>
  <si>
    <t>HD045340</t>
  </si>
  <si>
    <t>HD045338</t>
  </si>
  <si>
    <t>DH019994</t>
  </si>
  <si>
    <t>Lấy e đơn 2 serum histolab xanh nước biển về
Cẩm hà
0988684526
Trường tiểu học trung dũng; xã xuân đông; tỉnh đồng nai.</t>
  </si>
  <si>
    <t>HD045337</t>
  </si>
  <si>
    <t>DH019995</t>
  </si>
  <si>
    <t>KH001760</t>
  </si>
  <si>
    <t>Bs Ngọc Anh</t>
  </si>
  <si>
    <t>0384035763</t>
  </si>
  <si>
    <t>1910 Phạm Thế Hiển, p6,q8</t>
  </si>
  <si>
    <t>BSN346</t>
  </si>
  <si>
    <t>Obagi Hydrate Facial Moisturizer – Kem Dưỡng Ẩm 48g</t>
  </si>
  <si>
    <t>HD045335</t>
  </si>
  <si>
    <t>DH019991</t>
  </si>
  <si>
    <t>HD045334</t>
  </si>
  <si>
    <t>DH019992</t>
  </si>
  <si>
    <t>KH001979</t>
  </si>
  <si>
    <t>Chuc An</t>
  </si>
  <si>
    <t>0902690253</t>
  </si>
  <si>
    <t>254A Nguyễn Văn Đậu, P.Bình Lợi Trung, Q.Bình Thạnh</t>
  </si>
  <si>
    <t>BSN112</t>
  </si>
  <si>
    <t>CASMARA LIGHTENING CLARIFYING ANTI- AGING CREAM SPF50 - KEM DƯỠNG DA VÀ CHỐNG NẮNG MỜ NÁM BAN NGÀY SPF50 50ml</t>
  </si>
  <si>
    <t>Casmara</t>
  </si>
  <si>
    <t>HD045333</t>
  </si>
  <si>
    <t>DH019993</t>
  </si>
  <si>
    <t>KH000107</t>
  </si>
  <si>
    <t>Quốc Cường</t>
  </si>
  <si>
    <t>0374516881</t>
  </si>
  <si>
    <t>694/39 Nguyễn Kiệm, P4, Phú Nhuận.</t>
  </si>
  <si>
    <t>1 chai BHA Obagi BOOK XE
--
Thành Mỹ, Tân Bình
@Dao La</t>
  </si>
  <si>
    <t>HD045332</t>
  </si>
  <si>
    <t>KH000120</t>
  </si>
  <si>
    <t>Bs Đặng Uyên</t>
  </si>
  <si>
    <t>Uyenphuongdang18@gmail.com</t>
  </si>
  <si>
    <t>0797139888</t>
  </si>
  <si>
    <t>Hẻm 126 Phan Văn Trị, phường 12, quận Bình Thạnh</t>
  </si>
  <si>
    <t>HD045331</t>
  </si>
  <si>
    <t>MÃ GHTK 1064353393</t>
  </si>
  <si>
    <t>BSN111</t>
  </si>
  <si>
    <t>[Công ty] CASMARA CLARIFYING CONCENTRATED SERUM - SERUM DƯỠNG TRẮNG, MỜ NÁM BAN ĐÊM (BẢN MỚI) -</t>
  </si>
  <si>
    <t>HD045330</t>
  </si>
  <si>
    <t>MÃ GHTK 1749292825</t>
  </si>
  <si>
    <t>BSN519</t>
  </si>
  <si>
    <t>SVR Topialyse Gel Lavant - Gel Sữa Rửa Mặt Dạng Không Chứa Xà Phòng Dành Cho Da Khô 400ml</t>
  </si>
  <si>
    <t>HD045329</t>
  </si>
  <si>
    <t>MÃ GHTK 1240399576</t>
  </si>
  <si>
    <t>HD045328</t>
  </si>
  <si>
    <t>DH019976</t>
  </si>
  <si>
    <t>HD045327</t>
  </si>
  <si>
    <t>DH019986</t>
  </si>
  <si>
    <t>0914047113 Loan
Gởi về 114 tăng bạc hổ.phường diên Hồng.tppeku gia lai</t>
  </si>
  <si>
    <t>SP094017</t>
  </si>
  <si>
    <t>Orobanc ECTOIN - B5 HYDRATING SERUM - Tinh chất cấp ẩm, làm dịu, cải thiện lão hóa 30ml</t>
  </si>
  <si>
    <t>17092028</t>
  </si>
  <si>
    <t>SP094016</t>
  </si>
  <si>
    <t>Orobanc PHYTO-B3 ACNE CONTROL AMPOULE - Tinh chất hỗ trợ giảm mụn và cân bằng tiết dầu 15ml</t>
  </si>
  <si>
    <t>22082028</t>
  </si>
  <si>
    <t>HD045326</t>
  </si>
  <si>
    <t>DH019989</t>
  </si>
  <si>
    <t>KH000308</t>
  </si>
  <si>
    <t>Chị Dự</t>
  </si>
  <si>
    <t>0988645877</t>
  </si>
  <si>
    <t>BV Đa khoa TP Vinh</t>
  </si>
  <si>
    <t>HD045325</t>
  </si>
  <si>
    <t>DH019990</t>
  </si>
  <si>
    <t>BSN137</t>
  </si>
  <si>
    <t>Christina Line Repair Theraskin+HA Concentrate - Tinh Chất Trẻ Hóa Da 50ml</t>
  </si>
  <si>
    <t>Christina</t>
  </si>
  <si>
    <t>HD045324</t>
  </si>
  <si>
    <t>HD045323</t>
  </si>
  <si>
    <t>HD045322.01</t>
  </si>
  <si>
    <t>DH019985</t>
  </si>
  <si>
    <t>HD045321</t>
  </si>
  <si>
    <t>DH019987</t>
  </si>
  <si>
    <t>KH001638</t>
  </si>
  <si>
    <t>Dinh Nhan</t>
  </si>
  <si>
    <t>dinhnhanhuynh97@gmail.com</t>
  </si>
  <si>
    <t>0798639797</t>
  </si>
  <si>
    <t>254B Nguyễn Đình chiểu p. Võ thị sáu q3</t>
  </si>
  <si>
    <t>SP093984</t>
  </si>
  <si>
    <t>Benzac AC Benzoyl Peroxide 2,5% - Gel Trị Mụn, Kiểm Soát Nhờn 30g</t>
  </si>
  <si>
    <t>HD045319</t>
  </si>
  <si>
    <t>KH000101</t>
  </si>
  <si>
    <t>Nguyễn Na</t>
  </si>
  <si>
    <t>0941313517</t>
  </si>
  <si>
    <t>20 Nguyễn Viết Xuân, P. Quang Trung, Hà Đông, Hà Nội ( CS1: Ship qua 
87T Lê Văn Duyệt P3 Bình Thạnh
0888811025/ CS2: 255A7 Nguyễn Văn Lượng , P10, Gò Vấp - 0888811025 / CS3: 37 Hoa Hồng P2 Phú Nhuận - 0914975788 )</t>
  </si>
  <si>
    <t>Hà Nội - Quận Hà Đông</t>
  </si>
  <si>
    <t>Phường Quang Trung</t>
  </si>
  <si>
    <t>HD045318</t>
  </si>
  <si>
    <t>HD045317</t>
  </si>
  <si>
    <t>HD045316</t>
  </si>
  <si>
    <t>BSN091</t>
  </si>
  <si>
    <t>Biotrade Retinol 0.5</t>
  </si>
  <si>
    <t>HD045315</t>
  </si>
  <si>
    <t>DH019984</t>
  </si>
  <si>
    <t>BSN457</t>
  </si>
  <si>
    <t>Rilastil Intense Serum Vitamin C - Tinh chất dưỡng ẩm làm sáng 30ml</t>
  </si>
  <si>
    <t>SP094057</t>
  </si>
  <si>
    <t>BOMBIT PDRN Ampoule - Tinh Chất Căng Bóng Da, thu nhỏ lỗ chân lông5ml x 4 Lọ</t>
  </si>
  <si>
    <t>BSN105</t>
  </si>
  <si>
    <t>BOMBIT Total Solution Tinh chất trẻ hóa da toàn diện 5x4ml</t>
  </si>
  <si>
    <t>01082026</t>
  </si>
  <si>
    <t>BSN101</t>
  </si>
  <si>
    <t>BOMBIT Total Solution Tinh chất trẻ hóa da toàn diện 4x5ml (LỌ LẺ)</t>
  </si>
  <si>
    <t>HD045314</t>
  </si>
  <si>
    <t>KH001960</t>
  </si>
  <si>
    <t>CÔNG TY TNHH THẨM MỸ TRỤY BA</t>
  </si>
  <si>
    <t>0938953788</t>
  </si>
  <si>
    <t>Số 2 Đường số 2 Khu dân cư Cityland, Phường Tân Mỹ, Thành phố Hồ Chí Minh, Việt Nam</t>
  </si>
  <si>
    <t>HD045313</t>
  </si>
  <si>
    <t>DH019982</t>
  </si>
  <si>
    <t>0986671545 hương
Thôn kty1, xã chưkbô, krongbuk daklak</t>
  </si>
  <si>
    <t>HD045312</t>
  </si>
  <si>
    <t>DH019983</t>
  </si>
  <si>
    <t>HD045311</t>
  </si>
  <si>
    <t>DH019979</t>
  </si>
  <si>
    <t>KH001954</t>
  </si>
  <si>
    <t>Trúc Quyên</t>
  </si>
  <si>
    <t>36/32/2 nguyễn gia trí, bình thạnh
0399754891</t>
  </si>
  <si>
    <t>SP094056</t>
  </si>
  <si>
    <t>Nubiance Serum cấp nước căng bóng tức thì</t>
  </si>
  <si>
    <t>Nubiance</t>
  </si>
  <si>
    <t>HD045310</t>
  </si>
  <si>
    <t>DH019981</t>
  </si>
  <si>
    <t>KH001309</t>
  </si>
  <si>
    <t>BS Nam Nguyễn</t>
  </si>
  <si>
    <t>0774942882</t>
  </si>
  <si>
    <t>182 điệ hcm n biên phủ p. Võ thị sáu q3</t>
  </si>
  <si>
    <t>HD045309</t>
  </si>
  <si>
    <t>DH019980</t>
  </si>
  <si>
    <t>BSN566</t>
  </si>
  <si>
    <t>Triluma Ấn Độ</t>
  </si>
  <si>
    <t>HD045308</t>
  </si>
  <si>
    <t>DH019977</t>
  </si>
  <si>
    <t>BSN576</t>
  </si>
  <si>
    <t>Uriage Hyséac Spf50+ Uvb+Uva Fluide - Sữa Chống Nắng Cho Da Dầu, Mụn 50ml</t>
  </si>
  <si>
    <t>HD045307</t>
  </si>
  <si>
    <t>DH019975</t>
  </si>
  <si>
    <t>HD045306</t>
  </si>
  <si>
    <t>CHÀNH XE</t>
  </si>
  <si>
    <t>HD045305</t>
  </si>
  <si>
    <t>DH019978</t>
  </si>
  <si>
    <t>KH001715</t>
  </si>
  <si>
    <t>Thanh Thảo</t>
  </si>
  <si>
    <t>trinhthithanhthao1410@gmail.com</t>
  </si>
  <si>
    <t>0393630680</t>
  </si>
  <si>
    <t>205 Lạc Long Quân</t>
  </si>
  <si>
    <t>Hồ Chí Minh - Quận 11</t>
  </si>
  <si>
    <t>HD045304</t>
  </si>
  <si>
    <t>HD045303</t>
  </si>
  <si>
    <t>HD045302</t>
  </si>
  <si>
    <t>SP094052</t>
  </si>
  <si>
    <t>Purles shiny Jelly massage 22 300ml</t>
  </si>
  <si>
    <t>BSN389</t>
  </si>
  <si>
    <t>Purles 131 Anti-Acne Elixir - Huyết thanh đặc trị mụn 30ml</t>
  </si>
  <si>
    <t>HD045301</t>
  </si>
  <si>
    <t>Đơn hoàng đạo thúy em book ship đc chưa ạ @Thuậnn</t>
  </si>
  <si>
    <t>SP094049</t>
  </si>
  <si>
    <t>Purles 100 hydracalm cream gel 100ml kem dưỡng</t>
  </si>
  <si>
    <t>HD045300</t>
  </si>
  <si>
    <t>đơn xuất HN em book về linh đàm</t>
  </si>
  <si>
    <t>HD045299</t>
  </si>
  <si>
    <t>DH019965</t>
  </si>
  <si>
    <t>KH000371</t>
  </si>
  <si>
    <t>Bích Trâm</t>
  </si>
  <si>
    <t>0963327133</t>
  </si>
  <si>
    <t>Bích Trâm  ( bida night clup)
Lập thành -iayok - iagrai - gia lai</t>
  </si>
  <si>
    <t>- 2 Triple nữa nhé. 2 Srm EUCERIN trắng
CHUNG ĐƠN TRƯỚC</t>
  </si>
  <si>
    <t>SP094042</t>
  </si>
  <si>
    <t>Eucerin pH5 Facial Cleanser Sensitive Skin - Sữa Rửa Mặt Eucerin Dịu Nhẹ Cho Da Nhạy Cảm 400ml</t>
  </si>
  <si>
    <t>Eucerin</t>
  </si>
  <si>
    <t>04052028</t>
  </si>
  <si>
    <t>HD045297.02</t>
  </si>
  <si>
    <t>DH019971</t>
  </si>
  <si>
    <t>BSN191</t>
  </si>
  <si>
    <t>Hyaestic Cross Technique &amp; Depth Peel TCA 40% - Peel tái tạo da 8x3ml (Lọ lẻ)</t>
  </si>
  <si>
    <t>SP094032</t>
  </si>
  <si>
    <t>Md:Ceuticals Salicylic 30% - Thay da sinh học 50ml</t>
  </si>
  <si>
    <t>30042028</t>
  </si>
  <si>
    <t>HD045298</t>
  </si>
  <si>
    <t>DH019966</t>
  </si>
  <si>
    <t>KH000170</t>
  </si>
  <si>
    <t>Phạm Ái Sa</t>
  </si>
  <si>
    <t>aisa@ueh.edu.vn</t>
  </si>
  <si>
    <t>0905453814</t>
  </si>
  <si>
    <t>Ehome 3, 103 Hồ Học Lãm, P.An Lạc, Q.Bình Tân</t>
  </si>
  <si>
    <t>SP094041</t>
  </si>
  <si>
    <t>Pharmaform C-Smoothing Serum - Serum dưỡng ẩm, làm mềm da và cải thiện nếp nhăn trên da 30ml</t>
  </si>
  <si>
    <t>14022028</t>
  </si>
  <si>
    <t>SP094044</t>
  </si>
  <si>
    <t>Ivatherm Ivawhite Serum - Serum Hỗ Trợ Cải Thiện Nám Làm Sáng Da 30ml</t>
  </si>
  <si>
    <t>HD045296</t>
  </si>
  <si>
    <t>DH019972</t>
  </si>
  <si>
    <t>Cho c 1 chai hair loss control postquam nha - 128907981612 vtp</t>
  </si>
  <si>
    <t>HD045295</t>
  </si>
  <si>
    <t>08/12/2025 16:18</t>
  </si>
  <si>
    <t>BSN278</t>
  </si>
  <si>
    <t>La Roche Posay Hyalu B5 Serum – Tinh Chất Dưỡng Da Săn Chắc Và Đàn Hồi 30ml</t>
  </si>
  <si>
    <t>HD045294</t>
  </si>
  <si>
    <t>Yên lịch dân tiến khoái châu hưng yên
0985155732
1 HA skinceu 55ml</t>
  </si>
  <si>
    <t>SP094046</t>
  </si>
  <si>
    <t>SkinCeuticals Serum H.A Intensifier - Serum giúp da căng bóng 55ml</t>
  </si>
  <si>
    <t>HD045293</t>
  </si>
  <si>
    <t>HD045292</t>
  </si>
  <si>
    <t>DH019970</t>
  </si>
  <si>
    <t>Dạ cĐ lấy giúp e thêm
2 nước tẩy trang laroche trắng</t>
  </si>
  <si>
    <t>SP094027</t>
  </si>
  <si>
    <t>INFINI C+ Collagen 2x3ml</t>
  </si>
  <si>
    <t>HD045291</t>
  </si>
  <si>
    <t>HD045290</t>
  </si>
  <si>
    <t>DH019969</t>
  </si>
  <si>
    <t>BOOK XE
@Dao La  lấy cho c 2 ddvs, 1 kcn tenamy</t>
  </si>
  <si>
    <t>HD045289</t>
  </si>
  <si>
    <t>HD045288</t>
  </si>
  <si>
    <t>HD045287</t>
  </si>
  <si>
    <t>BSN244</t>
  </si>
  <si>
    <t>JA Folic Acid B9 Serum - Serum giảm kích ứng phuc hồi da 20ml</t>
  </si>
  <si>
    <t>HD045286</t>
  </si>
  <si>
    <t>HD045285</t>
  </si>
  <si>
    <t>DH019968</t>
  </si>
  <si>
    <t>HD045284</t>
  </si>
  <si>
    <t>DH019967</t>
  </si>
  <si>
    <t>HD045283.01</t>
  </si>
  <si>
    <t>DH019964</t>
  </si>
  <si>
    <t>HD045282.02</t>
  </si>
  <si>
    <t>DH019959</t>
  </si>
  <si>
    <t>BSN380</t>
  </si>
  <si>
    <t>Purles 157</t>
  </si>
  <si>
    <t>BSN216</t>
  </si>
  <si>
    <t>Inno Soft Cleanser - Sữa rửa mặt cho mọi loại da 200ml</t>
  </si>
  <si>
    <t>BSN229</t>
  </si>
  <si>
    <t>Inno Redness Cream - Kem đặc trị dùng hằng ngày cho da vô cùng nhạy cảm, giãn mao mạch trứng cá đỏ 50g</t>
  </si>
  <si>
    <t>BSN388</t>
  </si>
  <si>
    <t>Purles 156 SOS Calm Mask - Mặt nạ làm dịu 50ML</t>
  </si>
  <si>
    <t>HD045281</t>
  </si>
  <si>
    <t>DH019954</t>
  </si>
  <si>
    <t>HD045280</t>
  </si>
  <si>
    <t>DH019953</t>
  </si>
  <si>
    <t>Cho chị đặt:
- 1 hộp mặt nạ Smas 10 miếng
- 1 kcn Martiderm không màu
- 1 BHA Obagi
- 1 tẩy trang Bioderma hồng</t>
  </si>
  <si>
    <t>HD045278</t>
  </si>
  <si>
    <t>KH001295</t>
  </si>
  <si>
    <t>BS Quỳnh Như 0822991309</t>
  </si>
  <si>
    <t>0822991309</t>
  </si>
  <si>
    <t>21-23 Nguyễn Thị Minh Khai quận 1</t>
  </si>
  <si>
    <t>HD045277</t>
  </si>
  <si>
    <t>MÃ GHTK 1174050227 + KÈM HÀNG KHÁCH GỬI QUA TUÝP TRE PADAGIS</t>
  </si>
  <si>
    <t>SP094043</t>
  </si>
  <si>
    <t>Profiderm - Peel Phyto Bio Active Peeling Từ Thực Vật Hữu Cơ Tái Tạo Và Trẻ Hóa Da 50ml</t>
  </si>
  <si>
    <t>HD045276</t>
  </si>
  <si>
    <t>HD045275</t>
  </si>
  <si>
    <t>HD045274</t>
  </si>
  <si>
    <t>HD045273</t>
  </si>
  <si>
    <t>HD045272.01</t>
  </si>
  <si>
    <t>234 Trần Hưng Đạo, khóm Trung An, phường Mỹ Thới, Tp. Long Xuyên, AG
0972791288
Thảo Trang 2k3</t>
  </si>
  <si>
    <t>BSN496</t>
  </si>
  <si>
    <t>Skinuva Next Generation Scar Cream</t>
  </si>
  <si>
    <t>HD045271</t>
  </si>
  <si>
    <t>Cho c đổi địa chỉ spa nha
Hẻm số 12, đường Huỳnh Tấn Phát, khu phố Hiệp Lễ, phường Hiệp Ninh, TP Tây Ninh
Triệu Nguyễn Ngọc Trâm
0868379397</t>
  </si>
  <si>
    <t>BSN290</t>
  </si>
  <si>
    <t>LaCabine Dark Spots Corrector - Tinh Chất Dưỡng Trắng Da, Mờ Thâm Nám 30ML</t>
  </si>
  <si>
    <t>HD045270</t>
  </si>
  <si>
    <t>DH019960</t>
  </si>
  <si>
    <t>KH000827</t>
  </si>
  <si>
    <t>Bs Hà K</t>
  </si>
  <si>
    <t>0934598958</t>
  </si>
  <si>
    <t>Botanica Premier block B - 112B Hồng Hà, phường 2, Tân Bình .</t>
  </si>
  <si>
    <t>BOOK XE
Hẻm 212A- A56B Nguyễn Trãi-p.Nguyễn Cư Trinh-q1
(Note Hủ tiếu Hưng Phát đi vào 5m -&gt; Celine De skin )
Bs Hoàng Lan 0985222767</t>
  </si>
  <si>
    <t>BSN167</t>
  </si>
  <si>
    <t>Glutathione Ý - Viên ngậm trắng da 30v</t>
  </si>
  <si>
    <t>Glutathione</t>
  </si>
  <si>
    <t>HD045269</t>
  </si>
  <si>
    <t>DH019961</t>
  </si>
  <si>
    <t>HD045268</t>
  </si>
  <si>
    <t>DH019962</t>
  </si>
  <si>
    <t>HD045267</t>
  </si>
  <si>
    <t>HD045266</t>
  </si>
  <si>
    <t>HD045265</t>
  </si>
  <si>
    <t>DH019952</t>
  </si>
  <si>
    <t>Gửi chị:
10 chống nắng goodndor 
2 demlan</t>
  </si>
  <si>
    <t>SP094021</t>
  </si>
  <si>
    <t>Demelan trị thâm dưỡng trắng XÁCH TAY</t>
  </si>
  <si>
    <t>HD045264</t>
  </si>
  <si>
    <t>DH019956</t>
  </si>
  <si>
    <t>KH001857</t>
  </si>
  <si>
    <t>Trần Nhi</t>
  </si>
  <si>
    <t>drtrannhi@gmail.com</t>
  </si>
  <si>
    <t>0984071204</t>
  </si>
  <si>
    <t>N52-54, đường A2, kdc Hưng phú, p Hưng phú, q cái răng, cần thơ</t>
  </si>
  <si>
    <t>HD045263</t>
  </si>
  <si>
    <t>DH019958</t>
  </si>
  <si>
    <t>BSN061</t>
  </si>
  <si>
    <t>Avene Gentle Exfoliating Gel - Gel Tẩy Tế Bào Êm Dịu Nhẹ Nhàng 75ml</t>
  </si>
  <si>
    <t>BSN176</t>
  </si>
  <si>
    <t>Heliocare 360º Water Gel SPF 50+- Gel chống nắng dạng nước – 50ml</t>
  </si>
  <si>
    <t>HD045262</t>
  </si>
  <si>
    <t>XUẤT RA TÁCH LẺ</t>
  </si>
  <si>
    <t>HD045261</t>
  </si>
  <si>
    <t>DH019957</t>
  </si>
  <si>
    <t>HD045260</t>
  </si>
  <si>
    <t>08/12/2025 11:23</t>
  </si>
  <si>
    <t>Chuyển về 
120/14 hẻm 120 đường Nguyễn Thiện Thuật, Tân Lập, Nha Trang Khánh Hoà ạ
0983123356 luôn ạ</t>
  </si>
  <si>
    <t>HD045259</t>
  </si>
  <si>
    <t>DH019915</t>
  </si>
  <si>
    <t>KH001130</t>
  </si>
  <si>
    <t>Vương Gia Trương</t>
  </si>
  <si>
    <t>0942204988</t>
  </si>
  <si>
    <t>B2.25.03 Block B2 - City Gate Tower - 15 Võ Văn Kiệt - P16 - Q8</t>
  </si>
  <si>
    <t>THU COD GHTK 
85/62/18 Thạnh Xuân 52, KP3, Phường Thạnh Xuân, Quận 12, TP HCM
0942566466</t>
  </si>
  <si>
    <t>HD045258</t>
  </si>
  <si>
    <t>DH019955</t>
  </si>
  <si>
    <t>HD045257</t>
  </si>
  <si>
    <t>HD045256</t>
  </si>
  <si>
    <t>HD045255.01</t>
  </si>
  <si>
    <t>HD045254</t>
  </si>
  <si>
    <t>KH000880</t>
  </si>
  <si>
    <t>Dr Nhật Thư</t>
  </si>
  <si>
    <t>Drphannhatthu@gmail.com</t>
  </si>
  <si>
    <t>0816662116</t>
  </si>
  <si>
    <t>346 Võ Thị Sáu, p3, tp Bạc Liêu</t>
  </si>
  <si>
    <t>HD045253</t>
  </si>
  <si>
    <t>BS HUÊ HN NGÀY 6/12</t>
  </si>
  <si>
    <t>HD045252</t>
  </si>
  <si>
    <t>BS HUÊ HCM NGÀY 6/12</t>
  </si>
  <si>
    <t>HD045251</t>
  </si>
  <si>
    <t>BSN124</t>
  </si>
  <si>
    <t>CeraVe Foaming Cleanser for Normal to Oily skin - Sữa rửa mặt cho da dầu 236ml (Công ty)</t>
  </si>
  <si>
    <t>HD045250</t>
  </si>
  <si>
    <t>DH019945</t>
  </si>
  <si>
    <t>0102027</t>
  </si>
  <si>
    <t>HD045249</t>
  </si>
  <si>
    <t>KH001017</t>
  </si>
  <si>
    <t>Bs Trinh</t>
  </si>
  <si>
    <t>0903934743</t>
  </si>
  <si>
    <t>MG 2-09 Vincom Shophouse P. Xuân Khánh, Q. Ninh Kiều, Thành Phố Cần Thơ</t>
  </si>
  <si>
    <t>HD045248</t>
  </si>
  <si>
    <t>08/12/2025 09:51</t>
  </si>
  <si>
    <t>12082027</t>
  </si>
  <si>
    <t>HD045247</t>
  </si>
  <si>
    <t>BSN450</t>
  </si>
  <si>
    <t>Rilastil Cleansing Mousse - Bọt sữa mặt cho da mụn 165ml</t>
  </si>
  <si>
    <t>BSN017</t>
  </si>
  <si>
    <t>A-Derma Solar Protect Fluido Invisible Spf 50+ - Kem Chống Nắng Thể Hệ Mới 40ml</t>
  </si>
  <si>
    <t>HD045246</t>
  </si>
  <si>
    <t>DH019949</t>
  </si>
  <si>
    <t>GHTK 
0348988989
Dương
99 bùi đình tuý, hoa lư, pleiku</t>
  </si>
  <si>
    <t>BSN494</t>
  </si>
  <si>
    <t>SkinTech Easy TCA Pain Control 4 CE - Điều trị mụn, thâm nám, trẻ hóa da</t>
  </si>
  <si>
    <t>SkinTech</t>
  </si>
  <si>
    <t>HD045245</t>
  </si>
  <si>
    <t>DH019944</t>
  </si>
  <si>
    <t>HD045244</t>
  </si>
  <si>
    <t>DH019947</t>
  </si>
  <si>
    <t>GHTK
53- hoàng việt- xã hồ tràm-tphcm. 0903159017
Lan Anh</t>
  </si>
  <si>
    <t>HD045243</t>
  </si>
  <si>
    <t>DH019948</t>
  </si>
  <si>
    <t>GHTK 
Mai Hảo - 0937789450
ẤP Bà Trường, Phước An, Nhơn Trạch, Đồng Nai</t>
  </si>
  <si>
    <t>HD045242</t>
  </si>
  <si>
    <t>DH019950</t>
  </si>
  <si>
    <t>BSN583</t>
  </si>
  <si>
    <t>VI Derm Beauty Retinoic Serum – Tinh Chất Trị Mụn, Chống Lão Hóa 30ml</t>
  </si>
  <si>
    <t>HD045241</t>
  </si>
  <si>
    <t>DH019941</t>
  </si>
  <si>
    <t>BSN434</t>
  </si>
  <si>
    <t>Rilastil Smagliature - Kem chống rạn da 200ml</t>
  </si>
  <si>
    <t>HD045240</t>
  </si>
  <si>
    <t>HD045239</t>
  </si>
  <si>
    <t>HD045238</t>
  </si>
  <si>
    <t>HD045237</t>
  </si>
  <si>
    <t>DH019946</t>
  </si>
  <si>
    <t>KH001393</t>
  </si>
  <si>
    <t>Bảo Nguyễn</t>
  </si>
  <si>
    <t>HD045236</t>
  </si>
  <si>
    <t>ANH TRIỆU MƯỢN</t>
  </si>
  <si>
    <t>HD045235</t>
  </si>
  <si>
    <t>SP094011</t>
  </si>
  <si>
    <t>J223C Jean D'Arcel demarquillante-glow peeling 250ml</t>
  </si>
  <si>
    <t>HD045234</t>
  </si>
  <si>
    <t>DH019942</t>
  </si>
  <si>
    <t>KH000774</t>
  </si>
  <si>
    <t>Bác Sĩ Thoa (Kiên Giang)</t>
  </si>
  <si>
    <t>0976514486</t>
  </si>
  <si>
    <t>299A Nguyễn Trung Trực, Phường Dương Đông, TP. Phú Quốc, tỉnh Kiên Giang.</t>
  </si>
  <si>
    <t>BSN668</t>
  </si>
  <si>
    <t>Tiền ship</t>
  </si>
  <si>
    <t>BSN021</t>
  </si>
  <si>
    <t>AHOHWA SRGF H1 Reset Ampoule - Tế bào gốc tái tạo phục hồi đa tầng8x5 ml</t>
  </si>
  <si>
    <t>HD045233</t>
  </si>
  <si>
    <t>DH019943</t>
  </si>
  <si>
    <t>KH001876</t>
  </si>
  <si>
    <t>Nguyễn Quốc Anh</t>
  </si>
  <si>
    <t>0937408405</t>
  </si>
  <si>
    <t>Mai cho e 10h30 ở 20R nguyễn kim phường diên hồng q.10 nha Giang 0898500375</t>
  </si>
  <si>
    <t>BSN163</t>
  </si>
  <si>
    <t>FUSION F-XFC+ - TINH CHẤT MESO TÁI TẠO, TRẺ HÓA DA TOÀN DIỆN 5X5ML</t>
  </si>
  <si>
    <t>HD045231</t>
  </si>
  <si>
    <t>DH019940</t>
  </si>
  <si>
    <t>Book xe 
THU COD</t>
  </si>
  <si>
    <t>HD045230</t>
  </si>
  <si>
    <t>HD045229</t>
  </si>
  <si>
    <t>DH019936</t>
  </si>
  <si>
    <t>BSN627</t>
  </si>
  <si>
    <t>[CHÍNH HÃNG] Viên Uống Mega We Care ACNACARE Cải Thiện Bã Nhờn Trên Da, Cải Thiện Mụn Trứng Cá-30 viên</t>
  </si>
  <si>
    <t>HD045228</t>
  </si>
  <si>
    <t>DH019938</t>
  </si>
  <si>
    <t>HD045227</t>
  </si>
  <si>
    <t>HD045226</t>
  </si>
  <si>
    <t>HD045225</t>
  </si>
  <si>
    <t>HD045223</t>
  </si>
  <si>
    <t>HD045222</t>
  </si>
  <si>
    <t>HD045221</t>
  </si>
  <si>
    <t>DH019934</t>
  </si>
  <si>
    <t>KH001735</t>
  </si>
  <si>
    <t>Bs Vu Duong</t>
  </si>
  <si>
    <t>0906872196</t>
  </si>
  <si>
    <t>Số 49 đường 19 khu dân cư Bình Hưng, huyện Bình Chánh, TP HCM</t>
  </si>
  <si>
    <t>HD045220</t>
  </si>
  <si>
    <t>DH019935</t>
  </si>
  <si>
    <t>HD045219.01</t>
  </si>
  <si>
    <t>Lay e 1 mdcare loi khuan serum
2 kem babe xanh lá 
2 aze  gel 20%
1 tay trang rílastil nhỏ</t>
  </si>
  <si>
    <t>HD045218</t>
  </si>
  <si>
    <t>BSN360</t>
  </si>
  <si>
    <t>Paula’s Choice Resist Weightless Body Treatment With 2% BHA – Dưỡng thể điều trị viêm nang lông 210ml</t>
  </si>
  <si>
    <t>HD045217</t>
  </si>
  <si>
    <t>KH001431</t>
  </si>
  <si>
    <t>Zalo Huyền Vân</t>
  </si>
  <si>
    <t>0939326520</t>
  </si>
  <si>
    <t>262/1/49 Phan anh -hiệp Tân -Tân Phú ( đối diện nhà đó)</t>
  </si>
  <si>
    <t>HD045216</t>
  </si>
  <si>
    <t>HD045215</t>
  </si>
  <si>
    <t>DH019902</t>
  </si>
  <si>
    <t>BSN347</t>
  </si>
  <si>
    <t>Obagi Daily Hydro-Drops - Tinh chất cấp nước phục hồi da 30ML</t>
  </si>
  <si>
    <t>HD045214.01</t>
  </si>
  <si>
    <t>DH019933</t>
  </si>
  <si>
    <t>KH000271</t>
  </si>
  <si>
    <t>Tín</t>
  </si>
  <si>
    <t>0909060128</t>
  </si>
  <si>
    <t>1025/17D cmt8</t>
  </si>
  <si>
    <t>160/28/26 đường số 4 p16 gò vấp
gui kèm chai kcn thay tiền ship
+ 1 bông tắm</t>
  </si>
  <si>
    <t>BSN043</t>
  </si>
  <si>
    <t>Akito DDVS Nam</t>
  </si>
  <si>
    <t>BSN153</t>
  </si>
  <si>
    <t>Evian Facial Spray Xịt Khoáng Cấp Ẩm Và Làm Dịu Da 300ml</t>
  </si>
  <si>
    <t>Evian</t>
  </si>
  <si>
    <t>BSN089</t>
  </si>
  <si>
    <t>Biotrade Pure Skin Glow Revival Eye serum - Kem mắt</t>
  </si>
  <si>
    <t>HD045213</t>
  </si>
  <si>
    <t>DH019914</t>
  </si>
  <si>
    <t>SP093978</t>
  </si>
  <si>
    <t>MD CARE PRO-Retinol 1.0 Kem dưỡng sáng da và cải thiện nếp nhăn Retinol 1.0 30ml</t>
  </si>
  <si>
    <t>HD045212</t>
  </si>
  <si>
    <t>HD045211</t>
  </si>
  <si>
    <t>DH019927</t>
  </si>
  <si>
    <t>HD045210</t>
  </si>
  <si>
    <t>DH019929</t>
  </si>
  <si>
    <t>Yến
Đc: 514 đường 30/4, khu phố 4B, xã Đateh, Lâm Đồng
Sdt: 0383910395</t>
  </si>
  <si>
    <t>HD045209</t>
  </si>
  <si>
    <t>DH019931</t>
  </si>
  <si>
    <t>HD045208</t>
  </si>
  <si>
    <t>DH019932</t>
  </si>
  <si>
    <t>BOOK XE
252/9 vườn lài an phú đông hcm
0982.879.654</t>
  </si>
  <si>
    <t>HD045207</t>
  </si>
  <si>
    <t>DH019930</t>
  </si>
  <si>
    <t>KH001978</t>
  </si>
  <si>
    <t>Ngọc Huyền</t>
  </si>
  <si>
    <t>122/51 Nguyễn Đức Thuận, hiệp Thành Thủ Dầu Một Bình Dương 
Sdt 0398169806</t>
  </si>
  <si>
    <t>BSN045</t>
  </si>
  <si>
    <t>Aknekit Deep Smooth Cleansing - Sữa rửa mặt 100ml</t>
  </si>
  <si>
    <t>Aknekit</t>
  </si>
  <si>
    <t>HD045206</t>
  </si>
  <si>
    <t>HD045205</t>
  </si>
  <si>
    <t>DH019928</t>
  </si>
  <si>
    <t>HD045204</t>
  </si>
  <si>
    <t>DH019923</t>
  </si>
  <si>
    <t>6h meso rednes inno cty xuất kho HN
Em book về Royal tea cổ điển hải bối đông anh  @Thuậnn</t>
  </si>
  <si>
    <t>HD045203</t>
  </si>
  <si>
    <t>DH019922</t>
  </si>
  <si>
    <t>2 kem K 
1 peelA
1 meline day 02
1 meline night 02
1 recovey
1 hyaluronic
1 SRM Inno Deep Cleanser 
Đơn xuất hn em book về linh đàm</t>
  </si>
  <si>
    <t>HD045202</t>
  </si>
  <si>
    <t>DH019921</t>
  </si>
  <si>
    <t>Em cần 3 hộp tigf trong chiều nay,  em book thẳng cty gửi khách bình thạnh đc k ạ</t>
  </si>
  <si>
    <t>HD045201</t>
  </si>
  <si>
    <t>DH019920</t>
  </si>
  <si>
    <t>1 hộp Vitamin Complex Inno xuất HN  em book đi Chung Cư N5b, Hoàng Đạo Thúy, Nhân Chính , Thanh Xuân</t>
  </si>
  <si>
    <t>HD045200</t>
  </si>
  <si>
    <t>DH019918</t>
  </si>
  <si>
    <t>Em lấy 5 DNA xuất hn em book ngõ 14 pháo đài láng , phường láng , HN ạ</t>
  </si>
  <si>
    <t>HD045199</t>
  </si>
  <si>
    <t>MÃ GHTK 1165764391</t>
  </si>
  <si>
    <t>HD045198</t>
  </si>
  <si>
    <t>DH019924</t>
  </si>
  <si>
    <t>17a Bình Thới, Phường 11, Quận 11 
Sđt: 0934428218
Tài</t>
  </si>
  <si>
    <t>HD045197</t>
  </si>
  <si>
    <t>DH019925</t>
  </si>
  <si>
    <t>HD045196</t>
  </si>
  <si>
    <t>DH019926</t>
  </si>
  <si>
    <t>KH001466</t>
  </si>
  <si>
    <t>ngocanh.yduoc10.16@gmail.com</t>
  </si>
  <si>
    <t>0386693447</t>
  </si>
  <si>
    <t>121 mẹ thứ - vĩnh điện - điện bàn - quảng nam</t>
  </si>
  <si>
    <t>HD045195</t>
  </si>
  <si>
    <t>SP093997</t>
  </si>
  <si>
    <t>AHOHWA WHITE SOLUTION BRIGHTENING CORRECTOR - Kem dưỡng sáng da, mờ thâm, giảm nám 40ML</t>
  </si>
  <si>
    <t>HD045194</t>
  </si>
  <si>
    <t>KH000628</t>
  </si>
  <si>
    <t>Nguyen Ha</t>
  </si>
  <si>
    <t>0986027418</t>
  </si>
  <si>
    <t>Chung cư 20 bộ quốc phòng,Thanh Liệt, Thanh Trì Hà Nội</t>
  </si>
  <si>
    <t>ĐƠN ĐI PHÚ NHUẬN</t>
  </si>
  <si>
    <t>HD045193</t>
  </si>
  <si>
    <t>DH019917</t>
  </si>
  <si>
    <t>SP093961</t>
  </si>
  <si>
    <t>Codeage Amen Omega-3 - Viên Dầu Cá 90 Viên</t>
  </si>
  <si>
    <t>HD045192</t>
  </si>
  <si>
    <t>DH019916</t>
  </si>
  <si>
    <t>KH001977</t>
  </si>
  <si>
    <t>Duy Minh</t>
  </si>
  <si>
    <t>BSN649</t>
  </si>
  <si>
    <t>Peel da mụn</t>
  </si>
  <si>
    <t>HD045191</t>
  </si>
  <si>
    <t>DH019913</t>
  </si>
  <si>
    <t>KH001976</t>
  </si>
  <si>
    <t>Bs Tài</t>
  </si>
  <si>
    <t>0932585723</t>
  </si>
  <si>
    <t>10 nguyễn sơn hà, P5, Q3</t>
  </si>
  <si>
    <t>10 nguyễn sơn hà, P5, Q3
Bs Tài-0932585723
book xe</t>
  </si>
  <si>
    <t>HD045190</t>
  </si>
  <si>
    <t>HD045189</t>
  </si>
  <si>
    <t>ĐÓNG CHUNG VỚI A QUÝ, NHƯNG GHI TRUNG THÙNG HÀNG ĐƠN CỦA AI, MIỄN SHIP</t>
  </si>
  <si>
    <t>HD045188</t>
  </si>
  <si>
    <t>ĐÓNG CHUNG ĐƠN CHỊ TRINH, NHƯNG MỖI ĐƠN GHI LÊN THÙNG HÀNG ĐƠN CỦA AI</t>
  </si>
  <si>
    <t>HD045187.01</t>
  </si>
  <si>
    <t>TH000353</t>
  </si>
  <si>
    <t>KH000324</t>
  </si>
  <si>
    <t>Ana Vo</t>
  </si>
  <si>
    <t>0911472968</t>
  </si>
  <si>
    <t>197/42/52/15 TL 15 Phường Thành Lộc Quận 12</t>
  </si>
  <si>
    <t>SP093989</t>
  </si>
  <si>
    <t>POSTQUAM Kem Dưỡng Ceramide Dưỡng Ẩm, Giảm Nhăn, Tăng Đàn Hồi Da 50ml Q99</t>
  </si>
  <si>
    <t>SP093969</t>
  </si>
  <si>
    <t>MD: CEUTICALS COCKTAIL POST TREATMENT SKIN RECOVERY KARMEL - Tinh Chất Phục HồI (2ml x 10 ống)</t>
  </si>
  <si>
    <t>HD045186</t>
  </si>
  <si>
    <t>05/12/2025 17:28</t>
  </si>
  <si>
    <t>DH019912</t>
  </si>
  <si>
    <t>SP093964</t>
  </si>
  <si>
    <t>Profiderm Acnotin Fluide - Kem dưỡng kiềm dầu lợi khuẩn 50ml</t>
  </si>
  <si>
    <t>HD045185</t>
  </si>
  <si>
    <t>DH019897</t>
  </si>
  <si>
    <t>MAI ĐI CHÀNH XE</t>
  </si>
  <si>
    <t>BSN662</t>
  </si>
  <si>
    <t>PHÍ GÓI HÀNG (Hộp giấy + Xốp hơi)</t>
  </si>
  <si>
    <t>SP093968</t>
  </si>
  <si>
    <t>HISTOLAB Aqua Moisture Solution HYD - Dung Dịch Dưỡng ẩm 520ml</t>
  </si>
  <si>
    <t>HD045184</t>
  </si>
  <si>
    <t>DH019904</t>
  </si>
  <si>
    <t>KH001406</t>
  </si>
  <si>
    <t>Chị Ái</t>
  </si>
  <si>
    <t>Aithuongnguyen@gmail.com</t>
  </si>
  <si>
    <t>0934 717 177</t>
  </si>
  <si>
    <t>Chung Cư Thái An 2 - 1/45 Nguyễn Văn Quá - Q12</t>
  </si>
  <si>
    <t>ship thẳng cho khách</t>
  </si>
  <si>
    <t>HD045183</t>
  </si>
  <si>
    <t>DH019911</t>
  </si>
  <si>
    <t>SP093990</t>
  </si>
  <si>
    <t>Intelderm Tranexamic 3% Serum sáng da mờ thâm nám</t>
  </si>
  <si>
    <t>05062028</t>
  </si>
  <si>
    <t>HD045182</t>
  </si>
  <si>
    <t>DH019910</t>
  </si>
  <si>
    <t>0933844079 chị Thuý COD 4675K 
ap 2 xa lô 25 thông nhất dong Nai</t>
  </si>
  <si>
    <t>SP093988</t>
  </si>
  <si>
    <t>Zo Wrinkle + Texture Repair – Chống Lão Hoá Chuyên Sâu 50ml</t>
  </si>
  <si>
    <t>HD045181</t>
  </si>
  <si>
    <t>DH019875</t>
  </si>
  <si>
    <t>KH000528</t>
  </si>
  <si>
    <t>Tường Duy</t>
  </si>
  <si>
    <t>0946843789</t>
  </si>
  <si>
    <t>1205/33A1 huỳnh tấn phát, p phú thuận q7</t>
  </si>
  <si>
    <t>SP093965</t>
  </si>
  <si>
    <t>NEOVA NIGHT THERAPY DNA/ Repair + Copper Peptide - KEM DƯỠNG ban đêm 50ml</t>
  </si>
  <si>
    <t>HDO1764925151999_77832</t>
  </si>
  <si>
    <t>THU COD TỔNG 16TR432 (CN CŨ 5TR + ĐƠN CŨ 555K + ĐƠN MỚI)</t>
  </si>
  <si>
    <t>BSN148</t>
  </si>
  <si>
    <t>Eucerin Pro ACNE Solution Scrub - Tẩy Tế Bào Chết Dành Cho Da Nhờn Mụn 100ml</t>
  </si>
  <si>
    <t>SP093979</t>
  </si>
  <si>
    <t>MD CARE Epi-ProCare Cream - Kem dưỡng ẩm phục hồi da, cải thiện nếp nhăn 30ml</t>
  </si>
  <si>
    <t>HDO1764924813718_77832</t>
  </si>
  <si>
    <t>HD045180</t>
  </si>
  <si>
    <t>KH001122</t>
  </si>
  <si>
    <t>Hue Thanh</t>
  </si>
  <si>
    <t>0399009226</t>
  </si>
  <si>
    <t>trạm y tế xã đồng sơn _ gò công tây _ tiền giang</t>
  </si>
  <si>
    <t>SP093986</t>
  </si>
  <si>
    <t>SkinCeuticals Phloretin CF- Tinh chất dưỡng sáng da 30ml</t>
  </si>
  <si>
    <t>HD045179</t>
  </si>
  <si>
    <t>DH019878</t>
  </si>
  <si>
    <t>HD045178</t>
  </si>
  <si>
    <t>DH019907</t>
  </si>
  <si>
    <t>KH001249</t>
  </si>
  <si>
    <t>Dr Dao Thuyet</t>
  </si>
  <si>
    <t>0389937235</t>
  </si>
  <si>
    <t>số 25 liền kề 11A Mộ Lao Hà Đông</t>
  </si>
  <si>
    <t>về xóm Trung Hồng- Diễn Châu- Nghệ An nhé</t>
  </si>
  <si>
    <t>HD045177</t>
  </si>
  <si>
    <t>DH019909</t>
  </si>
  <si>
    <t>@Dao La  cho c giá kem dưỡng cùng hãng, và giá kem dưỡng goodnoc nha</t>
  </si>
  <si>
    <t>HD045176</t>
  </si>
  <si>
    <t>HD045175</t>
  </si>
  <si>
    <t>HD045174</t>
  </si>
  <si>
    <t>HD045173</t>
  </si>
  <si>
    <t>HD045172</t>
  </si>
  <si>
    <t>DH019901</t>
  </si>
  <si>
    <t>KH000930</t>
  </si>
  <si>
    <t>Đặng Thảo</t>
  </si>
  <si>
    <t>Abbie.pretty@gmail.com</t>
  </si>
  <si>
    <t>0915746674</t>
  </si>
  <si>
    <t>7/117 lê quý đôn kp3 p tân hiep biên hoa-đong nai</t>
  </si>
  <si>
    <t>BSN611</t>
  </si>
  <si>
    <t>Zymogen Centella Ferment Serum - Serum rau má 105ml</t>
  </si>
  <si>
    <t>HD045171</t>
  </si>
  <si>
    <t>DH019906</t>
  </si>
  <si>
    <t>HD045170</t>
  </si>
  <si>
    <t>DH019908</t>
  </si>
  <si>
    <t>KH001893</t>
  </si>
  <si>
    <t>Như Ý (Jade)</t>
  </si>
  <si>
    <t>0399754891</t>
  </si>
  <si>
    <t>Đinh Bộ Lĩnh, Bình Thạnh</t>
  </si>
  <si>
    <t>0374239929
36/32/2 Nguyễn Gia Trí f. Thạnh Mỹ Tây quận Bình Thạnh</t>
  </si>
  <si>
    <t>HD045169</t>
  </si>
  <si>
    <t>DH019905</t>
  </si>
  <si>
    <t>SP093974</t>
  </si>
  <si>
    <t>Floslek Anti acne 24h System Serum làm dịu da dành cho da dầu và hỗn hợp 50ml</t>
  </si>
  <si>
    <t>HD045168</t>
  </si>
  <si>
    <t>DH019903</t>
  </si>
  <si>
    <t>BSN495</t>
  </si>
  <si>
    <t>SKIN TECH AESTHETIC DERMAL RRS HA LONG LASTING - SP trẻ hóa nâng cơ 1x3ml</t>
  </si>
  <si>
    <t>HD045167</t>
  </si>
  <si>
    <t>DH019900</t>
  </si>
  <si>
    <t>SP093967</t>
  </si>
  <si>
    <t>Usolab Bio Intensive Repair Cream - Kem Dưỡng Phục Hồi Da Tế Bào Gốc 50ml</t>
  </si>
  <si>
    <t>27042028</t>
  </si>
  <si>
    <t>SP093966</t>
  </si>
  <si>
    <t>Usolab Sun Block 50 SPF - Kem Chống Nắng Cấp Ẩm, Dưỡng Trắng Da, Làm Mờ Nếp Nhăn - 50ml</t>
  </si>
  <si>
    <t>BSN682</t>
  </si>
  <si>
    <t>Fusion Mesotherapy F – Meso Matrix - Tiêm cải thiện sẹo rỗ 5x5ml</t>
  </si>
  <si>
    <t>HD045166</t>
  </si>
  <si>
    <t>DH019895</t>
  </si>
  <si>
    <t>HD045165</t>
  </si>
  <si>
    <t>MIỄN SHIP, GỬI KÈM 2 CHAI Acnemy SERUM GIẢM ĐỎ HQA GỬI THIẾU</t>
  </si>
  <si>
    <t>BSN424</t>
  </si>
  <si>
    <t>Rejuran trueskin mask - Mặt nạ Mặt nạ tế bào gốc 5mask</t>
  </si>
  <si>
    <t>HD045164.01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</si>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</sst>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:ss"/>
    <numFmt numFmtId="165" formatCode="dd/mm/yyyy\ hh:mm"/>
    <numFmt numFmtId="166" formatCode="#,##0.#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Table" displayName="InvoiceTable" ref="A1:BN1931" totalsRowShown="0">
  <autoFilter ref="A1:BN1931" xr:uid="{00000000-0009-0000-0100-000001000000}"/>
  <tableColumns count="66">
    <tableColumn id="1" xr3:uid="{00000000-0010-0000-0000-000001000000}" name="Chi nhánh"/>
    <tableColumn id="2" xr3:uid="{00000000-0010-0000-0000-000002000000}" name="Mã hóa đơn"/>
    <tableColumn id="3" xr3:uid="{00000000-0010-0000-0000-000003000000}" name="Mã vận đơn"/>
    <tableColumn id="4" xr3:uid="{00000000-0010-0000-0000-000004000000}" name="Địa chỉ lấy hàng"/>
    <tableColumn id="5" xr3:uid="{00000000-0010-0000-0000-000005000000}" name="Mã đối soát"/>
    <tableColumn id="6" xr3:uid="{00000000-0010-0000-0000-000006000000}" name="Phí trả ĐTGH"/>
    <tableColumn id="7" xr3:uid="{00000000-0010-0000-0000-000007000000}" name="Thời gian"/>
    <tableColumn id="8" xr3:uid="{00000000-0010-0000-0000-000008000000}" name="Thời gian tạo"/>
    <tableColumn id="9" xr3:uid="{00000000-0010-0000-0000-000009000000}" name="Ngày cập nhật"/>
    <tableColumn id="10" xr3:uid="{00000000-0010-0000-0000-00000A000000}" name="Mã đặt hàng"/>
    <tableColumn id="11" xr3:uid="{00000000-0010-0000-0000-00000B000000}" name="Mã trả hàng"/>
    <tableColumn id="12" xr3:uid="{00000000-0010-0000-0000-00000C000000}" name="Mã khách hàng"/>
    <tableColumn id="13" xr3:uid="{00000000-0010-0000-0000-00000D000000}" name="Tên khách hàng"/>
    <tableColumn id="14" xr3:uid="{00000000-0010-0000-0000-00000E000000}" name="Email"/>
    <tableColumn id="15" xr3:uid="{00000000-0010-0000-0000-00000F000000}" name="Điện thoại"/>
    <tableColumn id="16" xr3:uid="{00000000-0010-0000-0000-000010000000}" name="Địa chỉ (Khách hàng)"/>
    <tableColumn id="17" xr3:uid="{00000000-0010-0000-0000-000011000000}" name="Khu vực (Khách hàng)"/>
    <tableColumn id="18" xr3:uid="{00000000-0010-0000-0000-000012000000}" name="Phường/Xã (Khách hàng)"/>
    <tableColumn id="19" xr3:uid="{00000000-0010-0000-0000-000013000000}" name="Ngày sinh"/>
    <tableColumn id="20" xr3:uid="{00000000-0010-0000-0000-000014000000}" name="Bảng giá"/>
    <tableColumn id="21" xr3:uid="{00000000-0010-0000-0000-000015000000}" name="Người bán"/>
    <tableColumn id="22" xr3:uid="{00000000-0010-0000-0000-000016000000}" name="Kênh bán"/>
    <tableColumn id="23" xr3:uid="{00000000-0010-0000-0000-000017000000}" name="Người tạo"/>
    <tableColumn id="24" xr3:uid="{00000000-0010-0000-0000-000018000000}" name="Đối tác giao hàng"/>
    <tableColumn id="25" xr3:uid="{00000000-0010-0000-0000-000019000000}" name="Người nhận"/>
    <tableColumn id="26" xr3:uid="{00000000-0010-0000-0000-00001A000000}" name="Điện thoại (Người nhận)"/>
    <tableColumn id="27" xr3:uid="{00000000-0010-0000-0000-00001B000000}" name="Địa chỉ (Người nhận)"/>
    <tableColumn id="28" xr3:uid="{00000000-0010-0000-0000-00001C000000}" name="Khu vực (Người nhận)"/>
    <tableColumn id="29" xr3:uid="{00000000-0010-0000-0000-00001D000000}" name="Phường/Xã (Người nhận)"/>
    <tableColumn id="30" xr3:uid="{00000000-0010-0000-0000-00001E000000}" name="Dịch vụ"/>
    <tableColumn id="31" xr3:uid="{00000000-0010-0000-0000-00001F000000}" name="Trọng lượng (gram)"/>
    <tableColumn id="32" xr3:uid="{00000000-0010-0000-0000-000020000000}" name="Dài"/>
    <tableColumn id="33" xr3:uid="{00000000-0010-0000-0000-000021000000}" name="Rộng"/>
    <tableColumn id="34" xr3:uid="{00000000-0010-0000-0000-000022000000}" name="Cao"/>
    <tableColumn id="35" xr3:uid="{00000000-0010-0000-0000-000023000000}" name="Ghi chú trạng thái giao hàng"/>
    <tableColumn id="36" xr3:uid="{00000000-0010-0000-0000-000024000000}" name="Ghi chú giao hàng"/>
    <tableColumn id="37" xr3:uid="{00000000-0010-0000-0000-000025000000}" name="Ghi chú"/>
    <tableColumn id="38" xr3:uid="{00000000-0010-0000-0000-000026000000}" name="Tổng tiền hàng"/>
    <tableColumn id="39" xr3:uid="{00000000-0010-0000-0000-000027000000}" name="Giảm giá hóa đơn"/>
    <tableColumn id="40" xr3:uid="{00000000-0010-0000-0000-000028000000}" name="VAT"/>
    <tableColumn id="41" xr3:uid="{00000000-0010-0000-0000-000029000000}" name="Thu khác"/>
    <tableColumn id="42" xr3:uid="{00000000-0010-0000-0000-00002A000000}" name="Khách cần trả"/>
    <tableColumn id="43" xr3:uid="{00000000-0010-0000-0000-00002B000000}" name="Khách đã trả"/>
    <tableColumn id="44" xr3:uid="{00000000-0010-0000-0000-00002C000000}" name="Tiền mặt"/>
    <tableColumn id="45" xr3:uid="{00000000-0010-0000-0000-00002D000000}" name="Thẻ"/>
    <tableColumn id="46" xr3:uid="{00000000-0010-0000-0000-00002E000000}" name="Ví"/>
    <tableColumn id="47" xr3:uid="{00000000-0010-0000-0000-00002F000000}" name="Chuyển khoản"/>
    <tableColumn id="48" xr3:uid="{00000000-0010-0000-0000-000030000000}" name="Còn cần thu (COD)"/>
    <tableColumn id="49" xr3:uid="{00000000-0010-0000-0000-000031000000}" name="Thời gian giao hàng"/>
    <tableColumn id="50" xr3:uid="{00000000-0010-0000-0000-000032000000}" name="Trạng thái"/>
    <tableColumn id="51" xr3:uid="{00000000-0010-0000-0000-000033000000}" name="Trạng thái giao hàng"/>
    <tableColumn id="52" xr3:uid="{00000000-0010-0000-0000-000034000000}" name="Mã hàng"/>
    <tableColumn id="53" xr3:uid="{00000000-0010-0000-0000-000035000000}" name="Mã vạch"/>
    <tableColumn id="54" xr3:uid="{00000000-0010-0000-0000-000036000000}" name="Tên hàng"/>
    <tableColumn id="55" xr3:uid="{00000000-0010-0000-0000-000037000000}" name="Thương hiệu"/>
    <tableColumn id="56" xr3:uid="{00000000-0010-0000-0000-000038000000}" name="ĐVT"/>
    <tableColumn id="57" xr3:uid="{00000000-0010-0000-0000-000039000000}" name="Lô"/>
    <tableColumn id="58" xr3:uid="{00000000-0010-0000-0000-00003A000000}" name="Hạn sử dụng"/>
    <tableColumn id="59" xr3:uid="{00000000-0010-0000-0000-00003B000000}" name="Ghi chú hàng hóa"/>
    <tableColumn id="60" xr3:uid="{00000000-0010-0000-0000-00003C000000}" name="Số lượng"/>
    <tableColumn id="61" xr3:uid="{00000000-0010-0000-0000-00003D000000}" name="Đơn giá"/>
    <tableColumn id="62" xr3:uid="{00000000-0010-0000-0000-00003E000000}" name="Giảm giá %"/>
    <tableColumn id="63" xr3:uid="{00000000-0010-0000-0000-00003F000000}" name="Giảm giá"/>
    <tableColumn id="64" xr3:uid="{00000000-0010-0000-0000-000040000000}" name="Giá bán"/>
    <tableColumn id="65" xr3:uid="{00000000-0010-0000-0000-000041000000}" name="Thành tiền"/>
    <tableColumn id="66" xr3:uid="{8D398A8A-8F80-4245-842E-0674B547CAC8}" name="Column1" dataDxfId="0">
      <calculatedColumnFormula>InvoiceTable[[#This Row],[Giảm giá]]*InvoiceTable[[#This Row],[Số lượng]]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931"/>
  <sheetViews>
    <sheetView tabSelected="1" topLeftCell="AM1896" workbookViewId="0">
      <selection activeCell="BN2" sqref="BN2:BN1931"/>
    </sheetView>
  </sheetViews>
  <sheetFormatPr defaultRowHeight="15" x14ac:dyDescent="0.25"/>
  <cols>
    <col min="7" max="7" width="25.28515625" customWidth="1"/>
    <col min="61" max="61" width="10.42578125" customWidth="1"/>
  </cols>
  <sheetData>
    <row r="1" spans="1:6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t="s">
        <v>4619</v>
      </c>
    </row>
    <row r="2" spans="1:66" x14ac:dyDescent="0.25">
      <c r="A2" t="s">
        <v>65</v>
      </c>
      <c r="B2" t="s">
        <v>66</v>
      </c>
      <c r="F2" s="2"/>
      <c r="G2" s="3">
        <v>46016.724817905095</v>
      </c>
      <c r="H2" s="3">
        <v>46016.724818090275</v>
      </c>
      <c r="I2" s="4" t="s">
        <v>67</v>
      </c>
      <c r="J2" t="s">
        <v>68</v>
      </c>
      <c r="K2" t="s">
        <v>67</v>
      </c>
      <c r="L2" t="s">
        <v>69</v>
      </c>
      <c r="M2" t="s">
        <v>70</v>
      </c>
      <c r="N2" t="s">
        <v>67</v>
      </c>
      <c r="O2" t="s">
        <v>71</v>
      </c>
      <c r="Q2" t="s">
        <v>67</v>
      </c>
      <c r="R2" t="s">
        <v>67</v>
      </c>
      <c r="S2" s="5"/>
      <c r="T2" t="s">
        <v>72</v>
      </c>
      <c r="U2" t="s">
        <v>73</v>
      </c>
      <c r="V2" t="s">
        <v>74</v>
      </c>
      <c r="W2" t="s">
        <v>73</v>
      </c>
      <c r="AE2" s="2"/>
      <c r="AF2" s="2"/>
      <c r="AG2" s="2"/>
      <c r="AH2" s="2"/>
      <c r="AK2" t="s">
        <v>67</v>
      </c>
      <c r="AL2" s="2">
        <v>385000</v>
      </c>
      <c r="AM2" s="2">
        <v>0</v>
      </c>
      <c r="AN2" s="2"/>
      <c r="AO2" s="2">
        <v>0</v>
      </c>
      <c r="AP2" s="2">
        <v>385000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4"/>
      <c r="AX2" t="s">
        <v>75</v>
      </c>
      <c r="AZ2" t="s">
        <v>76</v>
      </c>
      <c r="BA2" t="s">
        <v>67</v>
      </c>
      <c r="BB2" t="s">
        <v>77</v>
      </c>
      <c r="BC2" t="s">
        <v>78</v>
      </c>
      <c r="BD2" t="s">
        <v>79</v>
      </c>
      <c r="BE2" t="s">
        <v>80</v>
      </c>
      <c r="BF2" s="5">
        <v>47300</v>
      </c>
      <c r="BG2" t="s">
        <v>67</v>
      </c>
      <c r="BH2">
        <v>1</v>
      </c>
      <c r="BI2" s="6">
        <v>700000</v>
      </c>
      <c r="BJ2" s="6">
        <v>45</v>
      </c>
      <c r="BK2" s="6">
        <v>315000</v>
      </c>
      <c r="BL2" s="6">
        <v>385000</v>
      </c>
      <c r="BM2" s="2">
        <v>385000</v>
      </c>
      <c r="BN2">
        <f>InvoiceTable[[#This Row],[Giảm giá]]*InvoiceTable[[#This Row],[Số lượng]]</f>
        <v>315000</v>
      </c>
    </row>
    <row r="3" spans="1:66" x14ac:dyDescent="0.25">
      <c r="A3" t="s">
        <v>65</v>
      </c>
      <c r="B3" t="s">
        <v>81</v>
      </c>
      <c r="F3" s="2"/>
      <c r="G3" s="3">
        <v>46016.71621377315</v>
      </c>
      <c r="H3" s="3">
        <v>46016.71621431713</v>
      </c>
      <c r="I3" s="4" t="s">
        <v>67</v>
      </c>
      <c r="J3" t="s">
        <v>67</v>
      </c>
      <c r="K3" t="s">
        <v>67</v>
      </c>
      <c r="L3" t="s">
        <v>82</v>
      </c>
      <c r="M3" t="s">
        <v>83</v>
      </c>
      <c r="N3" t="s">
        <v>84</v>
      </c>
      <c r="O3" t="s">
        <v>85</v>
      </c>
      <c r="P3" t="s">
        <v>86</v>
      </c>
      <c r="S3" s="5"/>
      <c r="T3" t="s">
        <v>72</v>
      </c>
      <c r="U3" t="s">
        <v>87</v>
      </c>
      <c r="V3" t="s">
        <v>74</v>
      </c>
      <c r="W3" t="s">
        <v>87</v>
      </c>
      <c r="AE3" s="2"/>
      <c r="AF3" s="2"/>
      <c r="AG3" s="2"/>
      <c r="AH3" s="2"/>
      <c r="AK3" t="s">
        <v>67</v>
      </c>
      <c r="AL3" s="2">
        <v>483300</v>
      </c>
      <c r="AM3" s="2">
        <v>0</v>
      </c>
      <c r="AN3" s="2"/>
      <c r="AO3" s="2">
        <v>0</v>
      </c>
      <c r="AP3" s="2">
        <v>483300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4"/>
      <c r="AX3" t="s">
        <v>75</v>
      </c>
      <c r="AZ3" t="s">
        <v>88</v>
      </c>
      <c r="BB3" t="s">
        <v>89</v>
      </c>
      <c r="BC3" t="s">
        <v>90</v>
      </c>
      <c r="BF3" s="5"/>
      <c r="BG3" t="s">
        <v>67</v>
      </c>
      <c r="BH3">
        <v>1</v>
      </c>
      <c r="BI3" s="6">
        <v>27000</v>
      </c>
      <c r="BJ3" s="6">
        <v>0</v>
      </c>
      <c r="BK3" s="6">
        <v>0</v>
      </c>
      <c r="BL3" s="6">
        <v>27000</v>
      </c>
      <c r="BM3" s="2">
        <v>27000</v>
      </c>
      <c r="BN3">
        <f>InvoiceTable[[#This Row],[Giảm giá]]*InvoiceTable[[#This Row],[Số lượng]]</f>
        <v>0</v>
      </c>
    </row>
    <row r="4" spans="1:66" x14ac:dyDescent="0.25">
      <c r="A4" t="s">
        <v>65</v>
      </c>
      <c r="B4" t="s">
        <v>81</v>
      </c>
      <c r="F4" s="2"/>
      <c r="G4" s="3">
        <v>46016.71621377315</v>
      </c>
      <c r="H4" s="3">
        <v>46016.71621431713</v>
      </c>
      <c r="I4" s="4" t="s">
        <v>67</v>
      </c>
      <c r="J4" t="s">
        <v>67</v>
      </c>
      <c r="K4" t="s">
        <v>67</v>
      </c>
      <c r="L4" t="s">
        <v>82</v>
      </c>
      <c r="M4" t="s">
        <v>83</v>
      </c>
      <c r="N4" t="s">
        <v>84</v>
      </c>
      <c r="O4" t="s">
        <v>85</v>
      </c>
      <c r="P4" t="s">
        <v>86</v>
      </c>
      <c r="S4" s="5"/>
      <c r="T4" t="s">
        <v>72</v>
      </c>
      <c r="U4" t="s">
        <v>87</v>
      </c>
      <c r="V4" t="s">
        <v>74</v>
      </c>
      <c r="W4" t="s">
        <v>87</v>
      </c>
      <c r="AE4" s="2"/>
      <c r="AF4" s="2"/>
      <c r="AG4" s="2"/>
      <c r="AH4" s="2"/>
      <c r="AK4" t="s">
        <v>67</v>
      </c>
      <c r="AL4" s="2">
        <v>483300</v>
      </c>
      <c r="AM4" s="2">
        <v>0</v>
      </c>
      <c r="AN4" s="2"/>
      <c r="AO4" s="2">
        <v>0</v>
      </c>
      <c r="AP4" s="2">
        <v>483300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4"/>
      <c r="AX4" t="s">
        <v>75</v>
      </c>
      <c r="AZ4" t="s">
        <v>91</v>
      </c>
      <c r="BA4" t="s">
        <v>67</v>
      </c>
      <c r="BB4" t="s">
        <v>92</v>
      </c>
      <c r="BC4" t="s">
        <v>93</v>
      </c>
      <c r="BD4" t="s">
        <v>79</v>
      </c>
      <c r="BE4" t="s">
        <v>94</v>
      </c>
      <c r="BF4" s="5">
        <v>46692</v>
      </c>
      <c r="BG4" t="s">
        <v>67</v>
      </c>
      <c r="BH4">
        <v>1</v>
      </c>
      <c r="BI4" s="6">
        <v>702000</v>
      </c>
      <c r="BJ4" s="6">
        <v>35</v>
      </c>
      <c r="BK4" s="6">
        <v>245700</v>
      </c>
      <c r="BL4" s="6">
        <v>456300</v>
      </c>
      <c r="BM4" s="2">
        <v>456300</v>
      </c>
      <c r="BN4">
        <f>InvoiceTable[[#This Row],[Giảm giá]]*InvoiceTable[[#This Row],[Số lượng]]</f>
        <v>245700</v>
      </c>
    </row>
    <row r="5" spans="1:66" x14ac:dyDescent="0.25">
      <c r="A5" t="s">
        <v>65</v>
      </c>
      <c r="B5" t="s">
        <v>95</v>
      </c>
      <c r="F5" s="2"/>
      <c r="G5" s="3">
        <v>46016.700793206015</v>
      </c>
      <c r="H5" s="3">
        <v>46016.700781793981</v>
      </c>
      <c r="I5" s="4" t="s">
        <v>96</v>
      </c>
      <c r="J5" t="s">
        <v>97</v>
      </c>
      <c r="K5" t="s">
        <v>67</v>
      </c>
      <c r="L5" t="s">
        <v>98</v>
      </c>
      <c r="M5" t="s">
        <v>99</v>
      </c>
      <c r="N5" t="s">
        <v>67</v>
      </c>
      <c r="O5" t="s">
        <v>100</v>
      </c>
      <c r="P5" t="s">
        <v>101</v>
      </c>
      <c r="Q5" t="s">
        <v>67</v>
      </c>
      <c r="R5" t="s">
        <v>67</v>
      </c>
      <c r="S5" s="5"/>
      <c r="T5" t="s">
        <v>72</v>
      </c>
      <c r="U5" t="s">
        <v>102</v>
      </c>
      <c r="V5" t="s">
        <v>74</v>
      </c>
      <c r="W5" t="s">
        <v>102</v>
      </c>
      <c r="AE5" s="2"/>
      <c r="AF5" s="2"/>
      <c r="AG5" s="2"/>
      <c r="AH5" s="2"/>
      <c r="AK5" t="s">
        <v>67</v>
      </c>
      <c r="AL5" s="2">
        <v>6500000</v>
      </c>
      <c r="AM5" s="2">
        <v>0</v>
      </c>
      <c r="AN5" s="2"/>
      <c r="AO5" s="2">
        <v>0</v>
      </c>
      <c r="AP5" s="2">
        <v>6500000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4"/>
      <c r="AX5" t="s">
        <v>75</v>
      </c>
      <c r="AZ5" t="s">
        <v>103</v>
      </c>
      <c r="BB5" t="s">
        <v>104</v>
      </c>
      <c r="BC5" t="s">
        <v>105</v>
      </c>
      <c r="BD5" t="s">
        <v>79</v>
      </c>
      <c r="BE5" t="s">
        <v>106</v>
      </c>
      <c r="BF5" s="5">
        <v>46327</v>
      </c>
      <c r="BH5">
        <v>1</v>
      </c>
      <c r="BI5" s="6">
        <v>6930000</v>
      </c>
      <c r="BJ5" s="6">
        <v>0</v>
      </c>
      <c r="BK5" s="6">
        <v>2930000</v>
      </c>
      <c r="BL5" s="6">
        <v>4000000</v>
      </c>
      <c r="BM5" s="2">
        <v>4000000</v>
      </c>
      <c r="BN5">
        <f>InvoiceTable[[#This Row],[Giảm giá]]*InvoiceTable[[#This Row],[Số lượng]]</f>
        <v>2930000</v>
      </c>
    </row>
    <row r="6" spans="1:66" x14ac:dyDescent="0.25">
      <c r="A6" t="s">
        <v>65</v>
      </c>
      <c r="B6" t="s">
        <v>95</v>
      </c>
      <c r="F6" s="2"/>
      <c r="G6" s="3">
        <v>46016.700793206015</v>
      </c>
      <c r="H6" s="3">
        <v>46016.700781793981</v>
      </c>
      <c r="I6" s="4" t="s">
        <v>96</v>
      </c>
      <c r="J6" t="s">
        <v>97</v>
      </c>
      <c r="K6" t="s">
        <v>67</v>
      </c>
      <c r="L6" t="s">
        <v>98</v>
      </c>
      <c r="M6" t="s">
        <v>99</v>
      </c>
      <c r="N6" t="s">
        <v>67</v>
      </c>
      <c r="O6" t="s">
        <v>100</v>
      </c>
      <c r="P6" t="s">
        <v>101</v>
      </c>
      <c r="Q6" t="s">
        <v>67</v>
      </c>
      <c r="R6" t="s">
        <v>67</v>
      </c>
      <c r="S6" s="5"/>
      <c r="T6" t="s">
        <v>72</v>
      </c>
      <c r="U6" t="s">
        <v>102</v>
      </c>
      <c r="V6" t="s">
        <v>74</v>
      </c>
      <c r="W6" t="s">
        <v>102</v>
      </c>
      <c r="AE6" s="2"/>
      <c r="AF6" s="2"/>
      <c r="AG6" s="2"/>
      <c r="AH6" s="2"/>
      <c r="AK6" t="s">
        <v>67</v>
      </c>
      <c r="AL6" s="2">
        <v>6500000</v>
      </c>
      <c r="AM6" s="2">
        <v>0</v>
      </c>
      <c r="AN6" s="2"/>
      <c r="AO6" s="2">
        <v>0</v>
      </c>
      <c r="AP6" s="2">
        <v>6500000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4"/>
      <c r="AX6" t="s">
        <v>75</v>
      </c>
      <c r="AZ6" t="s">
        <v>107</v>
      </c>
      <c r="BA6" t="s">
        <v>67</v>
      </c>
      <c r="BB6" t="s">
        <v>108</v>
      </c>
      <c r="BC6" t="s">
        <v>109</v>
      </c>
      <c r="BD6" t="s">
        <v>79</v>
      </c>
      <c r="BE6" t="s">
        <v>94</v>
      </c>
      <c r="BF6" s="5">
        <v>46692</v>
      </c>
      <c r="BG6" t="s">
        <v>67</v>
      </c>
      <c r="BH6">
        <v>1</v>
      </c>
      <c r="BI6" s="6">
        <v>4500000</v>
      </c>
      <c r="BJ6" s="6">
        <v>0</v>
      </c>
      <c r="BK6" s="6">
        <v>2000000</v>
      </c>
      <c r="BL6" s="6">
        <v>2500000</v>
      </c>
      <c r="BM6" s="2">
        <v>2500000</v>
      </c>
      <c r="BN6">
        <f>InvoiceTable[[#This Row],[Giảm giá]]*InvoiceTable[[#This Row],[Số lượng]]</f>
        <v>2000000</v>
      </c>
    </row>
    <row r="7" spans="1:66" x14ac:dyDescent="0.25">
      <c r="A7" t="s">
        <v>65</v>
      </c>
      <c r="B7" t="s">
        <v>110</v>
      </c>
      <c r="F7" s="2"/>
      <c r="G7" s="3">
        <v>46016.69791357639</v>
      </c>
      <c r="H7" s="3">
        <v>46016.697913738426</v>
      </c>
      <c r="I7" s="4" t="s">
        <v>67</v>
      </c>
      <c r="J7" t="s">
        <v>67</v>
      </c>
      <c r="K7" t="s">
        <v>67</v>
      </c>
      <c r="L7" t="s">
        <v>111</v>
      </c>
      <c r="M7" t="s">
        <v>112</v>
      </c>
      <c r="N7" t="s">
        <v>67</v>
      </c>
      <c r="O7" t="s">
        <v>113</v>
      </c>
      <c r="P7" t="s">
        <v>114</v>
      </c>
      <c r="Q7" t="s">
        <v>67</v>
      </c>
      <c r="R7" t="s">
        <v>67</v>
      </c>
      <c r="S7" s="5"/>
      <c r="T7" t="s">
        <v>72</v>
      </c>
      <c r="U7" t="s">
        <v>87</v>
      </c>
      <c r="V7" t="s">
        <v>74</v>
      </c>
      <c r="W7" t="s">
        <v>87</v>
      </c>
      <c r="AE7" s="2"/>
      <c r="AF7" s="2"/>
      <c r="AG7" s="2"/>
      <c r="AH7" s="2"/>
      <c r="AK7" t="s">
        <v>67</v>
      </c>
      <c r="AL7" s="2">
        <v>1825000</v>
      </c>
      <c r="AM7" s="2">
        <v>0</v>
      </c>
      <c r="AN7" s="2"/>
      <c r="AO7" s="2">
        <v>0</v>
      </c>
      <c r="AP7" s="2">
        <v>1825000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4"/>
      <c r="AX7" t="s">
        <v>75</v>
      </c>
      <c r="AZ7" t="s">
        <v>115</v>
      </c>
      <c r="BA7" t="s">
        <v>67</v>
      </c>
      <c r="BB7" t="s">
        <v>116</v>
      </c>
      <c r="BC7" t="s">
        <v>78</v>
      </c>
      <c r="BD7" t="s">
        <v>79</v>
      </c>
      <c r="BE7" t="s">
        <v>117</v>
      </c>
      <c r="BF7" s="5">
        <v>46569</v>
      </c>
      <c r="BG7" t="s">
        <v>67</v>
      </c>
      <c r="BH7">
        <v>1</v>
      </c>
      <c r="BI7" s="6">
        <v>3650000</v>
      </c>
      <c r="BJ7" s="6">
        <v>50</v>
      </c>
      <c r="BK7" s="6">
        <v>1825000</v>
      </c>
      <c r="BL7" s="6">
        <v>1825000</v>
      </c>
      <c r="BM7" s="2">
        <v>1825000</v>
      </c>
      <c r="BN7">
        <f>InvoiceTable[[#This Row],[Giảm giá]]*InvoiceTable[[#This Row],[Số lượng]]</f>
        <v>1825000</v>
      </c>
    </row>
    <row r="8" spans="1:66" x14ac:dyDescent="0.25">
      <c r="A8" t="s">
        <v>65</v>
      </c>
      <c r="B8" t="s">
        <v>118</v>
      </c>
      <c r="F8" s="2"/>
      <c r="G8" s="3">
        <v>46016.66470883102</v>
      </c>
      <c r="H8" s="3">
        <v>46016.664697488428</v>
      </c>
      <c r="I8" s="4" t="s">
        <v>96</v>
      </c>
      <c r="J8" t="s">
        <v>67</v>
      </c>
      <c r="K8" t="s">
        <v>67</v>
      </c>
      <c r="L8" t="s">
        <v>119</v>
      </c>
      <c r="M8" t="s">
        <v>120</v>
      </c>
      <c r="N8" t="s">
        <v>67</v>
      </c>
      <c r="O8" t="s">
        <v>121</v>
      </c>
      <c r="Q8" t="s">
        <v>122</v>
      </c>
      <c r="R8" t="s">
        <v>123</v>
      </c>
      <c r="S8" s="5"/>
      <c r="T8" t="s">
        <v>72</v>
      </c>
      <c r="U8" t="s">
        <v>102</v>
      </c>
      <c r="V8" t="s">
        <v>74</v>
      </c>
      <c r="W8" t="s">
        <v>102</v>
      </c>
      <c r="AE8" s="2"/>
      <c r="AF8" s="2"/>
      <c r="AG8" s="2"/>
      <c r="AH8" s="2"/>
      <c r="AL8" s="2">
        <v>5400000</v>
      </c>
      <c r="AM8" s="2">
        <v>0</v>
      </c>
      <c r="AN8" s="2"/>
      <c r="AO8" s="2">
        <v>0</v>
      </c>
      <c r="AP8" s="2">
        <v>5400000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4"/>
      <c r="AX8" t="s">
        <v>75</v>
      </c>
      <c r="AZ8" t="s">
        <v>124</v>
      </c>
      <c r="BA8" t="s">
        <v>67</v>
      </c>
      <c r="BB8" t="s">
        <v>125</v>
      </c>
      <c r="BC8" t="s">
        <v>126</v>
      </c>
      <c r="BD8" t="s">
        <v>79</v>
      </c>
      <c r="BE8" t="s">
        <v>127</v>
      </c>
      <c r="BF8" s="5">
        <v>46683</v>
      </c>
      <c r="BH8">
        <v>10</v>
      </c>
      <c r="BI8" s="6">
        <v>1200000</v>
      </c>
      <c r="BJ8" s="6">
        <v>0</v>
      </c>
      <c r="BK8" s="6">
        <v>660000</v>
      </c>
      <c r="BL8" s="6">
        <v>540000</v>
      </c>
      <c r="BM8" s="2">
        <v>5400000</v>
      </c>
      <c r="BN8">
        <f>InvoiceTable[[#This Row],[Giảm giá]]*InvoiceTable[[#This Row],[Số lượng]]</f>
        <v>6600000</v>
      </c>
    </row>
    <row r="9" spans="1:66" x14ac:dyDescent="0.25">
      <c r="A9" t="s">
        <v>65</v>
      </c>
      <c r="B9" t="s">
        <v>128</v>
      </c>
      <c r="F9" s="2"/>
      <c r="G9" s="3">
        <v>46016.629610034724</v>
      </c>
      <c r="H9" s="3">
        <v>46016.629610266202</v>
      </c>
      <c r="I9" s="4" t="s">
        <v>67</v>
      </c>
      <c r="J9" t="s">
        <v>67</v>
      </c>
      <c r="K9" t="s">
        <v>67</v>
      </c>
      <c r="L9" t="s">
        <v>111</v>
      </c>
      <c r="M9" t="s">
        <v>112</v>
      </c>
      <c r="N9" t="s">
        <v>67</v>
      </c>
      <c r="O9" t="s">
        <v>113</v>
      </c>
      <c r="P9" t="s">
        <v>114</v>
      </c>
      <c r="Q9" t="s">
        <v>67</v>
      </c>
      <c r="R9" t="s">
        <v>67</v>
      </c>
      <c r="S9" s="5"/>
      <c r="T9" t="s">
        <v>72</v>
      </c>
      <c r="U9" t="s">
        <v>87</v>
      </c>
      <c r="V9" t="s">
        <v>74</v>
      </c>
      <c r="W9" t="s">
        <v>87</v>
      </c>
      <c r="AE9" s="2"/>
      <c r="AF9" s="2"/>
      <c r="AG9" s="2"/>
      <c r="AH9" s="2"/>
      <c r="AL9" s="2">
        <v>5900000</v>
      </c>
      <c r="AM9" s="2">
        <v>2950000</v>
      </c>
      <c r="AN9" s="2"/>
      <c r="AO9" s="2">
        <v>0</v>
      </c>
      <c r="AP9" s="2">
        <v>2950000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4"/>
      <c r="AX9" t="s">
        <v>75</v>
      </c>
      <c r="AZ9" t="s">
        <v>129</v>
      </c>
      <c r="BA9" t="s">
        <v>67</v>
      </c>
      <c r="BB9" t="s">
        <v>130</v>
      </c>
      <c r="BC9" t="s">
        <v>78</v>
      </c>
      <c r="BD9" t="s">
        <v>79</v>
      </c>
      <c r="BE9" t="s">
        <v>131</v>
      </c>
      <c r="BF9" s="5">
        <v>46874</v>
      </c>
      <c r="BG9" t="s">
        <v>67</v>
      </c>
      <c r="BH9">
        <v>1</v>
      </c>
      <c r="BI9" s="6">
        <v>3050000</v>
      </c>
      <c r="BJ9" s="6">
        <v>0</v>
      </c>
      <c r="BK9" s="6">
        <v>0</v>
      </c>
      <c r="BL9" s="6">
        <v>3050000</v>
      </c>
      <c r="BM9" s="2">
        <v>3050000</v>
      </c>
      <c r="BN9">
        <f>InvoiceTable[[#This Row],[Giảm giá]]*InvoiceTable[[#This Row],[Số lượng]]</f>
        <v>0</v>
      </c>
    </row>
    <row r="10" spans="1:66" x14ac:dyDescent="0.25">
      <c r="A10" t="s">
        <v>65</v>
      </c>
      <c r="B10" t="s">
        <v>128</v>
      </c>
      <c r="F10" s="2"/>
      <c r="G10" s="3">
        <v>46016.629610034724</v>
      </c>
      <c r="H10" s="3">
        <v>46016.629610266202</v>
      </c>
      <c r="I10" s="4" t="s">
        <v>67</v>
      </c>
      <c r="J10" t="s">
        <v>67</v>
      </c>
      <c r="K10" t="s">
        <v>67</v>
      </c>
      <c r="L10" t="s">
        <v>111</v>
      </c>
      <c r="M10" t="s">
        <v>112</v>
      </c>
      <c r="N10" t="s">
        <v>67</v>
      </c>
      <c r="O10" t="s">
        <v>113</v>
      </c>
      <c r="P10" t="s">
        <v>114</v>
      </c>
      <c r="Q10" t="s">
        <v>67</v>
      </c>
      <c r="R10" t="s">
        <v>67</v>
      </c>
      <c r="S10" s="5"/>
      <c r="T10" t="s">
        <v>72</v>
      </c>
      <c r="U10" t="s">
        <v>87</v>
      </c>
      <c r="V10" t="s">
        <v>74</v>
      </c>
      <c r="W10" t="s">
        <v>87</v>
      </c>
      <c r="AE10" s="2"/>
      <c r="AF10" s="2"/>
      <c r="AG10" s="2"/>
      <c r="AH10" s="2"/>
      <c r="AL10" s="2">
        <v>5900000</v>
      </c>
      <c r="AM10" s="2">
        <v>2950000</v>
      </c>
      <c r="AN10" s="2"/>
      <c r="AO10" s="2">
        <v>0</v>
      </c>
      <c r="AP10" s="2">
        <v>2950000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4"/>
      <c r="AX10" t="s">
        <v>75</v>
      </c>
      <c r="AZ10" t="s">
        <v>132</v>
      </c>
      <c r="BA10" t="s">
        <v>67</v>
      </c>
      <c r="BB10" t="s">
        <v>133</v>
      </c>
      <c r="BC10" t="s">
        <v>134</v>
      </c>
      <c r="BD10" t="s">
        <v>79</v>
      </c>
      <c r="BE10" t="s">
        <v>117</v>
      </c>
      <c r="BF10" s="5">
        <v>46569</v>
      </c>
      <c r="BG10" t="s">
        <v>67</v>
      </c>
      <c r="BH10">
        <v>1</v>
      </c>
      <c r="BI10" s="6">
        <v>2850000</v>
      </c>
      <c r="BJ10" s="6">
        <v>0</v>
      </c>
      <c r="BK10" s="6">
        <v>0</v>
      </c>
      <c r="BL10" s="6">
        <v>2850000</v>
      </c>
      <c r="BM10" s="2">
        <v>2850000</v>
      </c>
      <c r="BN10">
        <f>InvoiceTable[[#This Row],[Giảm giá]]*InvoiceTable[[#This Row],[Số lượng]]</f>
        <v>0</v>
      </c>
    </row>
    <row r="11" spans="1:66" x14ac:dyDescent="0.25">
      <c r="A11" t="s">
        <v>65</v>
      </c>
      <c r="B11" t="s">
        <v>135</v>
      </c>
      <c r="F11" s="2"/>
      <c r="G11" s="3">
        <v>46016.625756562498</v>
      </c>
      <c r="H11" s="3">
        <v>46016.625756712965</v>
      </c>
      <c r="I11" s="4" t="s">
        <v>67</v>
      </c>
      <c r="J11" t="s">
        <v>67</v>
      </c>
      <c r="K11" t="s">
        <v>67</v>
      </c>
      <c r="L11" t="s">
        <v>111</v>
      </c>
      <c r="M11" t="s">
        <v>112</v>
      </c>
      <c r="N11" t="s">
        <v>67</v>
      </c>
      <c r="O11" t="s">
        <v>113</v>
      </c>
      <c r="P11" t="s">
        <v>114</v>
      </c>
      <c r="Q11" t="s">
        <v>67</v>
      </c>
      <c r="R11" t="s">
        <v>67</v>
      </c>
      <c r="S11" s="5"/>
      <c r="T11" t="s">
        <v>72</v>
      </c>
      <c r="U11" t="s">
        <v>87</v>
      </c>
      <c r="V11" t="s">
        <v>74</v>
      </c>
      <c r="W11" t="s">
        <v>87</v>
      </c>
      <c r="AE11" s="2"/>
      <c r="AF11" s="2"/>
      <c r="AG11" s="2"/>
      <c r="AH11" s="2"/>
      <c r="AL11" s="2">
        <v>12500000</v>
      </c>
      <c r="AM11" s="2">
        <v>6250000</v>
      </c>
      <c r="AN11" s="2"/>
      <c r="AO11" s="2">
        <v>0</v>
      </c>
      <c r="AP11" s="2">
        <v>6250000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4"/>
      <c r="AX11" t="s">
        <v>75</v>
      </c>
      <c r="AZ11" t="s">
        <v>136</v>
      </c>
      <c r="BA11" t="s">
        <v>67</v>
      </c>
      <c r="BB11" t="s">
        <v>137</v>
      </c>
      <c r="BC11" t="s">
        <v>138</v>
      </c>
      <c r="BD11" t="s">
        <v>79</v>
      </c>
      <c r="BE11" t="s">
        <v>139</v>
      </c>
      <c r="BF11" s="5">
        <v>46447</v>
      </c>
      <c r="BG11" t="s">
        <v>67</v>
      </c>
      <c r="BH11">
        <v>2</v>
      </c>
      <c r="BI11" s="6">
        <v>4400000</v>
      </c>
      <c r="BJ11" s="6">
        <v>0</v>
      </c>
      <c r="BK11" s="6">
        <v>0</v>
      </c>
      <c r="BL11" s="6">
        <v>4400000</v>
      </c>
      <c r="BM11" s="2">
        <v>8800000</v>
      </c>
      <c r="BN11">
        <f>InvoiceTable[[#This Row],[Giảm giá]]*InvoiceTable[[#This Row],[Số lượng]]</f>
        <v>0</v>
      </c>
    </row>
    <row r="12" spans="1:66" x14ac:dyDescent="0.25">
      <c r="A12" t="s">
        <v>65</v>
      </c>
      <c r="B12" t="s">
        <v>135</v>
      </c>
      <c r="F12" s="2"/>
      <c r="G12" s="3">
        <v>46016.625756562498</v>
      </c>
      <c r="H12" s="3">
        <v>46016.625756712965</v>
      </c>
      <c r="I12" s="4" t="s">
        <v>67</v>
      </c>
      <c r="J12" t="s">
        <v>67</v>
      </c>
      <c r="K12" t="s">
        <v>67</v>
      </c>
      <c r="L12" t="s">
        <v>111</v>
      </c>
      <c r="M12" t="s">
        <v>112</v>
      </c>
      <c r="N12" t="s">
        <v>67</v>
      </c>
      <c r="O12" t="s">
        <v>113</v>
      </c>
      <c r="P12" t="s">
        <v>114</v>
      </c>
      <c r="Q12" t="s">
        <v>67</v>
      </c>
      <c r="R12" t="s">
        <v>67</v>
      </c>
      <c r="S12" s="5"/>
      <c r="T12" t="s">
        <v>72</v>
      </c>
      <c r="U12" t="s">
        <v>87</v>
      </c>
      <c r="V12" t="s">
        <v>74</v>
      </c>
      <c r="W12" t="s">
        <v>87</v>
      </c>
      <c r="AE12" s="2"/>
      <c r="AF12" s="2"/>
      <c r="AG12" s="2"/>
      <c r="AH12" s="2"/>
      <c r="AL12" s="2">
        <v>12500000</v>
      </c>
      <c r="AM12" s="2">
        <v>6250000</v>
      </c>
      <c r="AN12" s="2"/>
      <c r="AO12" s="2">
        <v>0</v>
      </c>
      <c r="AP12" s="2">
        <v>6250000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4"/>
      <c r="AX12" t="s">
        <v>75</v>
      </c>
      <c r="AZ12" t="s">
        <v>140</v>
      </c>
      <c r="BA12" t="s">
        <v>67</v>
      </c>
      <c r="BB12" t="s">
        <v>141</v>
      </c>
      <c r="BC12" t="s">
        <v>138</v>
      </c>
      <c r="BD12" t="s">
        <v>79</v>
      </c>
      <c r="BE12" t="s">
        <v>142</v>
      </c>
      <c r="BF12" s="5">
        <v>46844</v>
      </c>
      <c r="BH12">
        <v>1</v>
      </c>
      <c r="BI12" s="6">
        <v>1950000</v>
      </c>
      <c r="BJ12" s="6">
        <v>0</v>
      </c>
      <c r="BK12" s="6">
        <v>0</v>
      </c>
      <c r="BL12" s="6">
        <v>1950000</v>
      </c>
      <c r="BM12" s="2">
        <v>1950000</v>
      </c>
      <c r="BN12">
        <f>InvoiceTable[[#This Row],[Giảm giá]]*InvoiceTable[[#This Row],[Số lượng]]</f>
        <v>0</v>
      </c>
    </row>
    <row r="13" spans="1:66" x14ac:dyDescent="0.25">
      <c r="A13" t="s">
        <v>65</v>
      </c>
      <c r="B13" t="s">
        <v>135</v>
      </c>
      <c r="F13" s="2"/>
      <c r="G13" s="3">
        <v>46016.625756562498</v>
      </c>
      <c r="H13" s="3">
        <v>46016.625756712965</v>
      </c>
      <c r="I13" s="4" t="s">
        <v>67</v>
      </c>
      <c r="J13" t="s">
        <v>67</v>
      </c>
      <c r="K13" t="s">
        <v>67</v>
      </c>
      <c r="L13" t="s">
        <v>111</v>
      </c>
      <c r="M13" t="s">
        <v>112</v>
      </c>
      <c r="N13" t="s">
        <v>67</v>
      </c>
      <c r="O13" t="s">
        <v>113</v>
      </c>
      <c r="P13" t="s">
        <v>114</v>
      </c>
      <c r="Q13" t="s">
        <v>67</v>
      </c>
      <c r="R13" t="s">
        <v>67</v>
      </c>
      <c r="S13" s="5"/>
      <c r="T13" t="s">
        <v>72</v>
      </c>
      <c r="U13" t="s">
        <v>87</v>
      </c>
      <c r="V13" t="s">
        <v>74</v>
      </c>
      <c r="W13" t="s">
        <v>87</v>
      </c>
      <c r="AE13" s="2"/>
      <c r="AF13" s="2"/>
      <c r="AG13" s="2"/>
      <c r="AH13" s="2"/>
      <c r="AL13" s="2">
        <v>12500000</v>
      </c>
      <c r="AM13" s="2">
        <v>6250000</v>
      </c>
      <c r="AN13" s="2"/>
      <c r="AO13" s="2">
        <v>0</v>
      </c>
      <c r="AP13" s="2">
        <v>6250000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4"/>
      <c r="AX13" t="s">
        <v>75</v>
      </c>
      <c r="AZ13" t="s">
        <v>143</v>
      </c>
      <c r="BA13" t="s">
        <v>143</v>
      </c>
      <c r="BB13" t="s">
        <v>144</v>
      </c>
      <c r="BC13" t="s">
        <v>138</v>
      </c>
      <c r="BD13" t="s">
        <v>79</v>
      </c>
      <c r="BE13" t="s">
        <v>145</v>
      </c>
      <c r="BF13" s="5">
        <v>46508</v>
      </c>
      <c r="BG13" t="s">
        <v>67</v>
      </c>
      <c r="BH13">
        <v>1</v>
      </c>
      <c r="BI13" s="6">
        <v>1750000</v>
      </c>
      <c r="BJ13" s="6">
        <v>0</v>
      </c>
      <c r="BK13" s="6">
        <v>0</v>
      </c>
      <c r="BL13" s="6">
        <v>1750000</v>
      </c>
      <c r="BM13" s="2">
        <v>1750000</v>
      </c>
      <c r="BN13">
        <f>InvoiceTable[[#This Row],[Giảm giá]]*InvoiceTable[[#This Row],[Số lượng]]</f>
        <v>0</v>
      </c>
    </row>
    <row r="14" spans="1:66" x14ac:dyDescent="0.25">
      <c r="A14" t="s">
        <v>65</v>
      </c>
      <c r="B14" t="s">
        <v>146</v>
      </c>
      <c r="F14" s="2"/>
      <c r="G14" s="3">
        <v>46016.62298359954</v>
      </c>
      <c r="H14" s="3">
        <v>46016.62297222222</v>
      </c>
      <c r="I14" s="4" t="s">
        <v>96</v>
      </c>
      <c r="J14" t="s">
        <v>67</v>
      </c>
      <c r="K14" t="s">
        <v>67</v>
      </c>
      <c r="L14" t="s">
        <v>147</v>
      </c>
      <c r="M14" t="s">
        <v>148</v>
      </c>
      <c r="N14" t="s">
        <v>67</v>
      </c>
      <c r="O14" t="s">
        <v>149</v>
      </c>
      <c r="P14" t="s">
        <v>150</v>
      </c>
      <c r="S14" s="5"/>
      <c r="T14" t="s">
        <v>72</v>
      </c>
      <c r="U14" t="s">
        <v>87</v>
      </c>
      <c r="V14" t="s">
        <v>74</v>
      </c>
      <c r="W14" t="s">
        <v>87</v>
      </c>
      <c r="AE14" s="2"/>
      <c r="AF14" s="2"/>
      <c r="AG14" s="2"/>
      <c r="AH14" s="2"/>
      <c r="AK14" t="s">
        <v>151</v>
      </c>
      <c r="AL14" s="2">
        <v>1813000</v>
      </c>
      <c r="AM14" s="2">
        <v>0</v>
      </c>
      <c r="AN14" s="2"/>
      <c r="AO14" s="2">
        <v>0</v>
      </c>
      <c r="AP14" s="2">
        <v>1813000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4"/>
      <c r="AX14" t="s">
        <v>75</v>
      </c>
      <c r="AZ14" t="s">
        <v>152</v>
      </c>
      <c r="BA14" t="s">
        <v>67</v>
      </c>
      <c r="BB14" t="s">
        <v>153</v>
      </c>
      <c r="BC14" t="s">
        <v>154</v>
      </c>
      <c r="BD14" t="s">
        <v>79</v>
      </c>
      <c r="BE14" t="s">
        <v>155</v>
      </c>
      <c r="BF14" s="5">
        <v>46600</v>
      </c>
      <c r="BH14">
        <v>1</v>
      </c>
      <c r="BI14" s="6">
        <v>1080000</v>
      </c>
      <c r="BJ14" s="6">
        <v>45</v>
      </c>
      <c r="BK14" s="6">
        <v>486000</v>
      </c>
      <c r="BL14" s="6">
        <v>594000</v>
      </c>
      <c r="BM14" s="2">
        <v>594000</v>
      </c>
      <c r="BN14">
        <f>InvoiceTable[[#This Row],[Giảm giá]]*InvoiceTable[[#This Row],[Số lượng]]</f>
        <v>486000</v>
      </c>
    </row>
    <row r="15" spans="1:66" x14ac:dyDescent="0.25">
      <c r="A15" t="s">
        <v>65</v>
      </c>
      <c r="B15" t="s">
        <v>146</v>
      </c>
      <c r="F15" s="2"/>
      <c r="G15" s="3">
        <v>46016.62298359954</v>
      </c>
      <c r="H15" s="3">
        <v>46016.62297222222</v>
      </c>
      <c r="I15" s="4" t="s">
        <v>96</v>
      </c>
      <c r="J15" t="s">
        <v>67</v>
      </c>
      <c r="K15" t="s">
        <v>67</v>
      </c>
      <c r="L15" t="s">
        <v>147</v>
      </c>
      <c r="M15" t="s">
        <v>148</v>
      </c>
      <c r="N15" t="s">
        <v>67</v>
      </c>
      <c r="O15" t="s">
        <v>149</v>
      </c>
      <c r="P15" t="s">
        <v>150</v>
      </c>
      <c r="S15" s="5"/>
      <c r="T15" t="s">
        <v>72</v>
      </c>
      <c r="U15" t="s">
        <v>87</v>
      </c>
      <c r="V15" t="s">
        <v>74</v>
      </c>
      <c r="W15" t="s">
        <v>87</v>
      </c>
      <c r="AE15" s="2"/>
      <c r="AF15" s="2"/>
      <c r="AG15" s="2"/>
      <c r="AH15" s="2"/>
      <c r="AK15" t="s">
        <v>151</v>
      </c>
      <c r="AL15" s="2">
        <v>1813000</v>
      </c>
      <c r="AM15" s="2">
        <v>0</v>
      </c>
      <c r="AN15" s="2"/>
      <c r="AO15" s="2">
        <v>0</v>
      </c>
      <c r="AP15" s="2">
        <v>1813000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4"/>
      <c r="AX15" t="s">
        <v>75</v>
      </c>
      <c r="AZ15" t="s">
        <v>156</v>
      </c>
      <c r="BA15" t="s">
        <v>67</v>
      </c>
      <c r="BB15" t="s">
        <v>157</v>
      </c>
      <c r="BC15" t="s">
        <v>158</v>
      </c>
      <c r="BD15" t="s">
        <v>79</v>
      </c>
      <c r="BE15" t="s">
        <v>159</v>
      </c>
      <c r="BF15" s="5">
        <v>46478</v>
      </c>
      <c r="BG15" t="s">
        <v>67</v>
      </c>
      <c r="BH15">
        <v>1</v>
      </c>
      <c r="BI15" s="6">
        <v>2300000</v>
      </c>
      <c r="BJ15" s="6">
        <v>47</v>
      </c>
      <c r="BK15" s="6">
        <v>1081000</v>
      </c>
      <c r="BL15" s="6">
        <v>1219000</v>
      </c>
      <c r="BM15" s="2">
        <v>1219000</v>
      </c>
      <c r="BN15">
        <f>InvoiceTable[[#This Row],[Giảm giá]]*InvoiceTable[[#This Row],[Số lượng]]</f>
        <v>1081000</v>
      </c>
    </row>
    <row r="16" spans="1:66" x14ac:dyDescent="0.25">
      <c r="A16" t="s">
        <v>65</v>
      </c>
      <c r="B16" t="s">
        <v>160</v>
      </c>
      <c r="F16" s="2"/>
      <c r="G16" s="3">
        <v>46016.621134872687</v>
      </c>
      <c r="H16" s="3">
        <v>46016.621123379628</v>
      </c>
      <c r="I16" s="4" t="s">
        <v>96</v>
      </c>
      <c r="J16" t="s">
        <v>67</v>
      </c>
      <c r="K16" t="s">
        <v>67</v>
      </c>
      <c r="L16" t="s">
        <v>161</v>
      </c>
      <c r="M16" t="s">
        <v>162</v>
      </c>
      <c r="N16" t="s">
        <v>67</v>
      </c>
      <c r="O16" t="s">
        <v>163</v>
      </c>
      <c r="P16" t="s">
        <v>164</v>
      </c>
      <c r="S16" s="5"/>
      <c r="T16" t="s">
        <v>72</v>
      </c>
      <c r="U16" t="s">
        <v>102</v>
      </c>
      <c r="V16" t="s">
        <v>74</v>
      </c>
      <c r="W16" t="s">
        <v>87</v>
      </c>
      <c r="AE16" s="2"/>
      <c r="AF16" s="2"/>
      <c r="AG16" s="2"/>
      <c r="AH16" s="2"/>
      <c r="AK16" t="s">
        <v>165</v>
      </c>
      <c r="AL16" s="2">
        <v>60000</v>
      </c>
      <c r="AM16" s="2">
        <v>0</v>
      </c>
      <c r="AN16" s="2"/>
      <c r="AO16" s="2">
        <v>0</v>
      </c>
      <c r="AP16" s="2">
        <v>60000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4"/>
      <c r="AX16" t="s">
        <v>75</v>
      </c>
      <c r="AZ16" t="s">
        <v>166</v>
      </c>
      <c r="BA16" t="s">
        <v>67</v>
      </c>
      <c r="BB16" t="s">
        <v>167</v>
      </c>
      <c r="BC16" t="s">
        <v>90</v>
      </c>
      <c r="BD16" t="s">
        <v>79</v>
      </c>
      <c r="BE16" t="s">
        <v>168</v>
      </c>
      <c r="BF16" s="5">
        <v>46388</v>
      </c>
      <c r="BH16">
        <v>1</v>
      </c>
      <c r="BI16" s="6">
        <v>180000</v>
      </c>
      <c r="BJ16" s="6">
        <v>0</v>
      </c>
      <c r="BK16" s="6">
        <v>120000</v>
      </c>
      <c r="BL16" s="6">
        <v>60000</v>
      </c>
      <c r="BM16" s="2">
        <v>60000</v>
      </c>
      <c r="BN16">
        <f>InvoiceTable[[#This Row],[Giảm giá]]*InvoiceTable[[#This Row],[Số lượng]]</f>
        <v>120000</v>
      </c>
    </row>
    <row r="17" spans="1:66" x14ac:dyDescent="0.25">
      <c r="A17" t="s">
        <v>65</v>
      </c>
      <c r="B17" t="s">
        <v>169</v>
      </c>
      <c r="F17" s="2"/>
      <c r="G17" s="3">
        <v>46016.620716006946</v>
      </c>
      <c r="H17" s="3">
        <v>46016.620716122685</v>
      </c>
      <c r="I17" s="4" t="s">
        <v>67</v>
      </c>
      <c r="J17" t="s">
        <v>170</v>
      </c>
      <c r="K17" t="s">
        <v>67</v>
      </c>
      <c r="L17" t="s">
        <v>161</v>
      </c>
      <c r="M17" t="s">
        <v>162</v>
      </c>
      <c r="N17" t="s">
        <v>67</v>
      </c>
      <c r="O17" t="s">
        <v>163</v>
      </c>
      <c r="P17" t="s">
        <v>164</v>
      </c>
      <c r="S17" s="5"/>
      <c r="T17" t="s">
        <v>72</v>
      </c>
      <c r="U17" t="s">
        <v>102</v>
      </c>
      <c r="V17" t="s">
        <v>74</v>
      </c>
      <c r="W17" t="s">
        <v>87</v>
      </c>
      <c r="AE17" s="2"/>
      <c r="AF17" s="2"/>
      <c r="AG17" s="2"/>
      <c r="AH17" s="2"/>
      <c r="AK17" t="s">
        <v>165</v>
      </c>
      <c r="AL17" s="2">
        <v>1695750</v>
      </c>
      <c r="AM17" s="2">
        <v>0</v>
      </c>
      <c r="AN17" s="2"/>
      <c r="AO17" s="2">
        <v>0</v>
      </c>
      <c r="AP17" s="2">
        <v>1695750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4"/>
      <c r="AX17" t="s">
        <v>75</v>
      </c>
      <c r="AZ17" t="s">
        <v>171</v>
      </c>
      <c r="BA17" t="s">
        <v>67</v>
      </c>
      <c r="BB17" t="s">
        <v>172</v>
      </c>
      <c r="BC17" t="s">
        <v>173</v>
      </c>
      <c r="BD17" t="s">
        <v>79</v>
      </c>
      <c r="BE17" t="s">
        <v>80</v>
      </c>
      <c r="BF17" s="5">
        <v>47300</v>
      </c>
      <c r="BG17" t="s">
        <v>67</v>
      </c>
      <c r="BH17">
        <v>1</v>
      </c>
      <c r="BI17" s="6">
        <v>1225000</v>
      </c>
      <c r="BJ17" s="6">
        <v>43</v>
      </c>
      <c r="BK17" s="6">
        <v>526750</v>
      </c>
      <c r="BL17" s="6">
        <v>698250</v>
      </c>
      <c r="BM17" s="2">
        <v>698250</v>
      </c>
      <c r="BN17">
        <f>InvoiceTable[[#This Row],[Giảm giá]]*InvoiceTable[[#This Row],[Số lượng]]</f>
        <v>526750</v>
      </c>
    </row>
    <row r="18" spans="1:66" x14ac:dyDescent="0.25">
      <c r="A18" t="s">
        <v>65</v>
      </c>
      <c r="B18" t="s">
        <v>169</v>
      </c>
      <c r="F18" s="2"/>
      <c r="G18" s="3">
        <v>46016.620716006946</v>
      </c>
      <c r="H18" s="3">
        <v>46016.620716122685</v>
      </c>
      <c r="I18" s="4" t="s">
        <v>67</v>
      </c>
      <c r="J18" t="s">
        <v>170</v>
      </c>
      <c r="K18" t="s">
        <v>67</v>
      </c>
      <c r="L18" t="s">
        <v>161</v>
      </c>
      <c r="M18" t="s">
        <v>162</v>
      </c>
      <c r="N18" t="s">
        <v>67</v>
      </c>
      <c r="O18" t="s">
        <v>163</v>
      </c>
      <c r="P18" t="s">
        <v>164</v>
      </c>
      <c r="S18" s="5"/>
      <c r="T18" t="s">
        <v>72</v>
      </c>
      <c r="U18" t="s">
        <v>102</v>
      </c>
      <c r="V18" t="s">
        <v>74</v>
      </c>
      <c r="W18" t="s">
        <v>87</v>
      </c>
      <c r="AE18" s="2"/>
      <c r="AF18" s="2"/>
      <c r="AG18" s="2"/>
      <c r="AH18" s="2"/>
      <c r="AK18" t="s">
        <v>165</v>
      </c>
      <c r="AL18" s="2">
        <v>1695750</v>
      </c>
      <c r="AM18" s="2">
        <v>0</v>
      </c>
      <c r="AN18" s="2"/>
      <c r="AO18" s="2">
        <v>0</v>
      </c>
      <c r="AP18" s="2">
        <v>1695750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4"/>
      <c r="AX18" t="s">
        <v>75</v>
      </c>
      <c r="AZ18" t="s">
        <v>174</v>
      </c>
      <c r="BA18" t="s">
        <v>67</v>
      </c>
      <c r="BB18" t="s">
        <v>175</v>
      </c>
      <c r="BC18" t="s">
        <v>176</v>
      </c>
      <c r="BD18" t="s">
        <v>79</v>
      </c>
      <c r="BE18" t="s">
        <v>177</v>
      </c>
      <c r="BF18" s="5">
        <v>47027</v>
      </c>
      <c r="BG18" t="s">
        <v>67</v>
      </c>
      <c r="BH18">
        <v>1</v>
      </c>
      <c r="BI18" s="6">
        <v>1750000</v>
      </c>
      <c r="BJ18" s="6">
        <v>43</v>
      </c>
      <c r="BK18" s="6">
        <v>752500</v>
      </c>
      <c r="BL18" s="6">
        <v>997500</v>
      </c>
      <c r="BM18" s="2">
        <v>997500</v>
      </c>
      <c r="BN18">
        <f>InvoiceTable[[#This Row],[Giảm giá]]*InvoiceTable[[#This Row],[Số lượng]]</f>
        <v>752500</v>
      </c>
    </row>
    <row r="19" spans="1:66" x14ac:dyDescent="0.25">
      <c r="A19" t="s">
        <v>65</v>
      </c>
      <c r="B19" t="s">
        <v>178</v>
      </c>
      <c r="F19" s="2"/>
      <c r="G19" s="3">
        <v>46016.619999074072</v>
      </c>
      <c r="H19" s="3">
        <v>46016.619999189817</v>
      </c>
      <c r="I19" s="4" t="s">
        <v>67</v>
      </c>
      <c r="J19" t="s">
        <v>179</v>
      </c>
      <c r="K19" t="s">
        <v>67</v>
      </c>
      <c r="L19" t="s">
        <v>180</v>
      </c>
      <c r="M19" t="s">
        <v>181</v>
      </c>
      <c r="N19" t="s">
        <v>67</v>
      </c>
      <c r="O19" t="s">
        <v>182</v>
      </c>
      <c r="P19" t="s">
        <v>183</v>
      </c>
      <c r="S19" s="5"/>
      <c r="T19" t="s">
        <v>72</v>
      </c>
      <c r="U19" t="s">
        <v>73</v>
      </c>
      <c r="V19" t="s">
        <v>74</v>
      </c>
      <c r="W19" t="s">
        <v>87</v>
      </c>
      <c r="AE19" s="2"/>
      <c r="AF19" s="2"/>
      <c r="AG19" s="2"/>
      <c r="AH19" s="2"/>
      <c r="AK19" t="s">
        <v>184</v>
      </c>
      <c r="AL19" s="2">
        <v>11226460</v>
      </c>
      <c r="AM19" s="2">
        <v>0</v>
      </c>
      <c r="AN19" s="2"/>
      <c r="AO19" s="2">
        <v>0</v>
      </c>
      <c r="AP19" s="2">
        <v>11226460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4"/>
      <c r="AX19" t="s">
        <v>75</v>
      </c>
      <c r="AZ19" t="s">
        <v>185</v>
      </c>
      <c r="BA19" t="s">
        <v>67</v>
      </c>
      <c r="BB19" t="s">
        <v>186</v>
      </c>
      <c r="BC19" t="s">
        <v>187</v>
      </c>
      <c r="BD19" t="s">
        <v>79</v>
      </c>
      <c r="BE19" t="s">
        <v>188</v>
      </c>
      <c r="BF19" s="5">
        <v>46905</v>
      </c>
      <c r="BH19">
        <v>2</v>
      </c>
      <c r="BI19" s="6">
        <v>230000</v>
      </c>
      <c r="BJ19" s="6">
        <v>50</v>
      </c>
      <c r="BK19" s="6">
        <v>115000</v>
      </c>
      <c r="BL19" s="6">
        <v>115000</v>
      </c>
      <c r="BM19" s="2">
        <v>230000</v>
      </c>
      <c r="BN19">
        <f>InvoiceTable[[#This Row],[Giảm giá]]*InvoiceTable[[#This Row],[Số lượng]]</f>
        <v>230000</v>
      </c>
    </row>
    <row r="20" spans="1:66" x14ac:dyDescent="0.25">
      <c r="A20" t="s">
        <v>65</v>
      </c>
      <c r="B20" t="s">
        <v>178</v>
      </c>
      <c r="F20" s="2"/>
      <c r="G20" s="3">
        <v>46016.619999074072</v>
      </c>
      <c r="H20" s="3">
        <v>46016.619999189817</v>
      </c>
      <c r="I20" s="4" t="s">
        <v>67</v>
      </c>
      <c r="J20" t="s">
        <v>179</v>
      </c>
      <c r="K20" t="s">
        <v>67</v>
      </c>
      <c r="L20" t="s">
        <v>180</v>
      </c>
      <c r="M20" t="s">
        <v>181</v>
      </c>
      <c r="N20" t="s">
        <v>67</v>
      </c>
      <c r="O20" t="s">
        <v>182</v>
      </c>
      <c r="P20" t="s">
        <v>183</v>
      </c>
      <c r="S20" s="5"/>
      <c r="T20" t="s">
        <v>72</v>
      </c>
      <c r="U20" t="s">
        <v>73</v>
      </c>
      <c r="V20" t="s">
        <v>74</v>
      </c>
      <c r="W20" t="s">
        <v>87</v>
      </c>
      <c r="AE20" s="2"/>
      <c r="AF20" s="2"/>
      <c r="AG20" s="2"/>
      <c r="AH20" s="2"/>
      <c r="AK20" t="s">
        <v>184</v>
      </c>
      <c r="AL20" s="2">
        <v>11226460</v>
      </c>
      <c r="AM20" s="2">
        <v>0</v>
      </c>
      <c r="AN20" s="2"/>
      <c r="AO20" s="2">
        <v>0</v>
      </c>
      <c r="AP20" s="2">
        <v>11226460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4"/>
      <c r="AX20" t="s">
        <v>75</v>
      </c>
      <c r="AZ20" t="s">
        <v>189</v>
      </c>
      <c r="BA20" t="s">
        <v>67</v>
      </c>
      <c r="BB20" t="s">
        <v>190</v>
      </c>
      <c r="BC20" t="s">
        <v>191</v>
      </c>
      <c r="BD20" t="s">
        <v>79</v>
      </c>
      <c r="BE20" t="s">
        <v>188</v>
      </c>
      <c r="BF20" s="5">
        <v>46905</v>
      </c>
      <c r="BH20">
        <v>2</v>
      </c>
      <c r="BI20" s="6">
        <v>972000</v>
      </c>
      <c r="BJ20" s="6">
        <v>42</v>
      </c>
      <c r="BK20" s="6">
        <v>408240</v>
      </c>
      <c r="BL20" s="6">
        <v>563760</v>
      </c>
      <c r="BM20" s="2">
        <v>1127520</v>
      </c>
      <c r="BN20">
        <f>InvoiceTable[[#This Row],[Giảm giá]]*InvoiceTable[[#This Row],[Số lượng]]</f>
        <v>816480</v>
      </c>
    </row>
    <row r="21" spans="1:66" x14ac:dyDescent="0.25">
      <c r="A21" t="s">
        <v>65</v>
      </c>
      <c r="B21" t="s">
        <v>178</v>
      </c>
      <c r="F21" s="2"/>
      <c r="G21" s="3">
        <v>46016.619999074072</v>
      </c>
      <c r="H21" s="3">
        <v>46016.619999189817</v>
      </c>
      <c r="I21" s="4" t="s">
        <v>67</v>
      </c>
      <c r="J21" t="s">
        <v>179</v>
      </c>
      <c r="K21" t="s">
        <v>67</v>
      </c>
      <c r="L21" t="s">
        <v>180</v>
      </c>
      <c r="M21" t="s">
        <v>181</v>
      </c>
      <c r="N21" t="s">
        <v>67</v>
      </c>
      <c r="O21" t="s">
        <v>182</v>
      </c>
      <c r="P21" t="s">
        <v>183</v>
      </c>
      <c r="S21" s="5"/>
      <c r="T21" t="s">
        <v>72</v>
      </c>
      <c r="U21" t="s">
        <v>73</v>
      </c>
      <c r="V21" t="s">
        <v>74</v>
      </c>
      <c r="W21" t="s">
        <v>87</v>
      </c>
      <c r="AE21" s="2"/>
      <c r="AF21" s="2"/>
      <c r="AG21" s="2"/>
      <c r="AH21" s="2"/>
      <c r="AK21" t="s">
        <v>184</v>
      </c>
      <c r="AL21" s="2">
        <v>11226460</v>
      </c>
      <c r="AM21" s="2">
        <v>0</v>
      </c>
      <c r="AN21" s="2"/>
      <c r="AO21" s="2">
        <v>0</v>
      </c>
      <c r="AP21" s="2">
        <v>11226460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4"/>
      <c r="AX21" t="s">
        <v>75</v>
      </c>
      <c r="AZ21" t="s">
        <v>192</v>
      </c>
      <c r="BA21" t="s">
        <v>67</v>
      </c>
      <c r="BB21" t="s">
        <v>193</v>
      </c>
      <c r="BC21" t="s">
        <v>194</v>
      </c>
      <c r="BD21" t="s">
        <v>79</v>
      </c>
      <c r="BE21" t="s">
        <v>195</v>
      </c>
      <c r="BF21" s="5">
        <v>46419</v>
      </c>
      <c r="BH21">
        <v>7</v>
      </c>
      <c r="BI21" s="6">
        <v>250000</v>
      </c>
      <c r="BJ21" s="6">
        <v>0</v>
      </c>
      <c r="BK21" s="6">
        <v>140000</v>
      </c>
      <c r="BL21" s="6">
        <v>110000</v>
      </c>
      <c r="BM21" s="2">
        <v>770000</v>
      </c>
      <c r="BN21">
        <f>InvoiceTable[[#This Row],[Giảm giá]]*InvoiceTable[[#This Row],[Số lượng]]</f>
        <v>980000</v>
      </c>
    </row>
    <row r="22" spans="1:66" x14ac:dyDescent="0.25">
      <c r="A22" t="s">
        <v>65</v>
      </c>
      <c r="B22" t="s">
        <v>178</v>
      </c>
      <c r="F22" s="2"/>
      <c r="G22" s="3">
        <v>46016.619999074072</v>
      </c>
      <c r="H22" s="3">
        <v>46016.619999189817</v>
      </c>
      <c r="I22" s="4" t="s">
        <v>67</v>
      </c>
      <c r="J22" t="s">
        <v>179</v>
      </c>
      <c r="K22" t="s">
        <v>67</v>
      </c>
      <c r="L22" t="s">
        <v>180</v>
      </c>
      <c r="M22" t="s">
        <v>181</v>
      </c>
      <c r="N22" t="s">
        <v>67</v>
      </c>
      <c r="O22" t="s">
        <v>182</v>
      </c>
      <c r="P22" t="s">
        <v>183</v>
      </c>
      <c r="S22" s="5"/>
      <c r="T22" t="s">
        <v>72</v>
      </c>
      <c r="U22" t="s">
        <v>73</v>
      </c>
      <c r="V22" t="s">
        <v>74</v>
      </c>
      <c r="W22" t="s">
        <v>87</v>
      </c>
      <c r="AE22" s="2"/>
      <c r="AF22" s="2"/>
      <c r="AG22" s="2"/>
      <c r="AH22" s="2"/>
      <c r="AK22" t="s">
        <v>184</v>
      </c>
      <c r="AL22" s="2">
        <v>11226460</v>
      </c>
      <c r="AM22" s="2">
        <v>0</v>
      </c>
      <c r="AN22" s="2"/>
      <c r="AO22" s="2">
        <v>0</v>
      </c>
      <c r="AP22" s="2">
        <v>11226460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4"/>
      <c r="AX22" t="s">
        <v>75</v>
      </c>
      <c r="AZ22" t="s">
        <v>196</v>
      </c>
      <c r="BA22" t="s">
        <v>67</v>
      </c>
      <c r="BB22" t="s">
        <v>197</v>
      </c>
      <c r="BC22" t="s">
        <v>191</v>
      </c>
      <c r="BD22" t="s">
        <v>79</v>
      </c>
      <c r="BE22" t="s">
        <v>198</v>
      </c>
      <c r="BF22" s="5">
        <v>46753</v>
      </c>
      <c r="BH22">
        <v>2</v>
      </c>
      <c r="BI22" s="6">
        <v>486000</v>
      </c>
      <c r="BJ22" s="6">
        <v>42</v>
      </c>
      <c r="BK22" s="6">
        <v>204120</v>
      </c>
      <c r="BL22" s="6">
        <v>281880</v>
      </c>
      <c r="BM22" s="2">
        <v>563760</v>
      </c>
      <c r="BN22">
        <f>InvoiceTable[[#This Row],[Giảm giá]]*InvoiceTable[[#This Row],[Số lượng]]</f>
        <v>408240</v>
      </c>
    </row>
    <row r="23" spans="1:66" x14ac:dyDescent="0.25">
      <c r="A23" t="s">
        <v>65</v>
      </c>
      <c r="B23" t="s">
        <v>178</v>
      </c>
      <c r="F23" s="2"/>
      <c r="G23" s="3">
        <v>46016.619999074072</v>
      </c>
      <c r="H23" s="3">
        <v>46016.619999189817</v>
      </c>
      <c r="I23" s="4" t="s">
        <v>67</v>
      </c>
      <c r="J23" t="s">
        <v>179</v>
      </c>
      <c r="K23" t="s">
        <v>67</v>
      </c>
      <c r="L23" t="s">
        <v>180</v>
      </c>
      <c r="M23" t="s">
        <v>181</v>
      </c>
      <c r="N23" t="s">
        <v>67</v>
      </c>
      <c r="O23" t="s">
        <v>182</v>
      </c>
      <c r="P23" t="s">
        <v>183</v>
      </c>
      <c r="S23" s="5"/>
      <c r="T23" t="s">
        <v>72</v>
      </c>
      <c r="U23" t="s">
        <v>73</v>
      </c>
      <c r="V23" t="s">
        <v>74</v>
      </c>
      <c r="W23" t="s">
        <v>87</v>
      </c>
      <c r="AE23" s="2"/>
      <c r="AF23" s="2"/>
      <c r="AG23" s="2"/>
      <c r="AH23" s="2"/>
      <c r="AK23" t="s">
        <v>184</v>
      </c>
      <c r="AL23" s="2">
        <v>11226460</v>
      </c>
      <c r="AM23" s="2">
        <v>0</v>
      </c>
      <c r="AN23" s="2"/>
      <c r="AO23" s="2">
        <v>0</v>
      </c>
      <c r="AP23" s="2">
        <v>11226460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4"/>
      <c r="AX23" t="s">
        <v>75</v>
      </c>
      <c r="AZ23" t="s">
        <v>199</v>
      </c>
      <c r="BA23" t="s">
        <v>67</v>
      </c>
      <c r="BB23" t="s">
        <v>200</v>
      </c>
      <c r="BC23" t="s">
        <v>187</v>
      </c>
      <c r="BD23" t="s">
        <v>79</v>
      </c>
      <c r="BE23" t="s">
        <v>201</v>
      </c>
      <c r="BF23" s="5">
        <v>46966</v>
      </c>
      <c r="BH23">
        <v>3</v>
      </c>
      <c r="BI23" s="6">
        <v>360000</v>
      </c>
      <c r="BJ23" s="6">
        <v>50</v>
      </c>
      <c r="BK23" s="6">
        <v>180000</v>
      </c>
      <c r="BL23" s="6">
        <v>180000</v>
      </c>
      <c r="BM23" s="2">
        <v>540000</v>
      </c>
      <c r="BN23">
        <f>InvoiceTable[[#This Row],[Giảm giá]]*InvoiceTable[[#This Row],[Số lượng]]</f>
        <v>540000</v>
      </c>
    </row>
    <row r="24" spans="1:66" x14ac:dyDescent="0.25">
      <c r="A24" t="s">
        <v>65</v>
      </c>
      <c r="B24" t="s">
        <v>178</v>
      </c>
      <c r="F24" s="2"/>
      <c r="G24" s="3">
        <v>46016.619999074072</v>
      </c>
      <c r="H24" s="3">
        <v>46016.619999189817</v>
      </c>
      <c r="I24" s="4" t="s">
        <v>67</v>
      </c>
      <c r="J24" t="s">
        <v>179</v>
      </c>
      <c r="K24" t="s">
        <v>67</v>
      </c>
      <c r="L24" t="s">
        <v>180</v>
      </c>
      <c r="M24" t="s">
        <v>181</v>
      </c>
      <c r="N24" t="s">
        <v>67</v>
      </c>
      <c r="O24" t="s">
        <v>182</v>
      </c>
      <c r="P24" t="s">
        <v>183</v>
      </c>
      <c r="S24" s="5"/>
      <c r="T24" t="s">
        <v>72</v>
      </c>
      <c r="U24" t="s">
        <v>73</v>
      </c>
      <c r="V24" t="s">
        <v>74</v>
      </c>
      <c r="W24" t="s">
        <v>87</v>
      </c>
      <c r="AE24" s="2"/>
      <c r="AF24" s="2"/>
      <c r="AG24" s="2"/>
      <c r="AH24" s="2"/>
      <c r="AK24" t="s">
        <v>184</v>
      </c>
      <c r="AL24" s="2">
        <v>11226460</v>
      </c>
      <c r="AM24" s="2">
        <v>0</v>
      </c>
      <c r="AN24" s="2"/>
      <c r="AO24" s="2">
        <v>0</v>
      </c>
      <c r="AP24" s="2">
        <v>11226460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4"/>
      <c r="AX24" t="s">
        <v>75</v>
      </c>
      <c r="AZ24" t="s">
        <v>202</v>
      </c>
      <c r="BA24" t="s">
        <v>67</v>
      </c>
      <c r="BB24" t="s">
        <v>203</v>
      </c>
      <c r="BC24" t="s">
        <v>204</v>
      </c>
      <c r="BD24" t="s">
        <v>79</v>
      </c>
      <c r="BE24" t="s">
        <v>205</v>
      </c>
      <c r="BF24" s="5">
        <v>47453</v>
      </c>
      <c r="BH24">
        <v>1</v>
      </c>
      <c r="BI24" s="6">
        <v>380000</v>
      </c>
      <c r="BJ24" s="6">
        <v>35</v>
      </c>
      <c r="BK24" s="6">
        <v>133000</v>
      </c>
      <c r="BL24" s="6">
        <v>247000</v>
      </c>
      <c r="BM24" s="2">
        <v>247000</v>
      </c>
      <c r="BN24">
        <f>InvoiceTable[[#This Row],[Giảm giá]]*InvoiceTable[[#This Row],[Số lượng]]</f>
        <v>133000</v>
      </c>
    </row>
    <row r="25" spans="1:66" x14ac:dyDescent="0.25">
      <c r="A25" t="s">
        <v>65</v>
      </c>
      <c r="B25" t="s">
        <v>178</v>
      </c>
      <c r="F25" s="2"/>
      <c r="G25" s="3">
        <v>46016.619999074072</v>
      </c>
      <c r="H25" s="3">
        <v>46016.619999189817</v>
      </c>
      <c r="I25" s="4" t="s">
        <v>67</v>
      </c>
      <c r="J25" t="s">
        <v>179</v>
      </c>
      <c r="K25" t="s">
        <v>67</v>
      </c>
      <c r="L25" t="s">
        <v>180</v>
      </c>
      <c r="M25" t="s">
        <v>181</v>
      </c>
      <c r="N25" t="s">
        <v>67</v>
      </c>
      <c r="O25" t="s">
        <v>182</v>
      </c>
      <c r="P25" t="s">
        <v>183</v>
      </c>
      <c r="S25" s="5"/>
      <c r="T25" t="s">
        <v>72</v>
      </c>
      <c r="U25" t="s">
        <v>73</v>
      </c>
      <c r="V25" t="s">
        <v>74</v>
      </c>
      <c r="W25" t="s">
        <v>87</v>
      </c>
      <c r="AE25" s="2"/>
      <c r="AF25" s="2"/>
      <c r="AG25" s="2"/>
      <c r="AH25" s="2"/>
      <c r="AK25" t="s">
        <v>184</v>
      </c>
      <c r="AL25" s="2">
        <v>11226460</v>
      </c>
      <c r="AM25" s="2">
        <v>0</v>
      </c>
      <c r="AN25" s="2"/>
      <c r="AO25" s="2">
        <v>0</v>
      </c>
      <c r="AP25" s="2">
        <v>11226460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4"/>
      <c r="AX25" t="s">
        <v>75</v>
      </c>
      <c r="AZ25" t="s">
        <v>206</v>
      </c>
      <c r="BB25" t="s">
        <v>207</v>
      </c>
      <c r="BC25" t="s">
        <v>208</v>
      </c>
      <c r="BD25" t="s">
        <v>79</v>
      </c>
      <c r="BE25" t="s">
        <v>209</v>
      </c>
      <c r="BF25" s="5">
        <v>46538</v>
      </c>
      <c r="BG25" t="s">
        <v>67</v>
      </c>
      <c r="BH25">
        <v>2</v>
      </c>
      <c r="BI25" s="6">
        <v>387000</v>
      </c>
      <c r="BJ25" s="6">
        <v>28</v>
      </c>
      <c r="BK25" s="6">
        <v>108360</v>
      </c>
      <c r="BL25" s="6">
        <v>278640</v>
      </c>
      <c r="BM25" s="2">
        <v>557280</v>
      </c>
      <c r="BN25">
        <f>InvoiceTable[[#This Row],[Giảm giá]]*InvoiceTable[[#This Row],[Số lượng]]</f>
        <v>216720</v>
      </c>
    </row>
    <row r="26" spans="1:66" x14ac:dyDescent="0.25">
      <c r="A26" t="s">
        <v>65</v>
      </c>
      <c r="B26" t="s">
        <v>178</v>
      </c>
      <c r="F26" s="2"/>
      <c r="G26" s="3">
        <v>46016.619999074072</v>
      </c>
      <c r="H26" s="3">
        <v>46016.619999189817</v>
      </c>
      <c r="I26" s="4" t="s">
        <v>67</v>
      </c>
      <c r="J26" t="s">
        <v>179</v>
      </c>
      <c r="K26" t="s">
        <v>67</v>
      </c>
      <c r="L26" t="s">
        <v>180</v>
      </c>
      <c r="M26" t="s">
        <v>181</v>
      </c>
      <c r="N26" t="s">
        <v>67</v>
      </c>
      <c r="O26" t="s">
        <v>182</v>
      </c>
      <c r="P26" t="s">
        <v>183</v>
      </c>
      <c r="S26" s="5"/>
      <c r="T26" t="s">
        <v>72</v>
      </c>
      <c r="U26" t="s">
        <v>73</v>
      </c>
      <c r="V26" t="s">
        <v>74</v>
      </c>
      <c r="W26" t="s">
        <v>87</v>
      </c>
      <c r="AE26" s="2"/>
      <c r="AF26" s="2"/>
      <c r="AG26" s="2"/>
      <c r="AH26" s="2"/>
      <c r="AK26" t="s">
        <v>184</v>
      </c>
      <c r="AL26" s="2">
        <v>11226460</v>
      </c>
      <c r="AM26" s="2">
        <v>0</v>
      </c>
      <c r="AN26" s="2"/>
      <c r="AO26" s="2">
        <v>0</v>
      </c>
      <c r="AP26" s="2">
        <v>11226460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4"/>
      <c r="AX26" t="s">
        <v>75</v>
      </c>
      <c r="AZ26" t="s">
        <v>210</v>
      </c>
      <c r="BA26" t="s">
        <v>67</v>
      </c>
      <c r="BB26" t="s">
        <v>211</v>
      </c>
      <c r="BC26" t="s">
        <v>212</v>
      </c>
      <c r="BD26" t="s">
        <v>79</v>
      </c>
      <c r="BE26" t="s">
        <v>145</v>
      </c>
      <c r="BF26" s="5">
        <v>46508</v>
      </c>
      <c r="BH26">
        <v>2</v>
      </c>
      <c r="BI26" s="6">
        <v>590000</v>
      </c>
      <c r="BJ26" s="6">
        <v>35</v>
      </c>
      <c r="BK26" s="6">
        <v>206500</v>
      </c>
      <c r="BL26" s="6">
        <v>383500</v>
      </c>
      <c r="BM26" s="2">
        <v>767000</v>
      </c>
      <c r="BN26">
        <f>InvoiceTable[[#This Row],[Giảm giá]]*InvoiceTable[[#This Row],[Số lượng]]</f>
        <v>413000</v>
      </c>
    </row>
    <row r="27" spans="1:66" x14ac:dyDescent="0.25">
      <c r="A27" t="s">
        <v>65</v>
      </c>
      <c r="B27" t="s">
        <v>178</v>
      </c>
      <c r="F27" s="2"/>
      <c r="G27" s="3">
        <v>46016.619999074072</v>
      </c>
      <c r="H27" s="3">
        <v>46016.619999189817</v>
      </c>
      <c r="I27" s="4" t="s">
        <v>67</v>
      </c>
      <c r="J27" t="s">
        <v>179</v>
      </c>
      <c r="K27" t="s">
        <v>67</v>
      </c>
      <c r="L27" t="s">
        <v>180</v>
      </c>
      <c r="M27" t="s">
        <v>181</v>
      </c>
      <c r="N27" t="s">
        <v>67</v>
      </c>
      <c r="O27" t="s">
        <v>182</v>
      </c>
      <c r="P27" t="s">
        <v>183</v>
      </c>
      <c r="S27" s="5"/>
      <c r="T27" t="s">
        <v>72</v>
      </c>
      <c r="U27" t="s">
        <v>73</v>
      </c>
      <c r="V27" t="s">
        <v>74</v>
      </c>
      <c r="W27" t="s">
        <v>87</v>
      </c>
      <c r="AE27" s="2"/>
      <c r="AF27" s="2"/>
      <c r="AG27" s="2"/>
      <c r="AH27" s="2"/>
      <c r="AK27" t="s">
        <v>184</v>
      </c>
      <c r="AL27" s="2">
        <v>11226460</v>
      </c>
      <c r="AM27" s="2">
        <v>0</v>
      </c>
      <c r="AN27" s="2"/>
      <c r="AO27" s="2">
        <v>0</v>
      </c>
      <c r="AP27" s="2">
        <v>11226460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4"/>
      <c r="AX27" t="s">
        <v>75</v>
      </c>
      <c r="AZ27" t="s">
        <v>213</v>
      </c>
      <c r="BA27" t="s">
        <v>67</v>
      </c>
      <c r="BB27" t="s">
        <v>214</v>
      </c>
      <c r="BC27" t="s">
        <v>215</v>
      </c>
      <c r="BD27" t="s">
        <v>79</v>
      </c>
      <c r="BE27" t="s">
        <v>216</v>
      </c>
      <c r="BF27" s="5">
        <v>46784</v>
      </c>
      <c r="BH27">
        <v>1</v>
      </c>
      <c r="BI27" s="6">
        <v>760000</v>
      </c>
      <c r="BJ27" s="6">
        <v>50</v>
      </c>
      <c r="BK27" s="6">
        <v>380000</v>
      </c>
      <c r="BL27" s="6">
        <v>380000</v>
      </c>
      <c r="BM27" s="2">
        <v>380000</v>
      </c>
      <c r="BN27">
        <f>InvoiceTable[[#This Row],[Giảm giá]]*InvoiceTable[[#This Row],[Số lượng]]</f>
        <v>380000</v>
      </c>
    </row>
    <row r="28" spans="1:66" x14ac:dyDescent="0.25">
      <c r="A28" t="s">
        <v>65</v>
      </c>
      <c r="B28" t="s">
        <v>178</v>
      </c>
      <c r="F28" s="2"/>
      <c r="G28" s="3">
        <v>46016.619999074072</v>
      </c>
      <c r="H28" s="3">
        <v>46016.619999189817</v>
      </c>
      <c r="I28" s="4" t="s">
        <v>67</v>
      </c>
      <c r="J28" t="s">
        <v>179</v>
      </c>
      <c r="K28" t="s">
        <v>67</v>
      </c>
      <c r="L28" t="s">
        <v>180</v>
      </c>
      <c r="M28" t="s">
        <v>181</v>
      </c>
      <c r="N28" t="s">
        <v>67</v>
      </c>
      <c r="O28" t="s">
        <v>182</v>
      </c>
      <c r="P28" t="s">
        <v>183</v>
      </c>
      <c r="S28" s="5"/>
      <c r="T28" t="s">
        <v>72</v>
      </c>
      <c r="U28" t="s">
        <v>73</v>
      </c>
      <c r="V28" t="s">
        <v>74</v>
      </c>
      <c r="W28" t="s">
        <v>87</v>
      </c>
      <c r="AE28" s="2"/>
      <c r="AF28" s="2"/>
      <c r="AG28" s="2"/>
      <c r="AH28" s="2"/>
      <c r="AK28" t="s">
        <v>184</v>
      </c>
      <c r="AL28" s="2">
        <v>11226460</v>
      </c>
      <c r="AM28" s="2">
        <v>0</v>
      </c>
      <c r="AN28" s="2"/>
      <c r="AO28" s="2">
        <v>0</v>
      </c>
      <c r="AP28" s="2">
        <v>11226460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4"/>
      <c r="AX28" t="s">
        <v>75</v>
      </c>
      <c r="AZ28" t="s">
        <v>213</v>
      </c>
      <c r="BA28" t="s">
        <v>67</v>
      </c>
      <c r="BB28" t="s">
        <v>214</v>
      </c>
      <c r="BC28" t="s">
        <v>215</v>
      </c>
      <c r="BD28" t="s">
        <v>79</v>
      </c>
      <c r="BE28" t="s">
        <v>217</v>
      </c>
      <c r="BF28" s="5">
        <v>46837</v>
      </c>
      <c r="BG28" t="s">
        <v>67</v>
      </c>
      <c r="BH28">
        <v>6</v>
      </c>
      <c r="BI28" s="6">
        <v>760000</v>
      </c>
      <c r="BJ28" s="6">
        <v>50</v>
      </c>
      <c r="BK28" s="6">
        <v>380000</v>
      </c>
      <c r="BL28" s="6">
        <v>380000</v>
      </c>
      <c r="BM28" s="2">
        <v>2280000</v>
      </c>
      <c r="BN28">
        <f>InvoiceTable[[#This Row],[Giảm giá]]*InvoiceTable[[#This Row],[Số lượng]]</f>
        <v>2280000</v>
      </c>
    </row>
    <row r="29" spans="1:66" x14ac:dyDescent="0.25">
      <c r="A29" t="s">
        <v>65</v>
      </c>
      <c r="B29" t="s">
        <v>178</v>
      </c>
      <c r="F29" s="2"/>
      <c r="G29" s="3">
        <v>46016.619999074072</v>
      </c>
      <c r="H29" s="3">
        <v>46016.619999189817</v>
      </c>
      <c r="I29" s="4" t="s">
        <v>67</v>
      </c>
      <c r="J29" t="s">
        <v>179</v>
      </c>
      <c r="K29" t="s">
        <v>67</v>
      </c>
      <c r="L29" t="s">
        <v>180</v>
      </c>
      <c r="M29" t="s">
        <v>181</v>
      </c>
      <c r="N29" t="s">
        <v>67</v>
      </c>
      <c r="O29" t="s">
        <v>182</v>
      </c>
      <c r="P29" t="s">
        <v>183</v>
      </c>
      <c r="S29" s="5"/>
      <c r="T29" t="s">
        <v>72</v>
      </c>
      <c r="U29" t="s">
        <v>73</v>
      </c>
      <c r="V29" t="s">
        <v>74</v>
      </c>
      <c r="W29" t="s">
        <v>87</v>
      </c>
      <c r="AE29" s="2"/>
      <c r="AF29" s="2"/>
      <c r="AG29" s="2"/>
      <c r="AH29" s="2"/>
      <c r="AK29" t="s">
        <v>184</v>
      </c>
      <c r="AL29" s="2">
        <v>11226460</v>
      </c>
      <c r="AM29" s="2">
        <v>0</v>
      </c>
      <c r="AN29" s="2"/>
      <c r="AO29" s="2">
        <v>0</v>
      </c>
      <c r="AP29" s="2">
        <v>11226460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4"/>
      <c r="AX29" t="s">
        <v>75</v>
      </c>
      <c r="AZ29" t="s">
        <v>218</v>
      </c>
      <c r="BA29" t="s">
        <v>67</v>
      </c>
      <c r="BB29" t="s">
        <v>219</v>
      </c>
      <c r="BC29" t="s">
        <v>204</v>
      </c>
      <c r="BD29" t="s">
        <v>79</v>
      </c>
      <c r="BE29" t="s">
        <v>220</v>
      </c>
      <c r="BF29" s="5">
        <v>47178</v>
      </c>
      <c r="BH29">
        <v>4</v>
      </c>
      <c r="BI29" s="6">
        <v>760000</v>
      </c>
      <c r="BJ29" s="6">
        <v>35</v>
      </c>
      <c r="BK29" s="6">
        <v>266000</v>
      </c>
      <c r="BL29" s="6">
        <v>494000</v>
      </c>
      <c r="BM29" s="2">
        <v>1976000</v>
      </c>
      <c r="BN29">
        <f>InvoiceTable[[#This Row],[Giảm giá]]*InvoiceTable[[#This Row],[Số lượng]]</f>
        <v>1064000</v>
      </c>
    </row>
    <row r="30" spans="1:66" x14ac:dyDescent="0.25">
      <c r="A30" t="s">
        <v>65</v>
      </c>
      <c r="B30" t="s">
        <v>178</v>
      </c>
      <c r="F30" s="2"/>
      <c r="G30" s="3">
        <v>46016.619999074072</v>
      </c>
      <c r="H30" s="3">
        <v>46016.619999189817</v>
      </c>
      <c r="I30" s="4" t="s">
        <v>67</v>
      </c>
      <c r="J30" t="s">
        <v>179</v>
      </c>
      <c r="K30" t="s">
        <v>67</v>
      </c>
      <c r="L30" t="s">
        <v>180</v>
      </c>
      <c r="M30" t="s">
        <v>181</v>
      </c>
      <c r="N30" t="s">
        <v>67</v>
      </c>
      <c r="O30" t="s">
        <v>182</v>
      </c>
      <c r="P30" t="s">
        <v>183</v>
      </c>
      <c r="S30" s="5"/>
      <c r="T30" t="s">
        <v>72</v>
      </c>
      <c r="U30" t="s">
        <v>73</v>
      </c>
      <c r="V30" t="s">
        <v>74</v>
      </c>
      <c r="W30" t="s">
        <v>87</v>
      </c>
      <c r="AE30" s="2"/>
      <c r="AF30" s="2"/>
      <c r="AG30" s="2"/>
      <c r="AH30" s="2"/>
      <c r="AK30" t="s">
        <v>184</v>
      </c>
      <c r="AL30" s="2">
        <v>11226460</v>
      </c>
      <c r="AM30" s="2">
        <v>0</v>
      </c>
      <c r="AN30" s="2"/>
      <c r="AO30" s="2">
        <v>0</v>
      </c>
      <c r="AP30" s="2">
        <v>11226460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4"/>
      <c r="AX30" t="s">
        <v>75</v>
      </c>
      <c r="AZ30" t="s">
        <v>221</v>
      </c>
      <c r="BA30" t="s">
        <v>67</v>
      </c>
      <c r="BB30" t="s">
        <v>222</v>
      </c>
      <c r="BC30" t="s">
        <v>223</v>
      </c>
      <c r="BD30" t="s">
        <v>79</v>
      </c>
      <c r="BE30" t="s">
        <v>188</v>
      </c>
      <c r="BF30" s="5">
        <v>46905</v>
      </c>
      <c r="BH30">
        <v>1</v>
      </c>
      <c r="BI30" s="6">
        <v>2050000</v>
      </c>
      <c r="BJ30" s="6">
        <v>45</v>
      </c>
      <c r="BK30" s="6">
        <v>922500</v>
      </c>
      <c r="BL30" s="6">
        <v>1127500</v>
      </c>
      <c r="BM30" s="2">
        <v>1127500</v>
      </c>
      <c r="BN30">
        <f>InvoiceTable[[#This Row],[Giảm giá]]*InvoiceTable[[#This Row],[Số lượng]]</f>
        <v>922500</v>
      </c>
    </row>
    <row r="31" spans="1:66" x14ac:dyDescent="0.25">
      <c r="A31" t="s">
        <v>65</v>
      </c>
      <c r="B31" t="s">
        <v>178</v>
      </c>
      <c r="F31" s="2"/>
      <c r="G31" s="3">
        <v>46016.619999074072</v>
      </c>
      <c r="H31" s="3">
        <v>46016.619999189817</v>
      </c>
      <c r="I31" s="4" t="s">
        <v>67</v>
      </c>
      <c r="J31" t="s">
        <v>179</v>
      </c>
      <c r="K31" t="s">
        <v>67</v>
      </c>
      <c r="L31" t="s">
        <v>180</v>
      </c>
      <c r="M31" t="s">
        <v>181</v>
      </c>
      <c r="N31" t="s">
        <v>67</v>
      </c>
      <c r="O31" t="s">
        <v>182</v>
      </c>
      <c r="P31" t="s">
        <v>183</v>
      </c>
      <c r="S31" s="5"/>
      <c r="T31" t="s">
        <v>72</v>
      </c>
      <c r="U31" t="s">
        <v>73</v>
      </c>
      <c r="V31" t="s">
        <v>74</v>
      </c>
      <c r="W31" t="s">
        <v>87</v>
      </c>
      <c r="AE31" s="2"/>
      <c r="AF31" s="2"/>
      <c r="AG31" s="2"/>
      <c r="AH31" s="2"/>
      <c r="AK31" t="s">
        <v>184</v>
      </c>
      <c r="AL31" s="2">
        <v>11226460</v>
      </c>
      <c r="AM31" s="2">
        <v>0</v>
      </c>
      <c r="AN31" s="2"/>
      <c r="AO31" s="2">
        <v>0</v>
      </c>
      <c r="AP31" s="2">
        <v>11226460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4"/>
      <c r="AX31" t="s">
        <v>75</v>
      </c>
      <c r="AZ31" t="s">
        <v>224</v>
      </c>
      <c r="BA31" t="s">
        <v>67</v>
      </c>
      <c r="BB31" t="s">
        <v>225</v>
      </c>
      <c r="BC31" t="s">
        <v>93</v>
      </c>
      <c r="BD31" t="s">
        <v>79</v>
      </c>
      <c r="BE31" t="s">
        <v>216</v>
      </c>
      <c r="BF31" s="5">
        <v>46784</v>
      </c>
      <c r="BH31">
        <v>1</v>
      </c>
      <c r="BI31" s="6">
        <v>471000</v>
      </c>
      <c r="BJ31" s="6">
        <v>35</v>
      </c>
      <c r="BK31" s="6">
        <v>164850</v>
      </c>
      <c r="BL31" s="6">
        <v>306150</v>
      </c>
      <c r="BM31" s="2">
        <v>306150</v>
      </c>
      <c r="BN31">
        <f>InvoiceTable[[#This Row],[Giảm giá]]*InvoiceTable[[#This Row],[Số lượng]]</f>
        <v>164850</v>
      </c>
    </row>
    <row r="32" spans="1:66" x14ac:dyDescent="0.25">
      <c r="A32" t="s">
        <v>65</v>
      </c>
      <c r="B32" t="s">
        <v>178</v>
      </c>
      <c r="F32" s="2"/>
      <c r="G32" s="3">
        <v>46016.619999074072</v>
      </c>
      <c r="H32" s="3">
        <v>46016.619999189817</v>
      </c>
      <c r="I32" s="4" t="s">
        <v>67</v>
      </c>
      <c r="J32" t="s">
        <v>179</v>
      </c>
      <c r="K32" t="s">
        <v>67</v>
      </c>
      <c r="L32" t="s">
        <v>180</v>
      </c>
      <c r="M32" t="s">
        <v>181</v>
      </c>
      <c r="N32" t="s">
        <v>67</v>
      </c>
      <c r="O32" t="s">
        <v>182</v>
      </c>
      <c r="P32" t="s">
        <v>183</v>
      </c>
      <c r="S32" s="5"/>
      <c r="T32" t="s">
        <v>72</v>
      </c>
      <c r="U32" t="s">
        <v>73</v>
      </c>
      <c r="V32" t="s">
        <v>74</v>
      </c>
      <c r="W32" t="s">
        <v>87</v>
      </c>
      <c r="AE32" s="2"/>
      <c r="AF32" s="2"/>
      <c r="AG32" s="2"/>
      <c r="AH32" s="2"/>
      <c r="AK32" t="s">
        <v>184</v>
      </c>
      <c r="AL32" s="2">
        <v>11226460</v>
      </c>
      <c r="AM32" s="2">
        <v>0</v>
      </c>
      <c r="AN32" s="2"/>
      <c r="AO32" s="2">
        <v>0</v>
      </c>
      <c r="AP32" s="2">
        <v>11226460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4"/>
      <c r="AX32" t="s">
        <v>75</v>
      </c>
      <c r="AZ32" t="s">
        <v>226</v>
      </c>
      <c r="BA32" t="s">
        <v>67</v>
      </c>
      <c r="BB32" t="s">
        <v>227</v>
      </c>
      <c r="BC32" t="s">
        <v>93</v>
      </c>
      <c r="BD32" t="s">
        <v>79</v>
      </c>
      <c r="BE32" t="s">
        <v>228</v>
      </c>
      <c r="BF32" s="5">
        <v>46813</v>
      </c>
      <c r="BH32">
        <v>1</v>
      </c>
      <c r="BI32" s="6">
        <v>545000</v>
      </c>
      <c r="BJ32" s="6">
        <v>35</v>
      </c>
      <c r="BK32" s="6">
        <v>190750</v>
      </c>
      <c r="BL32" s="6">
        <v>354250</v>
      </c>
      <c r="BM32" s="2">
        <v>354250</v>
      </c>
      <c r="BN32">
        <f>InvoiceTable[[#This Row],[Giảm giá]]*InvoiceTable[[#This Row],[Số lượng]]</f>
        <v>190750</v>
      </c>
    </row>
    <row r="33" spans="1:66" x14ac:dyDescent="0.25">
      <c r="A33" t="s">
        <v>65</v>
      </c>
      <c r="B33" t="s">
        <v>229</v>
      </c>
      <c r="F33" s="2"/>
      <c r="G33" s="3">
        <v>46016.619850312498</v>
      </c>
      <c r="H33" s="3">
        <v>46016.619850543982</v>
      </c>
      <c r="I33" s="4" t="s">
        <v>67</v>
      </c>
      <c r="J33" t="s">
        <v>230</v>
      </c>
      <c r="K33" t="s">
        <v>67</v>
      </c>
      <c r="L33" t="s">
        <v>231</v>
      </c>
      <c r="M33" t="s">
        <v>232</v>
      </c>
      <c r="N33" t="s">
        <v>67</v>
      </c>
      <c r="O33" t="s">
        <v>233</v>
      </c>
      <c r="P33" t="s">
        <v>234</v>
      </c>
      <c r="S33" s="5"/>
      <c r="T33" t="s">
        <v>72</v>
      </c>
      <c r="U33" t="s">
        <v>73</v>
      </c>
      <c r="V33" t="s">
        <v>74</v>
      </c>
      <c r="W33" t="s">
        <v>87</v>
      </c>
      <c r="AE33" s="2"/>
      <c r="AF33" s="2"/>
      <c r="AG33" s="2"/>
      <c r="AH33" s="2"/>
      <c r="AK33" t="s">
        <v>67</v>
      </c>
      <c r="AL33" s="2">
        <v>952560</v>
      </c>
      <c r="AM33" s="2">
        <v>0</v>
      </c>
      <c r="AN33" s="2"/>
      <c r="AO33" s="2">
        <v>0</v>
      </c>
      <c r="AP33" s="2">
        <v>952560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4"/>
      <c r="AX33" t="s">
        <v>75</v>
      </c>
      <c r="AZ33" t="s">
        <v>235</v>
      </c>
      <c r="BA33" t="s">
        <v>67</v>
      </c>
      <c r="BB33" t="s">
        <v>236</v>
      </c>
      <c r="BC33" t="s">
        <v>237</v>
      </c>
      <c r="BD33" t="s">
        <v>79</v>
      </c>
      <c r="BE33" t="s">
        <v>159</v>
      </c>
      <c r="BF33" s="5">
        <v>46478</v>
      </c>
      <c r="BG33" t="s">
        <v>67</v>
      </c>
      <c r="BH33">
        <v>1</v>
      </c>
      <c r="BI33" s="6">
        <v>1512000</v>
      </c>
      <c r="BJ33" s="6">
        <v>37</v>
      </c>
      <c r="BK33" s="6">
        <v>559440</v>
      </c>
      <c r="BL33" s="6">
        <v>952560</v>
      </c>
      <c r="BM33" s="2">
        <v>952560</v>
      </c>
      <c r="BN33">
        <f>InvoiceTable[[#This Row],[Giảm giá]]*InvoiceTable[[#This Row],[Số lượng]]</f>
        <v>559440</v>
      </c>
    </row>
    <row r="34" spans="1:66" x14ac:dyDescent="0.25">
      <c r="A34" t="s">
        <v>65</v>
      </c>
      <c r="B34" t="s">
        <v>238</v>
      </c>
      <c r="F34" s="2"/>
      <c r="G34" s="3">
        <v>46016.619539270832</v>
      </c>
      <c r="H34" s="3">
        <v>46016.619539618056</v>
      </c>
      <c r="I34" s="4" t="s">
        <v>67</v>
      </c>
      <c r="J34" t="s">
        <v>239</v>
      </c>
      <c r="K34" t="s">
        <v>67</v>
      </c>
      <c r="L34" t="s">
        <v>180</v>
      </c>
      <c r="M34" t="s">
        <v>181</v>
      </c>
      <c r="N34" t="s">
        <v>67</v>
      </c>
      <c r="O34" t="s">
        <v>182</v>
      </c>
      <c r="P34" t="s">
        <v>183</v>
      </c>
      <c r="S34" s="5"/>
      <c r="T34" t="s">
        <v>72</v>
      </c>
      <c r="U34" t="s">
        <v>73</v>
      </c>
      <c r="V34" t="s">
        <v>74</v>
      </c>
      <c r="W34" t="s">
        <v>87</v>
      </c>
      <c r="AE34" s="2"/>
      <c r="AF34" s="2"/>
      <c r="AG34" s="2"/>
      <c r="AH34" s="2"/>
      <c r="AK34" t="s">
        <v>240</v>
      </c>
      <c r="AL34" s="2">
        <v>965250</v>
      </c>
      <c r="AM34" s="2">
        <v>0</v>
      </c>
      <c r="AN34" s="2"/>
      <c r="AO34" s="2">
        <v>0</v>
      </c>
      <c r="AP34" s="2">
        <v>965250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4"/>
      <c r="AX34" t="s">
        <v>75</v>
      </c>
      <c r="AZ34" t="s">
        <v>241</v>
      </c>
      <c r="BA34" t="s">
        <v>67</v>
      </c>
      <c r="BB34" t="s">
        <v>242</v>
      </c>
      <c r="BC34" t="s">
        <v>204</v>
      </c>
      <c r="BD34" t="s">
        <v>79</v>
      </c>
      <c r="BE34" t="s">
        <v>198</v>
      </c>
      <c r="BF34" s="5">
        <v>46753</v>
      </c>
      <c r="BH34">
        <v>3</v>
      </c>
      <c r="BI34" s="6">
        <v>495000</v>
      </c>
      <c r="BJ34" s="6">
        <v>35</v>
      </c>
      <c r="BK34" s="6">
        <v>173250</v>
      </c>
      <c r="BL34" s="6">
        <v>321750</v>
      </c>
      <c r="BM34" s="2">
        <v>965250</v>
      </c>
      <c r="BN34">
        <f>InvoiceTable[[#This Row],[Giảm giá]]*InvoiceTable[[#This Row],[Số lượng]]</f>
        <v>519750</v>
      </c>
    </row>
    <row r="35" spans="1:66" x14ac:dyDescent="0.25">
      <c r="A35" t="s">
        <v>65</v>
      </c>
      <c r="B35" t="s">
        <v>243</v>
      </c>
      <c r="F35" s="2"/>
      <c r="G35" s="3">
        <v>46016.619397766204</v>
      </c>
      <c r="H35" s="3">
        <v>46016.619397835646</v>
      </c>
      <c r="I35" s="4" t="s">
        <v>67</v>
      </c>
      <c r="J35" t="s">
        <v>244</v>
      </c>
      <c r="K35" t="s">
        <v>67</v>
      </c>
      <c r="L35" t="s">
        <v>245</v>
      </c>
      <c r="M35" t="s">
        <v>246</v>
      </c>
      <c r="N35" t="s">
        <v>67</v>
      </c>
      <c r="O35" t="s">
        <v>247</v>
      </c>
      <c r="P35" t="s">
        <v>248</v>
      </c>
      <c r="Q35" t="s">
        <v>67</v>
      </c>
      <c r="R35" t="s">
        <v>67</v>
      </c>
      <c r="S35" s="5"/>
      <c r="T35" t="s">
        <v>72</v>
      </c>
      <c r="U35" t="s">
        <v>73</v>
      </c>
      <c r="V35" t="s">
        <v>74</v>
      </c>
      <c r="W35" t="s">
        <v>87</v>
      </c>
      <c r="AE35" s="2"/>
      <c r="AF35" s="2"/>
      <c r="AG35" s="2"/>
      <c r="AH35" s="2"/>
      <c r="AK35" t="s">
        <v>67</v>
      </c>
      <c r="AL35" s="2">
        <v>1038200</v>
      </c>
      <c r="AM35" s="2">
        <v>0</v>
      </c>
      <c r="AN35" s="2"/>
      <c r="AO35" s="2">
        <v>0</v>
      </c>
      <c r="AP35" s="2">
        <v>1038200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4"/>
      <c r="AX35" t="s">
        <v>75</v>
      </c>
      <c r="AZ35" t="s">
        <v>249</v>
      </c>
      <c r="BA35" t="s">
        <v>67</v>
      </c>
      <c r="BB35" t="s">
        <v>250</v>
      </c>
      <c r="BC35" t="s">
        <v>251</v>
      </c>
      <c r="BD35" t="s">
        <v>79</v>
      </c>
      <c r="BE35" t="s">
        <v>145</v>
      </c>
      <c r="BF35" s="5">
        <v>46508</v>
      </c>
      <c r="BG35" t="s">
        <v>67</v>
      </c>
      <c r="BH35">
        <v>2</v>
      </c>
      <c r="BI35" s="6">
        <v>895000</v>
      </c>
      <c r="BJ35" s="6">
        <v>42</v>
      </c>
      <c r="BK35" s="6">
        <v>375900</v>
      </c>
      <c r="BL35" s="6">
        <v>519100</v>
      </c>
      <c r="BM35" s="2">
        <v>1038200</v>
      </c>
      <c r="BN35">
        <f>InvoiceTable[[#This Row],[Giảm giá]]*InvoiceTable[[#This Row],[Số lượng]]</f>
        <v>751800</v>
      </c>
    </row>
    <row r="36" spans="1:66" x14ac:dyDescent="0.25">
      <c r="A36" t="s">
        <v>65</v>
      </c>
      <c r="B36" t="s">
        <v>252</v>
      </c>
      <c r="F36" s="2"/>
      <c r="G36" s="3">
        <v>46016.619197997687</v>
      </c>
      <c r="H36" s="3">
        <v>46016.619198148146</v>
      </c>
      <c r="I36" s="4" t="s">
        <v>67</v>
      </c>
      <c r="J36" t="s">
        <v>253</v>
      </c>
      <c r="K36" t="s">
        <v>67</v>
      </c>
      <c r="L36" t="s">
        <v>254</v>
      </c>
      <c r="M36" t="s">
        <v>255</v>
      </c>
      <c r="N36" t="s">
        <v>67</v>
      </c>
      <c r="O36" t="s">
        <v>256</v>
      </c>
      <c r="P36" t="s">
        <v>257</v>
      </c>
      <c r="S36" s="5"/>
      <c r="T36" t="s">
        <v>72</v>
      </c>
      <c r="U36" t="s">
        <v>73</v>
      </c>
      <c r="V36" t="s">
        <v>74</v>
      </c>
      <c r="W36" t="s">
        <v>87</v>
      </c>
      <c r="AE36" s="2"/>
      <c r="AF36" s="2"/>
      <c r="AG36" s="2"/>
      <c r="AH36" s="2"/>
      <c r="AK36" t="s">
        <v>258</v>
      </c>
      <c r="AL36" s="2">
        <v>1800000</v>
      </c>
      <c r="AM36" s="2">
        <v>0</v>
      </c>
      <c r="AN36" s="2"/>
      <c r="AO36" s="2">
        <v>0</v>
      </c>
      <c r="AP36" s="2">
        <v>1800000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4"/>
      <c r="AX36" t="s">
        <v>75</v>
      </c>
      <c r="AZ36" t="s">
        <v>259</v>
      </c>
      <c r="BA36" t="s">
        <v>67</v>
      </c>
      <c r="BB36" t="s">
        <v>260</v>
      </c>
      <c r="BC36" t="s">
        <v>261</v>
      </c>
      <c r="BD36" t="s">
        <v>79</v>
      </c>
      <c r="BE36" t="s">
        <v>262</v>
      </c>
      <c r="BF36" s="5">
        <v>46754</v>
      </c>
      <c r="BH36">
        <v>5</v>
      </c>
      <c r="BI36" s="6">
        <v>450000</v>
      </c>
      <c r="BJ36" s="6">
        <v>20</v>
      </c>
      <c r="BK36" s="6">
        <v>90000</v>
      </c>
      <c r="BL36" s="6">
        <v>360000</v>
      </c>
      <c r="BM36" s="2">
        <v>1800000</v>
      </c>
      <c r="BN36">
        <f>InvoiceTable[[#This Row],[Giảm giá]]*InvoiceTable[[#This Row],[Số lượng]]</f>
        <v>450000</v>
      </c>
    </row>
    <row r="37" spans="1:66" x14ac:dyDescent="0.25">
      <c r="A37" t="s">
        <v>65</v>
      </c>
      <c r="B37" t="s">
        <v>263</v>
      </c>
      <c r="F37" s="2"/>
      <c r="G37" s="3">
        <v>46016.618724224536</v>
      </c>
      <c r="H37" s="3">
        <v>46016.618712962962</v>
      </c>
      <c r="I37" s="4" t="s">
        <v>96</v>
      </c>
      <c r="J37" t="s">
        <v>264</v>
      </c>
      <c r="K37" t="s">
        <v>67</v>
      </c>
      <c r="L37" t="s">
        <v>180</v>
      </c>
      <c r="M37" t="s">
        <v>181</v>
      </c>
      <c r="N37" t="s">
        <v>67</v>
      </c>
      <c r="O37" t="s">
        <v>182</v>
      </c>
      <c r="P37" t="s">
        <v>183</v>
      </c>
      <c r="S37" s="5"/>
      <c r="T37" t="s">
        <v>72</v>
      </c>
      <c r="U37" t="s">
        <v>73</v>
      </c>
      <c r="V37" t="s">
        <v>74</v>
      </c>
      <c r="W37" t="s">
        <v>87</v>
      </c>
      <c r="AE37" s="2"/>
      <c r="AF37" s="2"/>
      <c r="AG37" s="2"/>
      <c r="AH37" s="2"/>
      <c r="AK37" t="s">
        <v>184</v>
      </c>
      <c r="AL37" s="2">
        <v>959000</v>
      </c>
      <c r="AM37" s="2">
        <v>0</v>
      </c>
      <c r="AN37" s="2"/>
      <c r="AO37" s="2">
        <v>0</v>
      </c>
      <c r="AP37" s="2">
        <v>959000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4"/>
      <c r="AX37" t="s">
        <v>75</v>
      </c>
      <c r="AZ37" t="s">
        <v>265</v>
      </c>
      <c r="BA37" t="s">
        <v>67</v>
      </c>
      <c r="BB37" t="s">
        <v>266</v>
      </c>
      <c r="BC37" t="s">
        <v>267</v>
      </c>
      <c r="BD37" t="s">
        <v>268</v>
      </c>
      <c r="BE37" t="s">
        <v>269</v>
      </c>
      <c r="BF37" s="5">
        <v>46082</v>
      </c>
      <c r="BG37" t="s">
        <v>67</v>
      </c>
      <c r="BH37">
        <v>2</v>
      </c>
      <c r="BI37" s="6">
        <v>700000</v>
      </c>
      <c r="BJ37" s="6">
        <v>60</v>
      </c>
      <c r="BK37" s="6">
        <v>420000</v>
      </c>
      <c r="BL37" s="6">
        <v>280000</v>
      </c>
      <c r="BM37" s="2">
        <v>560000</v>
      </c>
      <c r="BN37">
        <f>InvoiceTable[[#This Row],[Giảm giá]]*InvoiceTable[[#This Row],[Số lượng]]</f>
        <v>840000</v>
      </c>
    </row>
    <row r="38" spans="1:66" x14ac:dyDescent="0.25">
      <c r="A38" t="s">
        <v>65</v>
      </c>
      <c r="B38" t="s">
        <v>263</v>
      </c>
      <c r="F38" s="2"/>
      <c r="G38" s="3">
        <v>46016.618724224536</v>
      </c>
      <c r="H38" s="3">
        <v>46016.618712962962</v>
      </c>
      <c r="I38" s="4" t="s">
        <v>96</v>
      </c>
      <c r="J38" t="s">
        <v>264</v>
      </c>
      <c r="K38" t="s">
        <v>67</v>
      </c>
      <c r="L38" t="s">
        <v>180</v>
      </c>
      <c r="M38" t="s">
        <v>181</v>
      </c>
      <c r="N38" t="s">
        <v>67</v>
      </c>
      <c r="O38" t="s">
        <v>182</v>
      </c>
      <c r="P38" t="s">
        <v>183</v>
      </c>
      <c r="S38" s="5"/>
      <c r="T38" t="s">
        <v>72</v>
      </c>
      <c r="U38" t="s">
        <v>73</v>
      </c>
      <c r="V38" t="s">
        <v>74</v>
      </c>
      <c r="W38" t="s">
        <v>87</v>
      </c>
      <c r="AE38" s="2"/>
      <c r="AF38" s="2"/>
      <c r="AG38" s="2"/>
      <c r="AH38" s="2"/>
      <c r="AK38" t="s">
        <v>184</v>
      </c>
      <c r="AL38" s="2">
        <v>959000</v>
      </c>
      <c r="AM38" s="2">
        <v>0</v>
      </c>
      <c r="AN38" s="2"/>
      <c r="AO38" s="2">
        <v>0</v>
      </c>
      <c r="AP38" s="2">
        <v>959000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4"/>
      <c r="AX38" t="s">
        <v>75</v>
      </c>
      <c r="AZ38" t="s">
        <v>270</v>
      </c>
      <c r="BA38" t="s">
        <v>67</v>
      </c>
      <c r="BB38" t="s">
        <v>271</v>
      </c>
      <c r="BC38" t="s">
        <v>272</v>
      </c>
      <c r="BD38" t="s">
        <v>79</v>
      </c>
      <c r="BE38" t="s">
        <v>273</v>
      </c>
      <c r="BF38" s="5">
        <v>46266</v>
      </c>
      <c r="BH38">
        <v>1</v>
      </c>
      <c r="BI38" s="6">
        <v>665000</v>
      </c>
      <c r="BJ38" s="6">
        <v>40</v>
      </c>
      <c r="BK38" s="6">
        <v>266000</v>
      </c>
      <c r="BL38" s="6">
        <v>399000</v>
      </c>
      <c r="BM38" s="2">
        <v>399000</v>
      </c>
      <c r="BN38">
        <f>InvoiceTable[[#This Row],[Giảm giá]]*InvoiceTable[[#This Row],[Số lượng]]</f>
        <v>266000</v>
      </c>
    </row>
    <row r="39" spans="1:66" x14ac:dyDescent="0.25">
      <c r="A39" t="s">
        <v>65</v>
      </c>
      <c r="B39" t="s">
        <v>274</v>
      </c>
      <c r="F39" s="2"/>
      <c r="G39" s="3">
        <v>46016.603162650463</v>
      </c>
      <c r="H39" s="3">
        <v>46016.603162731481</v>
      </c>
      <c r="I39" s="4" t="s">
        <v>67</v>
      </c>
      <c r="J39" t="s">
        <v>67</v>
      </c>
      <c r="K39" t="s">
        <v>67</v>
      </c>
      <c r="L39" t="s">
        <v>147</v>
      </c>
      <c r="M39" t="s">
        <v>148</v>
      </c>
      <c r="N39" t="s">
        <v>67</v>
      </c>
      <c r="O39" t="s">
        <v>149</v>
      </c>
      <c r="P39" t="s">
        <v>150</v>
      </c>
      <c r="S39" s="5"/>
      <c r="T39" t="s">
        <v>72</v>
      </c>
      <c r="U39" t="s">
        <v>87</v>
      </c>
      <c r="V39" t="s">
        <v>74</v>
      </c>
      <c r="W39" t="s">
        <v>87</v>
      </c>
      <c r="AE39" s="2"/>
      <c r="AF39" s="2"/>
      <c r="AG39" s="2"/>
      <c r="AH39" s="2"/>
      <c r="AK39" t="s">
        <v>275</v>
      </c>
      <c r="AL39" s="2">
        <v>414000</v>
      </c>
      <c r="AM39" s="2">
        <v>0</v>
      </c>
      <c r="AN39" s="2"/>
      <c r="AO39" s="2">
        <v>0</v>
      </c>
      <c r="AP39" s="2">
        <v>414000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4"/>
      <c r="AX39" t="s">
        <v>75</v>
      </c>
      <c r="AZ39" t="s">
        <v>276</v>
      </c>
      <c r="BA39" t="s">
        <v>67</v>
      </c>
      <c r="BB39" t="s">
        <v>277</v>
      </c>
      <c r="BC39" t="s">
        <v>278</v>
      </c>
      <c r="BD39" t="s">
        <v>79</v>
      </c>
      <c r="BE39" t="s">
        <v>279</v>
      </c>
      <c r="BF39" s="5">
        <v>46977</v>
      </c>
      <c r="BH39">
        <v>1</v>
      </c>
      <c r="BI39" s="6">
        <v>690000</v>
      </c>
      <c r="BJ39" s="6">
        <v>40</v>
      </c>
      <c r="BK39" s="6">
        <v>276000</v>
      </c>
      <c r="BL39" s="6">
        <v>414000</v>
      </c>
      <c r="BM39" s="2">
        <v>414000</v>
      </c>
      <c r="BN39">
        <f>InvoiceTable[[#This Row],[Giảm giá]]*InvoiceTable[[#This Row],[Số lượng]]</f>
        <v>276000</v>
      </c>
    </row>
    <row r="40" spans="1:66" x14ac:dyDescent="0.25">
      <c r="A40" t="s">
        <v>65</v>
      </c>
      <c r="B40" t="s">
        <v>280</v>
      </c>
      <c r="F40" s="2"/>
      <c r="G40" s="3">
        <v>46016.589297650462</v>
      </c>
      <c r="H40" s="3">
        <v>46016.589286226852</v>
      </c>
      <c r="I40" s="4" t="s">
        <v>96</v>
      </c>
      <c r="J40" t="s">
        <v>281</v>
      </c>
      <c r="K40" t="s">
        <v>67</v>
      </c>
      <c r="L40" t="s">
        <v>231</v>
      </c>
      <c r="M40" t="s">
        <v>232</v>
      </c>
      <c r="N40" t="s">
        <v>67</v>
      </c>
      <c r="O40" t="s">
        <v>233</v>
      </c>
      <c r="P40" t="s">
        <v>234</v>
      </c>
      <c r="S40" s="5"/>
      <c r="T40" t="s">
        <v>72</v>
      </c>
      <c r="U40" t="s">
        <v>73</v>
      </c>
      <c r="V40" t="s">
        <v>74</v>
      </c>
      <c r="W40" t="s">
        <v>87</v>
      </c>
      <c r="AE40" s="2"/>
      <c r="AF40" s="2"/>
      <c r="AG40" s="2"/>
      <c r="AH40" s="2"/>
      <c r="AK40" t="s">
        <v>282</v>
      </c>
      <c r="AL40" s="2">
        <v>1584000</v>
      </c>
      <c r="AM40" s="2">
        <v>0</v>
      </c>
      <c r="AN40" s="2"/>
      <c r="AO40" s="2">
        <v>0</v>
      </c>
      <c r="AP40" s="2">
        <v>1584000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4"/>
      <c r="AX40" t="s">
        <v>75</v>
      </c>
      <c r="AZ40" t="s">
        <v>283</v>
      </c>
      <c r="BA40" t="s">
        <v>67</v>
      </c>
      <c r="BB40" t="s">
        <v>284</v>
      </c>
      <c r="BC40" t="s">
        <v>285</v>
      </c>
      <c r="BD40" t="s">
        <v>79</v>
      </c>
      <c r="BE40" t="s">
        <v>117</v>
      </c>
      <c r="BF40" s="5">
        <v>46569</v>
      </c>
      <c r="BH40">
        <v>1</v>
      </c>
      <c r="BI40" s="6">
        <v>1680000</v>
      </c>
      <c r="BJ40" s="6">
        <v>40</v>
      </c>
      <c r="BK40" s="6">
        <v>672000</v>
      </c>
      <c r="BL40" s="6">
        <v>1008000</v>
      </c>
      <c r="BM40" s="2">
        <v>1008000</v>
      </c>
      <c r="BN40">
        <f>InvoiceTable[[#This Row],[Giảm giá]]*InvoiceTable[[#This Row],[Số lượng]]</f>
        <v>672000</v>
      </c>
    </row>
    <row r="41" spans="1:66" x14ac:dyDescent="0.25">
      <c r="A41" t="s">
        <v>65</v>
      </c>
      <c r="B41" t="s">
        <v>280</v>
      </c>
      <c r="F41" s="2"/>
      <c r="G41" s="3">
        <v>46016.589297650462</v>
      </c>
      <c r="H41" s="3">
        <v>46016.589286226852</v>
      </c>
      <c r="I41" s="4" t="s">
        <v>96</v>
      </c>
      <c r="J41" t="s">
        <v>281</v>
      </c>
      <c r="K41" t="s">
        <v>67</v>
      </c>
      <c r="L41" t="s">
        <v>231</v>
      </c>
      <c r="M41" t="s">
        <v>232</v>
      </c>
      <c r="N41" t="s">
        <v>67</v>
      </c>
      <c r="O41" t="s">
        <v>233</v>
      </c>
      <c r="P41" t="s">
        <v>234</v>
      </c>
      <c r="S41" s="5"/>
      <c r="T41" t="s">
        <v>72</v>
      </c>
      <c r="U41" t="s">
        <v>73</v>
      </c>
      <c r="V41" t="s">
        <v>74</v>
      </c>
      <c r="W41" t="s">
        <v>87</v>
      </c>
      <c r="AE41" s="2"/>
      <c r="AF41" s="2"/>
      <c r="AG41" s="2"/>
      <c r="AH41" s="2"/>
      <c r="AK41" t="s">
        <v>282</v>
      </c>
      <c r="AL41" s="2">
        <v>1584000</v>
      </c>
      <c r="AM41" s="2">
        <v>0</v>
      </c>
      <c r="AN41" s="2"/>
      <c r="AO41" s="2">
        <v>0</v>
      </c>
      <c r="AP41" s="2">
        <v>1584000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4"/>
      <c r="AX41" t="s">
        <v>75</v>
      </c>
      <c r="AZ41" t="s">
        <v>286</v>
      </c>
      <c r="BA41" t="s">
        <v>67</v>
      </c>
      <c r="BB41" t="s">
        <v>287</v>
      </c>
      <c r="BC41" t="s">
        <v>285</v>
      </c>
      <c r="BD41" t="s">
        <v>79</v>
      </c>
      <c r="BE41" t="s">
        <v>288</v>
      </c>
      <c r="BF41" s="5">
        <v>46588</v>
      </c>
      <c r="BH41">
        <v>1</v>
      </c>
      <c r="BI41" s="6">
        <v>960000</v>
      </c>
      <c r="BJ41" s="6">
        <v>40</v>
      </c>
      <c r="BK41" s="6">
        <v>384000</v>
      </c>
      <c r="BL41" s="6">
        <v>576000</v>
      </c>
      <c r="BM41" s="2">
        <v>576000</v>
      </c>
      <c r="BN41">
        <f>InvoiceTable[[#This Row],[Giảm giá]]*InvoiceTable[[#This Row],[Số lượng]]</f>
        <v>384000</v>
      </c>
    </row>
    <row r="42" spans="1:66" x14ac:dyDescent="0.25">
      <c r="A42" t="s">
        <v>65</v>
      </c>
      <c r="B42" t="s">
        <v>289</v>
      </c>
      <c r="F42" s="2"/>
      <c r="G42" s="3">
        <v>46016.588520520832</v>
      </c>
      <c r="H42" s="3">
        <v>46016.588509062502</v>
      </c>
      <c r="I42" s="4" t="s">
        <v>96</v>
      </c>
      <c r="J42" t="s">
        <v>290</v>
      </c>
      <c r="K42" t="s">
        <v>67</v>
      </c>
      <c r="L42" t="s">
        <v>254</v>
      </c>
      <c r="M42" t="s">
        <v>255</v>
      </c>
      <c r="N42" t="s">
        <v>67</v>
      </c>
      <c r="O42" t="s">
        <v>256</v>
      </c>
      <c r="P42" t="s">
        <v>257</v>
      </c>
      <c r="S42" s="5"/>
      <c r="T42" t="s">
        <v>72</v>
      </c>
      <c r="U42" t="s">
        <v>73</v>
      </c>
      <c r="V42" t="s">
        <v>74</v>
      </c>
      <c r="W42" t="s">
        <v>87</v>
      </c>
      <c r="AE42" s="2"/>
      <c r="AF42" s="2"/>
      <c r="AG42" s="2"/>
      <c r="AH42" s="2"/>
      <c r="AK42" t="s">
        <v>258</v>
      </c>
      <c r="AL42" s="2">
        <v>530000</v>
      </c>
      <c r="AM42" s="2">
        <v>0</v>
      </c>
      <c r="AN42" s="2"/>
      <c r="AO42" s="2">
        <v>0</v>
      </c>
      <c r="AP42" s="2">
        <v>530000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4"/>
      <c r="AX42" t="s">
        <v>75</v>
      </c>
      <c r="AZ42" t="s">
        <v>291</v>
      </c>
      <c r="BA42" t="s">
        <v>67</v>
      </c>
      <c r="BB42" t="s">
        <v>292</v>
      </c>
      <c r="BC42" t="s">
        <v>126</v>
      </c>
      <c r="BD42" t="s">
        <v>79</v>
      </c>
      <c r="BE42" t="s">
        <v>293</v>
      </c>
      <c r="BF42" s="5">
        <v>46722</v>
      </c>
      <c r="BG42" t="s">
        <v>67</v>
      </c>
      <c r="BH42">
        <v>6</v>
      </c>
      <c r="BI42" s="6">
        <v>250000</v>
      </c>
      <c r="BJ42" s="6">
        <v>0</v>
      </c>
      <c r="BK42" s="6">
        <v>180000</v>
      </c>
      <c r="BL42" s="6">
        <v>70000</v>
      </c>
      <c r="BM42" s="2">
        <v>420000</v>
      </c>
      <c r="BN42">
        <f>InvoiceTable[[#This Row],[Giảm giá]]*InvoiceTable[[#This Row],[Số lượng]]</f>
        <v>1080000</v>
      </c>
    </row>
    <row r="43" spans="1:66" x14ac:dyDescent="0.25">
      <c r="A43" t="s">
        <v>65</v>
      </c>
      <c r="B43" t="s">
        <v>289</v>
      </c>
      <c r="F43" s="2"/>
      <c r="G43" s="3">
        <v>46016.588520520832</v>
      </c>
      <c r="H43" s="3">
        <v>46016.588509062502</v>
      </c>
      <c r="I43" s="4" t="s">
        <v>96</v>
      </c>
      <c r="J43" t="s">
        <v>290</v>
      </c>
      <c r="K43" t="s">
        <v>67</v>
      </c>
      <c r="L43" t="s">
        <v>254</v>
      </c>
      <c r="M43" t="s">
        <v>255</v>
      </c>
      <c r="N43" t="s">
        <v>67</v>
      </c>
      <c r="O43" t="s">
        <v>256</v>
      </c>
      <c r="P43" t="s">
        <v>257</v>
      </c>
      <c r="S43" s="5"/>
      <c r="T43" t="s">
        <v>72</v>
      </c>
      <c r="U43" t="s">
        <v>73</v>
      </c>
      <c r="V43" t="s">
        <v>74</v>
      </c>
      <c r="W43" t="s">
        <v>87</v>
      </c>
      <c r="AE43" s="2"/>
      <c r="AF43" s="2"/>
      <c r="AG43" s="2"/>
      <c r="AH43" s="2"/>
      <c r="AK43" t="s">
        <v>258</v>
      </c>
      <c r="AL43" s="2">
        <v>530000</v>
      </c>
      <c r="AM43" s="2">
        <v>0</v>
      </c>
      <c r="AN43" s="2"/>
      <c r="AO43" s="2">
        <v>0</v>
      </c>
      <c r="AP43" s="2">
        <v>530000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4"/>
      <c r="AX43" t="s">
        <v>75</v>
      </c>
      <c r="AZ43" t="s">
        <v>166</v>
      </c>
      <c r="BA43" t="s">
        <v>67</v>
      </c>
      <c r="BB43" t="s">
        <v>167</v>
      </c>
      <c r="BC43" t="s">
        <v>90</v>
      </c>
      <c r="BD43" t="s">
        <v>79</v>
      </c>
      <c r="BE43" t="s">
        <v>168</v>
      </c>
      <c r="BF43" s="5">
        <v>46388</v>
      </c>
      <c r="BH43">
        <v>2</v>
      </c>
      <c r="BI43" s="6">
        <v>180000</v>
      </c>
      <c r="BJ43" s="6">
        <v>0</v>
      </c>
      <c r="BK43" s="6">
        <v>125000</v>
      </c>
      <c r="BL43" s="6">
        <v>55000</v>
      </c>
      <c r="BM43" s="2">
        <v>110000</v>
      </c>
      <c r="BN43">
        <f>InvoiceTable[[#This Row],[Giảm giá]]*InvoiceTable[[#This Row],[Số lượng]]</f>
        <v>250000</v>
      </c>
    </row>
    <row r="44" spans="1:66" x14ac:dyDescent="0.25">
      <c r="A44" t="s">
        <v>65</v>
      </c>
      <c r="B44" t="s">
        <v>294</v>
      </c>
      <c r="F44" s="2"/>
      <c r="G44" s="3">
        <v>46016.571016354166</v>
      </c>
      <c r="H44" s="3">
        <v>46016.571016469905</v>
      </c>
      <c r="I44" s="4" t="s">
        <v>67</v>
      </c>
      <c r="J44" t="s">
        <v>67</v>
      </c>
      <c r="K44" t="s">
        <v>67</v>
      </c>
      <c r="L44" t="s">
        <v>295</v>
      </c>
      <c r="M44" t="s">
        <v>296</v>
      </c>
      <c r="N44" t="s">
        <v>67</v>
      </c>
      <c r="O44" t="s">
        <v>297</v>
      </c>
      <c r="P44" t="s">
        <v>298</v>
      </c>
      <c r="S44" s="5"/>
      <c r="T44" t="s">
        <v>72</v>
      </c>
      <c r="U44" t="s">
        <v>87</v>
      </c>
      <c r="V44" t="s">
        <v>74</v>
      </c>
      <c r="W44" t="s">
        <v>87</v>
      </c>
      <c r="AE44" s="2"/>
      <c r="AF44" s="2"/>
      <c r="AG44" s="2"/>
      <c r="AH44" s="2"/>
      <c r="AL44" s="2">
        <v>4152500</v>
      </c>
      <c r="AM44" s="2">
        <v>0</v>
      </c>
      <c r="AN44" s="2"/>
      <c r="AO44" s="2">
        <v>0</v>
      </c>
      <c r="AP44" s="2">
        <v>4152500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4"/>
      <c r="AX44" t="s">
        <v>75</v>
      </c>
      <c r="AZ44" t="s">
        <v>299</v>
      </c>
      <c r="BA44" t="s">
        <v>67</v>
      </c>
      <c r="BB44" t="s">
        <v>300</v>
      </c>
      <c r="BC44" t="s">
        <v>301</v>
      </c>
      <c r="BD44" t="s">
        <v>79</v>
      </c>
      <c r="BE44" t="s">
        <v>177</v>
      </c>
      <c r="BF44" s="5">
        <v>47027</v>
      </c>
      <c r="BG44" t="s">
        <v>67</v>
      </c>
      <c r="BH44">
        <v>1</v>
      </c>
      <c r="BI44" s="6">
        <v>7550000</v>
      </c>
      <c r="BJ44" s="6">
        <v>45</v>
      </c>
      <c r="BK44" s="6">
        <v>3397500</v>
      </c>
      <c r="BL44" s="6">
        <v>4152500</v>
      </c>
      <c r="BM44" s="2">
        <v>4152500</v>
      </c>
      <c r="BN44">
        <f>InvoiceTable[[#This Row],[Giảm giá]]*InvoiceTable[[#This Row],[Số lượng]]</f>
        <v>3397500</v>
      </c>
    </row>
    <row r="45" spans="1:66" x14ac:dyDescent="0.25">
      <c r="A45" t="s">
        <v>65</v>
      </c>
      <c r="B45" t="s">
        <v>302</v>
      </c>
      <c r="F45" s="2"/>
      <c r="G45" s="3">
        <v>46016.565635844905</v>
      </c>
      <c r="H45" s="3">
        <v>46016.565635995372</v>
      </c>
      <c r="I45" s="4" t="s">
        <v>67</v>
      </c>
      <c r="J45" t="s">
        <v>67</v>
      </c>
      <c r="K45" t="s">
        <v>67</v>
      </c>
      <c r="L45" t="s">
        <v>303</v>
      </c>
      <c r="M45" t="s">
        <v>304</v>
      </c>
      <c r="N45" t="s">
        <v>67</v>
      </c>
      <c r="O45" t="s">
        <v>305</v>
      </c>
      <c r="P45" t="s">
        <v>306</v>
      </c>
      <c r="Q45" t="s">
        <v>67</v>
      </c>
      <c r="R45" t="s">
        <v>67</v>
      </c>
      <c r="S45" s="5"/>
      <c r="T45" t="s">
        <v>72</v>
      </c>
      <c r="U45" t="s">
        <v>87</v>
      </c>
      <c r="V45" t="s">
        <v>74</v>
      </c>
      <c r="W45" t="s">
        <v>87</v>
      </c>
      <c r="AE45" s="2"/>
      <c r="AF45" s="2"/>
      <c r="AG45" s="2"/>
      <c r="AH45" s="2"/>
      <c r="AL45" s="2">
        <v>11600000</v>
      </c>
      <c r="AM45" s="2">
        <v>0</v>
      </c>
      <c r="AN45" s="2"/>
      <c r="AO45" s="2">
        <v>0</v>
      </c>
      <c r="AP45" s="2">
        <v>11600000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4"/>
      <c r="AX45" t="s">
        <v>75</v>
      </c>
      <c r="AZ45" t="s">
        <v>307</v>
      </c>
      <c r="BA45" t="s">
        <v>67</v>
      </c>
      <c r="BB45" t="s">
        <v>308</v>
      </c>
      <c r="BC45" t="s">
        <v>309</v>
      </c>
      <c r="BD45" t="s">
        <v>79</v>
      </c>
      <c r="BE45" t="s">
        <v>310</v>
      </c>
      <c r="BF45" s="5">
        <v>46919</v>
      </c>
      <c r="BG45" t="s">
        <v>67</v>
      </c>
      <c r="BH45">
        <v>2</v>
      </c>
      <c r="BI45" s="6">
        <v>6500000</v>
      </c>
      <c r="BJ45" s="6">
        <v>0</v>
      </c>
      <c r="BK45" s="6">
        <v>700000</v>
      </c>
      <c r="BL45" s="6">
        <v>5800000</v>
      </c>
      <c r="BM45" s="2">
        <v>11600000</v>
      </c>
      <c r="BN45">
        <f>InvoiceTable[[#This Row],[Giảm giá]]*InvoiceTable[[#This Row],[Số lượng]]</f>
        <v>1400000</v>
      </c>
    </row>
    <row r="46" spans="1:66" x14ac:dyDescent="0.25">
      <c r="A46" t="s">
        <v>65</v>
      </c>
      <c r="B46" t="s">
        <v>311</v>
      </c>
      <c r="F46" s="2"/>
      <c r="G46" s="3">
        <v>46016.548095798615</v>
      </c>
      <c r="H46" s="3">
        <v>46016.548095914353</v>
      </c>
      <c r="I46" s="4" t="s">
        <v>67</v>
      </c>
      <c r="J46" t="s">
        <v>312</v>
      </c>
      <c r="K46" t="s">
        <v>67</v>
      </c>
      <c r="L46" t="s">
        <v>231</v>
      </c>
      <c r="M46" t="s">
        <v>232</v>
      </c>
      <c r="N46" t="s">
        <v>67</v>
      </c>
      <c r="O46" t="s">
        <v>233</v>
      </c>
      <c r="P46" t="s">
        <v>234</v>
      </c>
      <c r="S46" s="5"/>
      <c r="T46" t="s">
        <v>72</v>
      </c>
      <c r="U46" t="s">
        <v>73</v>
      </c>
      <c r="V46" t="s">
        <v>74</v>
      </c>
      <c r="W46" t="s">
        <v>87</v>
      </c>
      <c r="AE46" s="2"/>
      <c r="AF46" s="2"/>
      <c r="AG46" s="2"/>
      <c r="AH46" s="2"/>
      <c r="AK46" t="s">
        <v>313</v>
      </c>
      <c r="AL46" s="2">
        <v>6678750</v>
      </c>
      <c r="AM46" s="2">
        <v>0</v>
      </c>
      <c r="AN46" s="2"/>
      <c r="AO46" s="2">
        <v>0</v>
      </c>
      <c r="AP46" s="2">
        <v>6678750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4"/>
      <c r="AX46" t="s">
        <v>75</v>
      </c>
      <c r="AZ46" t="s">
        <v>314</v>
      </c>
      <c r="BA46" t="s">
        <v>67</v>
      </c>
      <c r="BB46" t="s">
        <v>315</v>
      </c>
      <c r="BC46" t="s">
        <v>316</v>
      </c>
      <c r="BD46" t="s">
        <v>79</v>
      </c>
      <c r="BE46" t="s">
        <v>317</v>
      </c>
      <c r="BF46" s="5">
        <v>46935</v>
      </c>
      <c r="BH46">
        <v>1</v>
      </c>
      <c r="BI46" s="6">
        <v>2690000</v>
      </c>
      <c r="BJ46" s="6">
        <v>37</v>
      </c>
      <c r="BK46" s="6">
        <v>995300</v>
      </c>
      <c r="BL46" s="6">
        <v>1694700</v>
      </c>
      <c r="BM46" s="2">
        <v>1694700</v>
      </c>
      <c r="BN46">
        <f>InvoiceTable[[#This Row],[Giảm giá]]*InvoiceTable[[#This Row],[Số lượng]]</f>
        <v>995300</v>
      </c>
    </row>
    <row r="47" spans="1:66" x14ac:dyDescent="0.25">
      <c r="A47" t="s">
        <v>65</v>
      </c>
      <c r="B47" t="s">
        <v>311</v>
      </c>
      <c r="F47" s="2"/>
      <c r="G47" s="3">
        <v>46016.548095798615</v>
      </c>
      <c r="H47" s="3">
        <v>46016.548095914353</v>
      </c>
      <c r="I47" s="4" t="s">
        <v>67</v>
      </c>
      <c r="J47" t="s">
        <v>312</v>
      </c>
      <c r="K47" t="s">
        <v>67</v>
      </c>
      <c r="L47" t="s">
        <v>231</v>
      </c>
      <c r="M47" t="s">
        <v>232</v>
      </c>
      <c r="N47" t="s">
        <v>67</v>
      </c>
      <c r="O47" t="s">
        <v>233</v>
      </c>
      <c r="P47" t="s">
        <v>234</v>
      </c>
      <c r="S47" s="5"/>
      <c r="T47" t="s">
        <v>72</v>
      </c>
      <c r="U47" t="s">
        <v>73</v>
      </c>
      <c r="V47" t="s">
        <v>74</v>
      </c>
      <c r="W47" t="s">
        <v>87</v>
      </c>
      <c r="AE47" s="2"/>
      <c r="AF47" s="2"/>
      <c r="AG47" s="2"/>
      <c r="AH47" s="2"/>
      <c r="AK47" t="s">
        <v>313</v>
      </c>
      <c r="AL47" s="2">
        <v>6678750</v>
      </c>
      <c r="AM47" s="2">
        <v>0</v>
      </c>
      <c r="AN47" s="2"/>
      <c r="AO47" s="2">
        <v>0</v>
      </c>
      <c r="AP47" s="2">
        <v>6678750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4"/>
      <c r="AX47" t="s">
        <v>75</v>
      </c>
      <c r="AZ47" t="s">
        <v>318</v>
      </c>
      <c r="BA47" t="s">
        <v>67</v>
      </c>
      <c r="BB47" t="s">
        <v>319</v>
      </c>
      <c r="BC47" t="s">
        <v>154</v>
      </c>
      <c r="BD47" t="s">
        <v>79</v>
      </c>
      <c r="BE47" t="s">
        <v>317</v>
      </c>
      <c r="BF47" s="5">
        <v>46935</v>
      </c>
      <c r="BG47" t="s">
        <v>320</v>
      </c>
      <c r="BH47">
        <v>1</v>
      </c>
      <c r="BI47" s="6">
        <v>1190000</v>
      </c>
      <c r="BJ47" s="6">
        <v>50</v>
      </c>
      <c r="BK47" s="6">
        <v>595000</v>
      </c>
      <c r="BL47" s="6">
        <v>595000</v>
      </c>
      <c r="BM47" s="2">
        <v>595000</v>
      </c>
      <c r="BN47">
        <f>InvoiceTable[[#This Row],[Giảm giá]]*InvoiceTable[[#This Row],[Số lượng]]</f>
        <v>595000</v>
      </c>
    </row>
    <row r="48" spans="1:66" x14ac:dyDescent="0.25">
      <c r="A48" t="s">
        <v>65</v>
      </c>
      <c r="B48" t="s">
        <v>311</v>
      </c>
      <c r="F48" s="2"/>
      <c r="G48" s="3">
        <v>46016.548095798615</v>
      </c>
      <c r="H48" s="3">
        <v>46016.548095914353</v>
      </c>
      <c r="I48" s="4" t="s">
        <v>67</v>
      </c>
      <c r="J48" t="s">
        <v>312</v>
      </c>
      <c r="K48" t="s">
        <v>67</v>
      </c>
      <c r="L48" t="s">
        <v>231</v>
      </c>
      <c r="M48" t="s">
        <v>232</v>
      </c>
      <c r="N48" t="s">
        <v>67</v>
      </c>
      <c r="O48" t="s">
        <v>233</v>
      </c>
      <c r="P48" t="s">
        <v>234</v>
      </c>
      <c r="S48" s="5"/>
      <c r="T48" t="s">
        <v>72</v>
      </c>
      <c r="U48" t="s">
        <v>73</v>
      </c>
      <c r="V48" t="s">
        <v>74</v>
      </c>
      <c r="W48" t="s">
        <v>87</v>
      </c>
      <c r="AE48" s="2"/>
      <c r="AF48" s="2"/>
      <c r="AG48" s="2"/>
      <c r="AH48" s="2"/>
      <c r="AK48" t="s">
        <v>313</v>
      </c>
      <c r="AL48" s="2">
        <v>6678750</v>
      </c>
      <c r="AM48" s="2">
        <v>0</v>
      </c>
      <c r="AN48" s="2"/>
      <c r="AO48" s="2">
        <v>0</v>
      </c>
      <c r="AP48" s="2">
        <v>6678750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4"/>
      <c r="AX48" t="s">
        <v>75</v>
      </c>
      <c r="AZ48" t="s">
        <v>321</v>
      </c>
      <c r="BA48" t="s">
        <v>67</v>
      </c>
      <c r="BB48" t="s">
        <v>322</v>
      </c>
      <c r="BC48" t="s">
        <v>323</v>
      </c>
      <c r="BD48" t="s">
        <v>79</v>
      </c>
      <c r="BE48" t="s">
        <v>324</v>
      </c>
      <c r="BF48" s="5">
        <v>47058</v>
      </c>
      <c r="BH48">
        <v>10</v>
      </c>
      <c r="BI48" s="6">
        <v>25000</v>
      </c>
      <c r="BJ48" s="6">
        <v>0</v>
      </c>
      <c r="BK48" s="6">
        <v>14000</v>
      </c>
      <c r="BL48" s="6">
        <v>11000</v>
      </c>
      <c r="BM48" s="2">
        <v>110000</v>
      </c>
      <c r="BN48">
        <f>InvoiceTable[[#This Row],[Giảm giá]]*InvoiceTable[[#This Row],[Số lượng]]</f>
        <v>140000</v>
      </c>
    </row>
    <row r="49" spans="1:66" x14ac:dyDescent="0.25">
      <c r="A49" t="s">
        <v>65</v>
      </c>
      <c r="B49" t="s">
        <v>311</v>
      </c>
      <c r="F49" s="2"/>
      <c r="G49" s="3">
        <v>46016.548095798615</v>
      </c>
      <c r="H49" s="3">
        <v>46016.548095914353</v>
      </c>
      <c r="I49" s="4" t="s">
        <v>67</v>
      </c>
      <c r="J49" t="s">
        <v>312</v>
      </c>
      <c r="K49" t="s">
        <v>67</v>
      </c>
      <c r="L49" t="s">
        <v>231</v>
      </c>
      <c r="M49" t="s">
        <v>232</v>
      </c>
      <c r="N49" t="s">
        <v>67</v>
      </c>
      <c r="O49" t="s">
        <v>233</v>
      </c>
      <c r="P49" t="s">
        <v>234</v>
      </c>
      <c r="S49" s="5"/>
      <c r="T49" t="s">
        <v>72</v>
      </c>
      <c r="U49" t="s">
        <v>73</v>
      </c>
      <c r="V49" t="s">
        <v>74</v>
      </c>
      <c r="W49" t="s">
        <v>87</v>
      </c>
      <c r="AE49" s="2"/>
      <c r="AF49" s="2"/>
      <c r="AG49" s="2"/>
      <c r="AH49" s="2"/>
      <c r="AK49" t="s">
        <v>313</v>
      </c>
      <c r="AL49" s="2">
        <v>6678750</v>
      </c>
      <c r="AM49" s="2">
        <v>0</v>
      </c>
      <c r="AN49" s="2"/>
      <c r="AO49" s="2">
        <v>0</v>
      </c>
      <c r="AP49" s="2">
        <v>6678750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4"/>
      <c r="AX49" t="s">
        <v>75</v>
      </c>
      <c r="AZ49" t="s">
        <v>325</v>
      </c>
      <c r="BA49" t="s">
        <v>67</v>
      </c>
      <c r="BB49" t="s">
        <v>326</v>
      </c>
      <c r="BC49" t="s">
        <v>327</v>
      </c>
      <c r="BD49" t="s">
        <v>79</v>
      </c>
      <c r="BE49" t="s">
        <v>328</v>
      </c>
      <c r="BF49" s="5">
        <v>47042</v>
      </c>
      <c r="BH49">
        <v>10</v>
      </c>
      <c r="BI49" s="6">
        <v>120000</v>
      </c>
      <c r="BJ49" s="6">
        <v>0</v>
      </c>
      <c r="BK49" s="6">
        <v>57000</v>
      </c>
      <c r="BL49" s="6">
        <v>63000</v>
      </c>
      <c r="BM49" s="2">
        <v>630000</v>
      </c>
      <c r="BN49">
        <f>InvoiceTable[[#This Row],[Giảm giá]]*InvoiceTable[[#This Row],[Số lượng]]</f>
        <v>570000</v>
      </c>
    </row>
    <row r="50" spans="1:66" x14ac:dyDescent="0.25">
      <c r="A50" t="s">
        <v>65</v>
      </c>
      <c r="B50" t="s">
        <v>311</v>
      </c>
      <c r="F50" s="2"/>
      <c r="G50" s="3">
        <v>46016.548095798615</v>
      </c>
      <c r="H50" s="3">
        <v>46016.548095914353</v>
      </c>
      <c r="I50" s="4" t="s">
        <v>67</v>
      </c>
      <c r="J50" t="s">
        <v>312</v>
      </c>
      <c r="K50" t="s">
        <v>67</v>
      </c>
      <c r="L50" t="s">
        <v>231</v>
      </c>
      <c r="M50" t="s">
        <v>232</v>
      </c>
      <c r="N50" t="s">
        <v>67</v>
      </c>
      <c r="O50" t="s">
        <v>233</v>
      </c>
      <c r="P50" t="s">
        <v>234</v>
      </c>
      <c r="S50" s="5"/>
      <c r="T50" t="s">
        <v>72</v>
      </c>
      <c r="U50" t="s">
        <v>73</v>
      </c>
      <c r="V50" t="s">
        <v>74</v>
      </c>
      <c r="W50" t="s">
        <v>87</v>
      </c>
      <c r="AE50" s="2"/>
      <c r="AF50" s="2"/>
      <c r="AG50" s="2"/>
      <c r="AH50" s="2"/>
      <c r="AK50" t="s">
        <v>313</v>
      </c>
      <c r="AL50" s="2">
        <v>6678750</v>
      </c>
      <c r="AM50" s="2">
        <v>0</v>
      </c>
      <c r="AN50" s="2"/>
      <c r="AO50" s="2">
        <v>0</v>
      </c>
      <c r="AP50" s="2">
        <v>6678750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4"/>
      <c r="AX50" t="s">
        <v>75</v>
      </c>
      <c r="AZ50" t="s">
        <v>329</v>
      </c>
      <c r="BA50" t="s">
        <v>67</v>
      </c>
      <c r="BB50" t="s">
        <v>330</v>
      </c>
      <c r="BC50" t="s">
        <v>251</v>
      </c>
      <c r="BD50" t="s">
        <v>79</v>
      </c>
      <c r="BE50" t="s">
        <v>168</v>
      </c>
      <c r="BF50" s="5">
        <v>46388</v>
      </c>
      <c r="BH50">
        <v>1</v>
      </c>
      <c r="BI50" s="6">
        <v>895000</v>
      </c>
      <c r="BJ50" s="6">
        <v>43</v>
      </c>
      <c r="BK50" s="6">
        <v>384850</v>
      </c>
      <c r="BL50" s="6">
        <v>510150</v>
      </c>
      <c r="BM50" s="2">
        <v>510150</v>
      </c>
      <c r="BN50">
        <f>InvoiceTable[[#This Row],[Giảm giá]]*InvoiceTable[[#This Row],[Số lượng]]</f>
        <v>384850</v>
      </c>
    </row>
    <row r="51" spans="1:66" x14ac:dyDescent="0.25">
      <c r="A51" t="s">
        <v>65</v>
      </c>
      <c r="B51" t="s">
        <v>311</v>
      </c>
      <c r="F51" s="2"/>
      <c r="G51" s="3">
        <v>46016.548095798615</v>
      </c>
      <c r="H51" s="3">
        <v>46016.548095914353</v>
      </c>
      <c r="I51" s="4" t="s">
        <v>67</v>
      </c>
      <c r="J51" t="s">
        <v>312</v>
      </c>
      <c r="K51" t="s">
        <v>67</v>
      </c>
      <c r="L51" t="s">
        <v>231</v>
      </c>
      <c r="M51" t="s">
        <v>232</v>
      </c>
      <c r="N51" t="s">
        <v>67</v>
      </c>
      <c r="O51" t="s">
        <v>233</v>
      </c>
      <c r="P51" t="s">
        <v>234</v>
      </c>
      <c r="S51" s="5"/>
      <c r="T51" t="s">
        <v>72</v>
      </c>
      <c r="U51" t="s">
        <v>73</v>
      </c>
      <c r="V51" t="s">
        <v>74</v>
      </c>
      <c r="W51" t="s">
        <v>87</v>
      </c>
      <c r="AE51" s="2"/>
      <c r="AF51" s="2"/>
      <c r="AG51" s="2"/>
      <c r="AH51" s="2"/>
      <c r="AK51" t="s">
        <v>313</v>
      </c>
      <c r="AL51" s="2">
        <v>6678750</v>
      </c>
      <c r="AM51" s="2">
        <v>0</v>
      </c>
      <c r="AN51" s="2"/>
      <c r="AO51" s="2">
        <v>0</v>
      </c>
      <c r="AP51" s="2">
        <v>6678750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4"/>
      <c r="AX51" t="s">
        <v>75</v>
      </c>
      <c r="AZ51" t="s">
        <v>331</v>
      </c>
      <c r="BA51" t="s">
        <v>67</v>
      </c>
      <c r="BB51" t="s">
        <v>332</v>
      </c>
      <c r="BC51" t="s">
        <v>333</v>
      </c>
      <c r="BD51" t="s">
        <v>79</v>
      </c>
      <c r="BE51" t="s">
        <v>334</v>
      </c>
      <c r="BF51" s="5">
        <v>47209</v>
      </c>
      <c r="BH51">
        <v>1</v>
      </c>
      <c r="BI51" s="6">
        <v>890000</v>
      </c>
      <c r="BJ51" s="6">
        <v>40</v>
      </c>
      <c r="BK51" s="6">
        <v>356000</v>
      </c>
      <c r="BL51" s="6">
        <v>534000</v>
      </c>
      <c r="BM51" s="2">
        <v>534000</v>
      </c>
      <c r="BN51">
        <f>InvoiceTable[[#This Row],[Giảm giá]]*InvoiceTable[[#This Row],[Số lượng]]</f>
        <v>356000</v>
      </c>
    </row>
    <row r="52" spans="1:66" x14ac:dyDescent="0.25">
      <c r="A52" t="s">
        <v>65</v>
      </c>
      <c r="B52" t="s">
        <v>311</v>
      </c>
      <c r="F52" s="2"/>
      <c r="G52" s="3">
        <v>46016.548095798615</v>
      </c>
      <c r="H52" s="3">
        <v>46016.548095914353</v>
      </c>
      <c r="I52" s="4" t="s">
        <v>67</v>
      </c>
      <c r="J52" t="s">
        <v>312</v>
      </c>
      <c r="K52" t="s">
        <v>67</v>
      </c>
      <c r="L52" t="s">
        <v>231</v>
      </c>
      <c r="M52" t="s">
        <v>232</v>
      </c>
      <c r="N52" t="s">
        <v>67</v>
      </c>
      <c r="O52" t="s">
        <v>233</v>
      </c>
      <c r="P52" t="s">
        <v>234</v>
      </c>
      <c r="S52" s="5"/>
      <c r="T52" t="s">
        <v>72</v>
      </c>
      <c r="U52" t="s">
        <v>73</v>
      </c>
      <c r="V52" t="s">
        <v>74</v>
      </c>
      <c r="W52" t="s">
        <v>87</v>
      </c>
      <c r="AE52" s="2"/>
      <c r="AF52" s="2"/>
      <c r="AG52" s="2"/>
      <c r="AH52" s="2"/>
      <c r="AK52" t="s">
        <v>313</v>
      </c>
      <c r="AL52" s="2">
        <v>6678750</v>
      </c>
      <c r="AM52" s="2">
        <v>0</v>
      </c>
      <c r="AN52" s="2"/>
      <c r="AO52" s="2">
        <v>0</v>
      </c>
      <c r="AP52" s="2">
        <v>6678750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4"/>
      <c r="AX52" t="s">
        <v>75</v>
      </c>
      <c r="AZ52" t="s">
        <v>335</v>
      </c>
      <c r="BA52" t="s">
        <v>67</v>
      </c>
      <c r="BB52" t="s">
        <v>336</v>
      </c>
      <c r="BC52" t="s">
        <v>333</v>
      </c>
      <c r="BD52" t="s">
        <v>79</v>
      </c>
      <c r="BE52" t="s">
        <v>220</v>
      </c>
      <c r="BF52" s="5">
        <v>47178</v>
      </c>
      <c r="BH52">
        <v>1</v>
      </c>
      <c r="BI52" s="6">
        <v>990000</v>
      </c>
      <c r="BJ52" s="6">
        <v>40</v>
      </c>
      <c r="BK52" s="6">
        <v>396000</v>
      </c>
      <c r="BL52" s="6">
        <v>594000</v>
      </c>
      <c r="BM52" s="2">
        <v>594000</v>
      </c>
      <c r="BN52">
        <f>InvoiceTable[[#This Row],[Giảm giá]]*InvoiceTable[[#This Row],[Số lượng]]</f>
        <v>396000</v>
      </c>
    </row>
    <row r="53" spans="1:66" x14ac:dyDescent="0.25">
      <c r="A53" t="s">
        <v>65</v>
      </c>
      <c r="B53" t="s">
        <v>311</v>
      </c>
      <c r="F53" s="2"/>
      <c r="G53" s="3">
        <v>46016.548095798615</v>
      </c>
      <c r="H53" s="3">
        <v>46016.548095914353</v>
      </c>
      <c r="I53" s="4" t="s">
        <v>67</v>
      </c>
      <c r="J53" t="s">
        <v>312</v>
      </c>
      <c r="K53" t="s">
        <v>67</v>
      </c>
      <c r="L53" t="s">
        <v>231</v>
      </c>
      <c r="M53" t="s">
        <v>232</v>
      </c>
      <c r="N53" t="s">
        <v>67</v>
      </c>
      <c r="O53" t="s">
        <v>233</v>
      </c>
      <c r="P53" t="s">
        <v>234</v>
      </c>
      <c r="S53" s="5"/>
      <c r="T53" t="s">
        <v>72</v>
      </c>
      <c r="U53" t="s">
        <v>73</v>
      </c>
      <c r="V53" t="s">
        <v>74</v>
      </c>
      <c r="W53" t="s">
        <v>87</v>
      </c>
      <c r="AE53" s="2"/>
      <c r="AF53" s="2"/>
      <c r="AG53" s="2"/>
      <c r="AH53" s="2"/>
      <c r="AK53" t="s">
        <v>313</v>
      </c>
      <c r="AL53" s="2">
        <v>6678750</v>
      </c>
      <c r="AM53" s="2">
        <v>0</v>
      </c>
      <c r="AN53" s="2"/>
      <c r="AO53" s="2">
        <v>0</v>
      </c>
      <c r="AP53" s="2">
        <v>6678750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4"/>
      <c r="AX53" t="s">
        <v>75</v>
      </c>
      <c r="AZ53" t="s">
        <v>337</v>
      </c>
      <c r="BA53" t="s">
        <v>67</v>
      </c>
      <c r="BB53" t="s">
        <v>338</v>
      </c>
      <c r="BC53" t="s">
        <v>333</v>
      </c>
      <c r="BD53" t="s">
        <v>79</v>
      </c>
      <c r="BE53" t="s">
        <v>339</v>
      </c>
      <c r="BF53" s="5">
        <v>47270</v>
      </c>
      <c r="BG53" t="s">
        <v>67</v>
      </c>
      <c r="BH53">
        <v>1</v>
      </c>
      <c r="BI53" s="6">
        <v>790000</v>
      </c>
      <c r="BJ53" s="6">
        <v>40</v>
      </c>
      <c r="BK53" s="6">
        <v>316000</v>
      </c>
      <c r="BL53" s="6">
        <v>474000</v>
      </c>
      <c r="BM53" s="2">
        <v>474000</v>
      </c>
      <c r="BN53">
        <f>InvoiceTable[[#This Row],[Giảm giá]]*InvoiceTable[[#This Row],[Số lượng]]</f>
        <v>316000</v>
      </c>
    </row>
    <row r="54" spans="1:66" x14ac:dyDescent="0.25">
      <c r="A54" t="s">
        <v>65</v>
      </c>
      <c r="B54" t="s">
        <v>311</v>
      </c>
      <c r="F54" s="2"/>
      <c r="G54" s="3">
        <v>46016.548095798615</v>
      </c>
      <c r="H54" s="3">
        <v>46016.548095914353</v>
      </c>
      <c r="I54" s="4" t="s">
        <v>67</v>
      </c>
      <c r="J54" t="s">
        <v>312</v>
      </c>
      <c r="K54" t="s">
        <v>67</v>
      </c>
      <c r="L54" t="s">
        <v>231</v>
      </c>
      <c r="M54" t="s">
        <v>232</v>
      </c>
      <c r="N54" t="s">
        <v>67</v>
      </c>
      <c r="O54" t="s">
        <v>233</v>
      </c>
      <c r="P54" t="s">
        <v>234</v>
      </c>
      <c r="S54" s="5"/>
      <c r="T54" t="s">
        <v>72</v>
      </c>
      <c r="U54" t="s">
        <v>73</v>
      </c>
      <c r="V54" t="s">
        <v>74</v>
      </c>
      <c r="W54" t="s">
        <v>87</v>
      </c>
      <c r="AE54" s="2"/>
      <c r="AF54" s="2"/>
      <c r="AG54" s="2"/>
      <c r="AH54" s="2"/>
      <c r="AK54" t="s">
        <v>313</v>
      </c>
      <c r="AL54" s="2">
        <v>6678750</v>
      </c>
      <c r="AM54" s="2">
        <v>0</v>
      </c>
      <c r="AN54" s="2"/>
      <c r="AO54" s="2">
        <v>0</v>
      </c>
      <c r="AP54" s="2">
        <v>6678750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4"/>
      <c r="AX54" t="s">
        <v>75</v>
      </c>
      <c r="AZ54" t="s">
        <v>340</v>
      </c>
      <c r="BA54" t="s">
        <v>67</v>
      </c>
      <c r="BB54" t="s">
        <v>341</v>
      </c>
      <c r="BC54" t="s">
        <v>204</v>
      </c>
      <c r="BD54" t="s">
        <v>79</v>
      </c>
      <c r="BE54" t="s">
        <v>334</v>
      </c>
      <c r="BF54" s="5">
        <v>47209</v>
      </c>
      <c r="BH54">
        <v>1</v>
      </c>
      <c r="BI54" s="6">
        <v>710000</v>
      </c>
      <c r="BJ54" s="6">
        <v>35</v>
      </c>
      <c r="BK54" s="6">
        <v>248500</v>
      </c>
      <c r="BL54" s="6">
        <v>461500</v>
      </c>
      <c r="BM54" s="2">
        <v>461500</v>
      </c>
      <c r="BN54">
        <f>InvoiceTable[[#This Row],[Giảm giá]]*InvoiceTable[[#This Row],[Số lượng]]</f>
        <v>248500</v>
      </c>
    </row>
    <row r="55" spans="1:66" x14ac:dyDescent="0.25">
      <c r="A55" t="s">
        <v>65</v>
      </c>
      <c r="B55" t="s">
        <v>311</v>
      </c>
      <c r="F55" s="2"/>
      <c r="G55" s="3">
        <v>46016.548095798615</v>
      </c>
      <c r="H55" s="3">
        <v>46016.548095914353</v>
      </c>
      <c r="I55" s="4" t="s">
        <v>67</v>
      </c>
      <c r="J55" t="s">
        <v>312</v>
      </c>
      <c r="K55" t="s">
        <v>67</v>
      </c>
      <c r="L55" t="s">
        <v>231</v>
      </c>
      <c r="M55" t="s">
        <v>232</v>
      </c>
      <c r="N55" t="s">
        <v>67</v>
      </c>
      <c r="O55" t="s">
        <v>233</v>
      </c>
      <c r="P55" t="s">
        <v>234</v>
      </c>
      <c r="S55" s="5"/>
      <c r="T55" t="s">
        <v>72</v>
      </c>
      <c r="U55" t="s">
        <v>73</v>
      </c>
      <c r="V55" t="s">
        <v>74</v>
      </c>
      <c r="W55" t="s">
        <v>87</v>
      </c>
      <c r="AE55" s="2"/>
      <c r="AF55" s="2"/>
      <c r="AG55" s="2"/>
      <c r="AH55" s="2"/>
      <c r="AK55" t="s">
        <v>313</v>
      </c>
      <c r="AL55" s="2">
        <v>6678750</v>
      </c>
      <c r="AM55" s="2">
        <v>0</v>
      </c>
      <c r="AN55" s="2"/>
      <c r="AO55" s="2">
        <v>0</v>
      </c>
      <c r="AP55" s="2">
        <v>6678750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4"/>
      <c r="AX55" t="s">
        <v>75</v>
      </c>
      <c r="AZ55" t="s">
        <v>342</v>
      </c>
      <c r="BA55" t="s">
        <v>67</v>
      </c>
      <c r="BB55" t="s">
        <v>343</v>
      </c>
      <c r="BC55" t="s">
        <v>344</v>
      </c>
      <c r="BD55" t="s">
        <v>79</v>
      </c>
      <c r="BE55" t="s">
        <v>177</v>
      </c>
      <c r="BF55" s="5">
        <v>47027</v>
      </c>
      <c r="BH55">
        <v>1</v>
      </c>
      <c r="BI55" s="6">
        <v>980000</v>
      </c>
      <c r="BJ55" s="6">
        <v>42</v>
      </c>
      <c r="BK55" s="6">
        <v>411600</v>
      </c>
      <c r="BL55" s="6">
        <v>568400</v>
      </c>
      <c r="BM55" s="2">
        <v>568400</v>
      </c>
      <c r="BN55">
        <f>InvoiceTable[[#This Row],[Giảm giá]]*InvoiceTable[[#This Row],[Số lượng]]</f>
        <v>411600</v>
      </c>
    </row>
    <row r="56" spans="1:66" x14ac:dyDescent="0.25">
      <c r="A56" t="s">
        <v>65</v>
      </c>
      <c r="B56" t="s">
        <v>311</v>
      </c>
      <c r="F56" s="2"/>
      <c r="G56" s="3">
        <v>46016.548095798615</v>
      </c>
      <c r="H56" s="3">
        <v>46016.548095914353</v>
      </c>
      <c r="I56" s="4" t="s">
        <v>67</v>
      </c>
      <c r="J56" t="s">
        <v>312</v>
      </c>
      <c r="K56" t="s">
        <v>67</v>
      </c>
      <c r="L56" t="s">
        <v>231</v>
      </c>
      <c r="M56" t="s">
        <v>232</v>
      </c>
      <c r="N56" t="s">
        <v>67</v>
      </c>
      <c r="O56" t="s">
        <v>233</v>
      </c>
      <c r="P56" t="s">
        <v>234</v>
      </c>
      <c r="S56" s="5"/>
      <c r="T56" t="s">
        <v>72</v>
      </c>
      <c r="U56" t="s">
        <v>73</v>
      </c>
      <c r="V56" t="s">
        <v>74</v>
      </c>
      <c r="W56" t="s">
        <v>87</v>
      </c>
      <c r="AE56" s="2"/>
      <c r="AF56" s="2"/>
      <c r="AG56" s="2"/>
      <c r="AH56" s="2"/>
      <c r="AK56" t="s">
        <v>313</v>
      </c>
      <c r="AL56" s="2">
        <v>6678750</v>
      </c>
      <c r="AM56" s="2">
        <v>0</v>
      </c>
      <c r="AN56" s="2"/>
      <c r="AO56" s="2">
        <v>0</v>
      </c>
      <c r="AP56" s="2">
        <v>6678750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4"/>
      <c r="AX56" t="s">
        <v>75</v>
      </c>
      <c r="AZ56" t="s">
        <v>345</v>
      </c>
      <c r="BA56" t="s">
        <v>67</v>
      </c>
      <c r="BB56" t="s">
        <v>346</v>
      </c>
      <c r="BC56" t="s">
        <v>347</v>
      </c>
      <c r="BD56" t="s">
        <v>79</v>
      </c>
      <c r="BE56" t="s">
        <v>348</v>
      </c>
      <c r="BF56" s="5">
        <v>47484</v>
      </c>
      <c r="BG56" t="s">
        <v>67</v>
      </c>
      <c r="BH56">
        <v>1</v>
      </c>
      <c r="BI56" s="6">
        <v>780000</v>
      </c>
      <c r="BJ56" s="6">
        <v>35</v>
      </c>
      <c r="BK56" s="6">
        <v>273000</v>
      </c>
      <c r="BL56" s="6">
        <v>507000</v>
      </c>
      <c r="BM56" s="2">
        <v>507000</v>
      </c>
      <c r="BN56">
        <f>InvoiceTable[[#This Row],[Giảm giá]]*InvoiceTable[[#This Row],[Số lượng]]</f>
        <v>273000</v>
      </c>
    </row>
    <row r="57" spans="1:66" x14ac:dyDescent="0.25">
      <c r="A57" t="s">
        <v>65</v>
      </c>
      <c r="B57" t="s">
        <v>349</v>
      </c>
      <c r="F57" s="2"/>
      <c r="G57" s="3">
        <v>46016.484225659726</v>
      </c>
      <c r="H57" s="3">
        <v>46016.484225729168</v>
      </c>
      <c r="I57" s="4" t="s">
        <v>67</v>
      </c>
      <c r="J57" t="s">
        <v>67</v>
      </c>
      <c r="K57" t="s">
        <v>67</v>
      </c>
      <c r="L57" t="s">
        <v>350</v>
      </c>
      <c r="M57" t="s">
        <v>351</v>
      </c>
      <c r="N57" t="s">
        <v>67</v>
      </c>
      <c r="O57" t="s">
        <v>352</v>
      </c>
      <c r="P57" t="s">
        <v>353</v>
      </c>
      <c r="S57" s="5"/>
      <c r="T57" t="s">
        <v>72</v>
      </c>
      <c r="U57" t="s">
        <v>87</v>
      </c>
      <c r="V57" t="s">
        <v>74</v>
      </c>
      <c r="W57" t="s">
        <v>87</v>
      </c>
      <c r="AE57" s="2"/>
      <c r="AF57" s="2"/>
      <c r="AG57" s="2"/>
      <c r="AH57" s="2"/>
      <c r="AK57" t="s">
        <v>354</v>
      </c>
      <c r="AL57" s="2">
        <v>4994000</v>
      </c>
      <c r="AM57" s="2">
        <v>0</v>
      </c>
      <c r="AN57" s="2"/>
      <c r="AO57" s="2">
        <v>0</v>
      </c>
      <c r="AP57" s="2">
        <v>4994000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4"/>
      <c r="AX57" t="s">
        <v>75</v>
      </c>
      <c r="AZ57" t="s">
        <v>355</v>
      </c>
      <c r="BB57" t="s">
        <v>356</v>
      </c>
      <c r="BC57" t="s">
        <v>357</v>
      </c>
      <c r="BD57" t="s">
        <v>79</v>
      </c>
      <c r="BE57" t="s">
        <v>317</v>
      </c>
      <c r="BF57" s="5">
        <v>46935</v>
      </c>
      <c r="BG57" t="s">
        <v>67</v>
      </c>
      <c r="BH57">
        <v>20</v>
      </c>
      <c r="BI57" s="6">
        <v>454000</v>
      </c>
      <c r="BJ57" s="6">
        <v>45</v>
      </c>
      <c r="BK57" s="6">
        <v>204300</v>
      </c>
      <c r="BL57" s="6">
        <v>249700</v>
      </c>
      <c r="BM57" s="2">
        <v>4994000</v>
      </c>
      <c r="BN57">
        <f>InvoiceTable[[#This Row],[Giảm giá]]*InvoiceTable[[#This Row],[Số lượng]]</f>
        <v>4086000</v>
      </c>
    </row>
    <row r="58" spans="1:66" x14ac:dyDescent="0.25">
      <c r="A58" t="s">
        <v>65</v>
      </c>
      <c r="B58" t="s">
        <v>358</v>
      </c>
      <c r="F58" s="2"/>
      <c r="G58" s="3">
        <v>46016.483871562501</v>
      </c>
      <c r="H58" s="3">
        <v>46016.483871724537</v>
      </c>
      <c r="I58" s="4" t="s">
        <v>67</v>
      </c>
      <c r="J58" t="s">
        <v>67</v>
      </c>
      <c r="K58" t="s">
        <v>67</v>
      </c>
      <c r="L58" t="s">
        <v>350</v>
      </c>
      <c r="M58" t="s">
        <v>351</v>
      </c>
      <c r="N58" t="s">
        <v>67</v>
      </c>
      <c r="O58" t="s">
        <v>352</v>
      </c>
      <c r="P58" t="s">
        <v>353</v>
      </c>
      <c r="S58" s="5"/>
      <c r="T58" t="s">
        <v>72</v>
      </c>
      <c r="U58" t="s">
        <v>87</v>
      </c>
      <c r="V58" t="s">
        <v>74</v>
      </c>
      <c r="W58" t="s">
        <v>87</v>
      </c>
      <c r="AE58" s="2"/>
      <c r="AF58" s="2"/>
      <c r="AG58" s="2"/>
      <c r="AH58" s="2"/>
      <c r="AK58" t="s">
        <v>359</v>
      </c>
      <c r="AL58" s="2">
        <v>12485000</v>
      </c>
      <c r="AM58" s="2">
        <v>0</v>
      </c>
      <c r="AN58" s="2"/>
      <c r="AO58" s="2">
        <v>0</v>
      </c>
      <c r="AP58" s="2">
        <v>12485000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4"/>
      <c r="AX58" t="s">
        <v>75</v>
      </c>
      <c r="AZ58" t="s">
        <v>355</v>
      </c>
      <c r="BB58" t="s">
        <v>356</v>
      </c>
      <c r="BC58" t="s">
        <v>357</v>
      </c>
      <c r="BD58" t="s">
        <v>79</v>
      </c>
      <c r="BE58" t="s">
        <v>317</v>
      </c>
      <c r="BF58" s="5">
        <v>46935</v>
      </c>
      <c r="BG58" t="s">
        <v>67</v>
      </c>
      <c r="BH58">
        <v>50</v>
      </c>
      <c r="BI58" s="6">
        <v>454000</v>
      </c>
      <c r="BJ58" s="6">
        <v>45</v>
      </c>
      <c r="BK58" s="6">
        <v>204300</v>
      </c>
      <c r="BL58" s="6">
        <v>249700</v>
      </c>
      <c r="BM58" s="2">
        <v>12485000</v>
      </c>
      <c r="BN58">
        <f>InvoiceTable[[#This Row],[Giảm giá]]*InvoiceTable[[#This Row],[Số lượng]]</f>
        <v>10215000</v>
      </c>
    </row>
    <row r="59" spans="1:66" x14ac:dyDescent="0.25">
      <c r="A59" t="s">
        <v>65</v>
      </c>
      <c r="B59" t="s">
        <v>360</v>
      </c>
      <c r="F59" s="2"/>
      <c r="G59" s="3">
        <v>46016.467165706017</v>
      </c>
      <c r="H59" s="3">
        <v>46016.467165856484</v>
      </c>
      <c r="I59" s="4" t="s">
        <v>67</v>
      </c>
      <c r="J59" t="s">
        <v>67</v>
      </c>
      <c r="K59" t="s">
        <v>67</v>
      </c>
      <c r="L59" t="s">
        <v>361</v>
      </c>
      <c r="M59" t="s">
        <v>362</v>
      </c>
      <c r="N59" t="s">
        <v>67</v>
      </c>
      <c r="O59" t="s">
        <v>363</v>
      </c>
      <c r="P59" t="s">
        <v>364</v>
      </c>
      <c r="S59" s="5"/>
      <c r="T59" t="s">
        <v>72</v>
      </c>
      <c r="U59" t="s">
        <v>87</v>
      </c>
      <c r="V59" t="s">
        <v>74</v>
      </c>
      <c r="W59" t="s">
        <v>87</v>
      </c>
      <c r="AE59" s="2"/>
      <c r="AF59" s="2"/>
      <c r="AG59" s="2"/>
      <c r="AH59" s="2"/>
      <c r="AL59" s="2">
        <v>293000</v>
      </c>
      <c r="AM59" s="2">
        <v>0</v>
      </c>
      <c r="AN59" s="2"/>
      <c r="AO59" s="2">
        <v>0</v>
      </c>
      <c r="AP59" s="2">
        <v>293000</v>
      </c>
      <c r="AQ59" s="2">
        <v>293000</v>
      </c>
      <c r="AR59" s="2">
        <v>0</v>
      </c>
      <c r="AS59" s="2">
        <v>0</v>
      </c>
      <c r="AT59" s="2">
        <v>0</v>
      </c>
      <c r="AU59" s="2">
        <v>293000</v>
      </c>
      <c r="AV59" s="2">
        <v>0</v>
      </c>
      <c r="AW59" s="4"/>
      <c r="AX59" t="s">
        <v>75</v>
      </c>
      <c r="AZ59" t="s">
        <v>88</v>
      </c>
      <c r="BB59" t="s">
        <v>89</v>
      </c>
      <c r="BC59" t="s">
        <v>90</v>
      </c>
      <c r="BF59" s="5"/>
      <c r="BG59" t="s">
        <v>67</v>
      </c>
      <c r="BH59">
        <v>1</v>
      </c>
      <c r="BI59" s="6">
        <v>27000</v>
      </c>
      <c r="BJ59" s="6">
        <v>0</v>
      </c>
      <c r="BK59" s="6">
        <v>0</v>
      </c>
      <c r="BL59" s="6">
        <v>27000</v>
      </c>
      <c r="BM59" s="2">
        <v>27000</v>
      </c>
      <c r="BN59">
        <f>InvoiceTable[[#This Row],[Giảm giá]]*InvoiceTable[[#This Row],[Số lượng]]</f>
        <v>0</v>
      </c>
    </row>
    <row r="60" spans="1:66" x14ac:dyDescent="0.25">
      <c r="A60" t="s">
        <v>65</v>
      </c>
      <c r="B60" t="s">
        <v>360</v>
      </c>
      <c r="F60" s="2"/>
      <c r="G60" s="3">
        <v>46016.467165706017</v>
      </c>
      <c r="H60" s="3">
        <v>46016.467165856484</v>
      </c>
      <c r="I60" s="4" t="s">
        <v>67</v>
      </c>
      <c r="J60" t="s">
        <v>67</v>
      </c>
      <c r="K60" t="s">
        <v>67</v>
      </c>
      <c r="L60" t="s">
        <v>361</v>
      </c>
      <c r="M60" t="s">
        <v>362</v>
      </c>
      <c r="N60" t="s">
        <v>67</v>
      </c>
      <c r="O60" t="s">
        <v>363</v>
      </c>
      <c r="P60" t="s">
        <v>364</v>
      </c>
      <c r="S60" s="5"/>
      <c r="T60" t="s">
        <v>72</v>
      </c>
      <c r="U60" t="s">
        <v>87</v>
      </c>
      <c r="V60" t="s">
        <v>74</v>
      </c>
      <c r="W60" t="s">
        <v>87</v>
      </c>
      <c r="AE60" s="2"/>
      <c r="AF60" s="2"/>
      <c r="AG60" s="2"/>
      <c r="AH60" s="2"/>
      <c r="AL60" s="2">
        <v>293000</v>
      </c>
      <c r="AM60" s="2">
        <v>0</v>
      </c>
      <c r="AN60" s="2"/>
      <c r="AO60" s="2">
        <v>0</v>
      </c>
      <c r="AP60" s="2">
        <v>293000</v>
      </c>
      <c r="AQ60" s="2">
        <v>293000</v>
      </c>
      <c r="AR60" s="2">
        <v>0</v>
      </c>
      <c r="AS60" s="2">
        <v>0</v>
      </c>
      <c r="AT60" s="2">
        <v>0</v>
      </c>
      <c r="AU60" s="2">
        <v>293000</v>
      </c>
      <c r="AV60" s="2">
        <v>0</v>
      </c>
      <c r="AW60" s="4"/>
      <c r="AX60" t="s">
        <v>75</v>
      </c>
      <c r="AZ60" t="s">
        <v>365</v>
      </c>
      <c r="BA60" t="s">
        <v>67</v>
      </c>
      <c r="BB60" t="s">
        <v>366</v>
      </c>
      <c r="BC60" t="s">
        <v>367</v>
      </c>
      <c r="BD60" t="s">
        <v>79</v>
      </c>
      <c r="BE60" t="s">
        <v>94</v>
      </c>
      <c r="BF60" s="5">
        <v>46692</v>
      </c>
      <c r="BH60">
        <v>1</v>
      </c>
      <c r="BI60" s="6">
        <v>380000</v>
      </c>
      <c r="BJ60" s="6">
        <v>30</v>
      </c>
      <c r="BK60" s="6">
        <v>114000</v>
      </c>
      <c r="BL60" s="6">
        <v>266000</v>
      </c>
      <c r="BM60" s="2">
        <v>266000</v>
      </c>
      <c r="BN60">
        <f>InvoiceTable[[#This Row],[Giảm giá]]*InvoiceTable[[#This Row],[Số lượng]]</f>
        <v>114000</v>
      </c>
    </row>
    <row r="61" spans="1:66" x14ac:dyDescent="0.25">
      <c r="A61" t="s">
        <v>65</v>
      </c>
      <c r="B61" t="s">
        <v>368</v>
      </c>
      <c r="F61" s="2"/>
      <c r="G61" s="3">
        <v>46016.456415856483</v>
      </c>
      <c r="H61" s="3">
        <v>46016.456404594908</v>
      </c>
      <c r="I61" s="4" t="s">
        <v>96</v>
      </c>
      <c r="J61" t="s">
        <v>369</v>
      </c>
      <c r="K61" t="s">
        <v>67</v>
      </c>
      <c r="L61" t="s">
        <v>69</v>
      </c>
      <c r="M61" t="s">
        <v>70</v>
      </c>
      <c r="N61" t="s">
        <v>67</v>
      </c>
      <c r="O61" t="s">
        <v>71</v>
      </c>
      <c r="Q61" t="s">
        <v>67</v>
      </c>
      <c r="R61" t="s">
        <v>67</v>
      </c>
      <c r="S61" s="5"/>
      <c r="T61" t="s">
        <v>72</v>
      </c>
      <c r="U61" t="s">
        <v>73</v>
      </c>
      <c r="V61" t="s">
        <v>74</v>
      </c>
      <c r="W61" t="s">
        <v>87</v>
      </c>
      <c r="AE61" s="2"/>
      <c r="AF61" s="2"/>
      <c r="AG61" s="2"/>
      <c r="AH61" s="2"/>
      <c r="AK61" t="s">
        <v>67</v>
      </c>
      <c r="AL61" s="2">
        <v>76000</v>
      </c>
      <c r="AM61" s="2">
        <v>0</v>
      </c>
      <c r="AN61" s="2"/>
      <c r="AO61" s="2">
        <v>0</v>
      </c>
      <c r="AP61" s="2">
        <v>76000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4"/>
      <c r="AX61" t="s">
        <v>75</v>
      </c>
      <c r="AZ61" t="s">
        <v>370</v>
      </c>
      <c r="BA61" t="s">
        <v>67</v>
      </c>
      <c r="BB61" t="s">
        <v>371</v>
      </c>
      <c r="BC61" t="s">
        <v>372</v>
      </c>
      <c r="BD61" t="s">
        <v>79</v>
      </c>
      <c r="BE61" t="s">
        <v>168</v>
      </c>
      <c r="BF61" s="5">
        <v>46388</v>
      </c>
      <c r="BG61" t="s">
        <v>67</v>
      </c>
      <c r="BH61">
        <v>4</v>
      </c>
      <c r="BI61" s="6">
        <v>30000</v>
      </c>
      <c r="BJ61" s="6">
        <v>0</v>
      </c>
      <c r="BK61" s="6">
        <v>11000</v>
      </c>
      <c r="BL61" s="6">
        <v>19000</v>
      </c>
      <c r="BM61" s="2">
        <v>76000</v>
      </c>
      <c r="BN61">
        <f>InvoiceTable[[#This Row],[Giảm giá]]*InvoiceTable[[#This Row],[Số lượng]]</f>
        <v>44000</v>
      </c>
    </row>
    <row r="62" spans="1:66" x14ac:dyDescent="0.25">
      <c r="A62" t="s">
        <v>65</v>
      </c>
      <c r="B62" t="s">
        <v>373</v>
      </c>
      <c r="F62" s="2"/>
      <c r="G62" s="3">
        <v>46016.455533715278</v>
      </c>
      <c r="H62" s="3">
        <v>46016.455533831017</v>
      </c>
      <c r="I62" s="4" t="s">
        <v>67</v>
      </c>
      <c r="J62" t="s">
        <v>374</v>
      </c>
      <c r="K62" t="s">
        <v>67</v>
      </c>
      <c r="L62" t="s">
        <v>69</v>
      </c>
      <c r="M62" t="s">
        <v>70</v>
      </c>
      <c r="N62" t="s">
        <v>67</v>
      </c>
      <c r="O62" t="s">
        <v>71</v>
      </c>
      <c r="Q62" t="s">
        <v>67</v>
      </c>
      <c r="R62" t="s">
        <v>67</v>
      </c>
      <c r="S62" s="5"/>
      <c r="T62" t="s">
        <v>72</v>
      </c>
      <c r="U62" t="s">
        <v>73</v>
      </c>
      <c r="V62" t="s">
        <v>74</v>
      </c>
      <c r="W62" t="s">
        <v>87</v>
      </c>
      <c r="AE62" s="2"/>
      <c r="AF62" s="2"/>
      <c r="AG62" s="2"/>
      <c r="AH62" s="2"/>
      <c r="AK62" t="s">
        <v>67</v>
      </c>
      <c r="AL62" s="2">
        <v>650000</v>
      </c>
      <c r="AM62" s="2">
        <v>0</v>
      </c>
      <c r="AN62" s="2"/>
      <c r="AO62" s="2">
        <v>0</v>
      </c>
      <c r="AP62" s="2">
        <v>650000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4"/>
      <c r="AX62" t="s">
        <v>75</v>
      </c>
      <c r="AZ62" t="s">
        <v>375</v>
      </c>
      <c r="BA62" t="s">
        <v>67</v>
      </c>
      <c r="BB62" t="s">
        <v>376</v>
      </c>
      <c r="BC62" t="s">
        <v>377</v>
      </c>
      <c r="BD62" t="s">
        <v>79</v>
      </c>
      <c r="BE62" t="s">
        <v>378</v>
      </c>
      <c r="BF62" s="5">
        <v>46997</v>
      </c>
      <c r="BG62" t="s">
        <v>67</v>
      </c>
      <c r="BH62">
        <v>2</v>
      </c>
      <c r="BI62" s="6">
        <v>500000</v>
      </c>
      <c r="BJ62" s="6">
        <v>35</v>
      </c>
      <c r="BK62" s="6">
        <v>175000</v>
      </c>
      <c r="BL62" s="6">
        <v>325000</v>
      </c>
      <c r="BM62" s="2">
        <v>650000</v>
      </c>
      <c r="BN62">
        <f>InvoiceTable[[#This Row],[Giảm giá]]*InvoiceTable[[#This Row],[Số lượng]]</f>
        <v>350000</v>
      </c>
    </row>
    <row r="63" spans="1:66" x14ac:dyDescent="0.25">
      <c r="A63" t="s">
        <v>65</v>
      </c>
      <c r="B63" t="s">
        <v>379</v>
      </c>
      <c r="F63" s="2"/>
      <c r="G63" s="3">
        <v>46016.455177974538</v>
      </c>
      <c r="H63" s="3">
        <v>46016.455178159726</v>
      </c>
      <c r="I63" s="4" t="s">
        <v>67</v>
      </c>
      <c r="J63" t="s">
        <v>380</v>
      </c>
      <c r="K63" t="s">
        <v>67</v>
      </c>
      <c r="L63" t="s">
        <v>381</v>
      </c>
      <c r="M63" t="s">
        <v>382</v>
      </c>
      <c r="N63" t="s">
        <v>383</v>
      </c>
      <c r="O63" t="s">
        <v>384</v>
      </c>
      <c r="P63" t="s">
        <v>385</v>
      </c>
      <c r="S63" s="5"/>
      <c r="T63" t="s">
        <v>72</v>
      </c>
      <c r="U63" t="s">
        <v>73</v>
      </c>
      <c r="V63" t="s">
        <v>74</v>
      </c>
      <c r="W63" t="s">
        <v>87</v>
      </c>
      <c r="AE63" s="2"/>
      <c r="AF63" s="2"/>
      <c r="AG63" s="2"/>
      <c r="AH63" s="2"/>
      <c r="AK63" t="s">
        <v>386</v>
      </c>
      <c r="AL63" s="2">
        <v>994200</v>
      </c>
      <c r="AM63" s="2">
        <v>0</v>
      </c>
      <c r="AN63" s="2"/>
      <c r="AO63" s="2">
        <v>0</v>
      </c>
      <c r="AP63" s="2">
        <v>994200</v>
      </c>
      <c r="AQ63" s="2">
        <v>994200</v>
      </c>
      <c r="AR63" s="2">
        <v>0</v>
      </c>
      <c r="AS63" s="2">
        <v>0</v>
      </c>
      <c r="AT63" s="2">
        <v>0</v>
      </c>
      <c r="AU63" s="2">
        <v>994200</v>
      </c>
      <c r="AV63" s="2">
        <v>0</v>
      </c>
      <c r="AW63" s="4"/>
      <c r="AX63" t="s">
        <v>75</v>
      </c>
      <c r="AZ63" t="s">
        <v>387</v>
      </c>
      <c r="BA63" t="s">
        <v>67</v>
      </c>
      <c r="BB63" t="s">
        <v>388</v>
      </c>
      <c r="BC63" t="s">
        <v>344</v>
      </c>
      <c r="BD63" t="s">
        <v>79</v>
      </c>
      <c r="BE63" t="s">
        <v>228</v>
      </c>
      <c r="BF63" s="5">
        <v>46813</v>
      </c>
      <c r="BH63">
        <v>3</v>
      </c>
      <c r="BI63" s="6">
        <v>80000</v>
      </c>
      <c r="BJ63" s="6">
        <v>42</v>
      </c>
      <c r="BK63" s="6">
        <v>33600</v>
      </c>
      <c r="BL63" s="6">
        <v>46400</v>
      </c>
      <c r="BM63" s="2">
        <v>139200</v>
      </c>
      <c r="BN63">
        <f>InvoiceTable[[#This Row],[Giảm giá]]*InvoiceTable[[#This Row],[Số lượng]]</f>
        <v>100800</v>
      </c>
    </row>
    <row r="64" spans="1:66" x14ac:dyDescent="0.25">
      <c r="A64" t="s">
        <v>65</v>
      </c>
      <c r="B64" t="s">
        <v>379</v>
      </c>
      <c r="F64" s="2"/>
      <c r="G64" s="3">
        <v>46016.455177974538</v>
      </c>
      <c r="H64" s="3">
        <v>46016.455178159726</v>
      </c>
      <c r="I64" s="4" t="s">
        <v>67</v>
      </c>
      <c r="J64" t="s">
        <v>380</v>
      </c>
      <c r="K64" t="s">
        <v>67</v>
      </c>
      <c r="L64" t="s">
        <v>381</v>
      </c>
      <c r="M64" t="s">
        <v>382</v>
      </c>
      <c r="N64" t="s">
        <v>383</v>
      </c>
      <c r="O64" t="s">
        <v>384</v>
      </c>
      <c r="P64" t="s">
        <v>385</v>
      </c>
      <c r="S64" s="5"/>
      <c r="T64" t="s">
        <v>72</v>
      </c>
      <c r="U64" t="s">
        <v>73</v>
      </c>
      <c r="V64" t="s">
        <v>74</v>
      </c>
      <c r="W64" t="s">
        <v>87</v>
      </c>
      <c r="AE64" s="2"/>
      <c r="AF64" s="2"/>
      <c r="AG64" s="2"/>
      <c r="AH64" s="2"/>
      <c r="AK64" t="s">
        <v>386</v>
      </c>
      <c r="AL64" s="2">
        <v>994200</v>
      </c>
      <c r="AM64" s="2">
        <v>0</v>
      </c>
      <c r="AN64" s="2"/>
      <c r="AO64" s="2">
        <v>0</v>
      </c>
      <c r="AP64" s="2">
        <v>994200</v>
      </c>
      <c r="AQ64" s="2">
        <v>994200</v>
      </c>
      <c r="AR64" s="2">
        <v>0</v>
      </c>
      <c r="AS64" s="2">
        <v>0</v>
      </c>
      <c r="AT64" s="2">
        <v>0</v>
      </c>
      <c r="AU64" s="2">
        <v>994200</v>
      </c>
      <c r="AV64" s="2">
        <v>0</v>
      </c>
      <c r="AW64" s="4"/>
      <c r="AX64" t="s">
        <v>75</v>
      </c>
      <c r="AZ64" t="s">
        <v>389</v>
      </c>
      <c r="BA64" t="s">
        <v>67</v>
      </c>
      <c r="BB64" t="s">
        <v>390</v>
      </c>
      <c r="BC64" t="s">
        <v>391</v>
      </c>
      <c r="BD64" t="s">
        <v>79</v>
      </c>
      <c r="BE64" t="s">
        <v>392</v>
      </c>
      <c r="BF64" s="5">
        <v>46725</v>
      </c>
      <c r="BH64">
        <v>1</v>
      </c>
      <c r="BI64" s="6">
        <v>1500000</v>
      </c>
      <c r="BJ64" s="6">
        <v>43</v>
      </c>
      <c r="BK64" s="6">
        <v>645000</v>
      </c>
      <c r="BL64" s="6">
        <v>855000</v>
      </c>
      <c r="BM64" s="2">
        <v>855000</v>
      </c>
      <c r="BN64">
        <f>InvoiceTable[[#This Row],[Giảm giá]]*InvoiceTable[[#This Row],[Số lượng]]</f>
        <v>645000</v>
      </c>
    </row>
    <row r="65" spans="1:66" x14ac:dyDescent="0.25">
      <c r="A65" t="s">
        <v>65</v>
      </c>
      <c r="B65" t="s">
        <v>393</v>
      </c>
      <c r="F65" s="2"/>
      <c r="G65" s="3">
        <v>46016.449594328704</v>
      </c>
      <c r="H65" s="3">
        <v>46016.449598067127</v>
      </c>
      <c r="I65" s="4" t="s">
        <v>67</v>
      </c>
      <c r="J65" t="s">
        <v>67</v>
      </c>
      <c r="K65" t="s">
        <v>67</v>
      </c>
      <c r="L65" t="s">
        <v>394</v>
      </c>
      <c r="M65" t="s">
        <v>395</v>
      </c>
      <c r="N65" t="s">
        <v>67</v>
      </c>
      <c r="Q65" t="s">
        <v>67</v>
      </c>
      <c r="R65" t="s">
        <v>67</v>
      </c>
      <c r="S65" s="5"/>
      <c r="T65" t="s">
        <v>72</v>
      </c>
      <c r="U65" t="s">
        <v>87</v>
      </c>
      <c r="V65" t="s">
        <v>74</v>
      </c>
      <c r="W65" t="s">
        <v>87</v>
      </c>
      <c r="AE65" s="2"/>
      <c r="AF65" s="2"/>
      <c r="AG65" s="2"/>
      <c r="AH65" s="2"/>
      <c r="AL65" s="2">
        <v>2470000</v>
      </c>
      <c r="AM65" s="2">
        <v>0</v>
      </c>
      <c r="AN65" s="2"/>
      <c r="AO65" s="2">
        <v>0</v>
      </c>
      <c r="AP65" s="2">
        <v>2470000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4"/>
      <c r="AX65" t="s">
        <v>75</v>
      </c>
      <c r="AZ65" t="s">
        <v>107</v>
      </c>
      <c r="BA65" t="s">
        <v>67</v>
      </c>
      <c r="BB65" t="s">
        <v>108</v>
      </c>
      <c r="BC65" t="s">
        <v>109</v>
      </c>
      <c r="BD65" t="s">
        <v>79</v>
      </c>
      <c r="BE65" t="s">
        <v>94</v>
      </c>
      <c r="BF65" s="5">
        <v>46692</v>
      </c>
      <c r="BH65">
        <v>1</v>
      </c>
      <c r="BI65" s="6">
        <v>4500000</v>
      </c>
      <c r="BJ65" s="6">
        <v>0</v>
      </c>
      <c r="BK65" s="6">
        <v>2030000</v>
      </c>
      <c r="BL65" s="6">
        <v>2470000</v>
      </c>
      <c r="BM65" s="2">
        <v>2470000</v>
      </c>
      <c r="BN65">
        <f>InvoiceTable[[#This Row],[Giảm giá]]*InvoiceTable[[#This Row],[Số lượng]]</f>
        <v>2030000</v>
      </c>
    </row>
    <row r="66" spans="1:66" x14ac:dyDescent="0.25">
      <c r="A66" t="s">
        <v>65</v>
      </c>
      <c r="B66" t="s">
        <v>396</v>
      </c>
      <c r="F66" s="2"/>
      <c r="G66" s="3">
        <v>46016.44672630787</v>
      </c>
      <c r="H66" s="3">
        <v>46016.446714849539</v>
      </c>
      <c r="I66" s="4" t="s">
        <v>96</v>
      </c>
      <c r="J66" t="s">
        <v>397</v>
      </c>
      <c r="K66" t="s">
        <v>67</v>
      </c>
      <c r="L66" t="s">
        <v>398</v>
      </c>
      <c r="M66" t="s">
        <v>399</v>
      </c>
      <c r="N66" t="s">
        <v>400</v>
      </c>
      <c r="O66" t="s">
        <v>401</v>
      </c>
      <c r="P66" t="s">
        <v>402</v>
      </c>
      <c r="S66" s="5"/>
      <c r="T66" t="s">
        <v>72</v>
      </c>
      <c r="U66" t="s">
        <v>102</v>
      </c>
      <c r="V66" t="s">
        <v>74</v>
      </c>
      <c r="W66" t="s">
        <v>87</v>
      </c>
      <c r="AE66" s="2"/>
      <c r="AF66" s="2"/>
      <c r="AG66" s="2"/>
      <c r="AH66" s="2"/>
      <c r="AK66" t="s">
        <v>403</v>
      </c>
      <c r="AL66" s="2">
        <v>544500</v>
      </c>
      <c r="AM66" s="2">
        <v>0</v>
      </c>
      <c r="AN66" s="2"/>
      <c r="AO66" s="2">
        <v>0</v>
      </c>
      <c r="AP66" s="2">
        <v>544500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4"/>
      <c r="AX66" t="s">
        <v>75</v>
      </c>
      <c r="AZ66" t="s">
        <v>404</v>
      </c>
      <c r="BA66" t="s">
        <v>67</v>
      </c>
      <c r="BB66" t="s">
        <v>405</v>
      </c>
      <c r="BC66" t="s">
        <v>406</v>
      </c>
      <c r="BD66" t="s">
        <v>79</v>
      </c>
      <c r="BE66" t="s">
        <v>131</v>
      </c>
      <c r="BF66" s="5">
        <v>46874</v>
      </c>
      <c r="BH66">
        <v>1</v>
      </c>
      <c r="BI66" s="6">
        <v>990000</v>
      </c>
      <c r="BJ66" s="6">
        <v>45</v>
      </c>
      <c r="BK66" s="6">
        <v>445500</v>
      </c>
      <c r="BL66" s="6">
        <v>544500</v>
      </c>
      <c r="BM66" s="2">
        <v>544500</v>
      </c>
      <c r="BN66">
        <f>InvoiceTable[[#This Row],[Giảm giá]]*InvoiceTable[[#This Row],[Số lượng]]</f>
        <v>445500</v>
      </c>
    </row>
    <row r="67" spans="1:66" x14ac:dyDescent="0.25">
      <c r="A67" t="s">
        <v>65</v>
      </c>
      <c r="B67" t="s">
        <v>407</v>
      </c>
      <c r="F67" s="2"/>
      <c r="G67" s="3">
        <v>46016.44584270833</v>
      </c>
      <c r="H67" s="3">
        <v>46016.445842789355</v>
      </c>
      <c r="I67" s="4" t="s">
        <v>67</v>
      </c>
      <c r="J67" t="s">
        <v>67</v>
      </c>
      <c r="K67" t="s">
        <v>67</v>
      </c>
      <c r="L67" t="s">
        <v>408</v>
      </c>
      <c r="M67" t="s">
        <v>409</v>
      </c>
      <c r="N67" t="s">
        <v>67</v>
      </c>
      <c r="O67" t="s">
        <v>410</v>
      </c>
      <c r="P67" t="s">
        <v>411</v>
      </c>
      <c r="S67" s="5"/>
      <c r="T67" t="s">
        <v>72</v>
      </c>
      <c r="U67" t="s">
        <v>87</v>
      </c>
      <c r="V67" t="s">
        <v>74</v>
      </c>
      <c r="W67" t="s">
        <v>87</v>
      </c>
      <c r="AE67" s="2"/>
      <c r="AF67" s="2"/>
      <c r="AG67" s="2"/>
      <c r="AH67" s="2"/>
      <c r="AL67" s="2">
        <v>8400000</v>
      </c>
      <c r="AM67" s="2">
        <v>0</v>
      </c>
      <c r="AN67" s="2"/>
      <c r="AO67" s="2">
        <v>0</v>
      </c>
      <c r="AP67" s="2">
        <v>8400000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4"/>
      <c r="AX67" t="s">
        <v>75</v>
      </c>
      <c r="AZ67" t="s">
        <v>103</v>
      </c>
      <c r="BB67" t="s">
        <v>104</v>
      </c>
      <c r="BC67" t="s">
        <v>105</v>
      </c>
      <c r="BD67" t="s">
        <v>79</v>
      </c>
      <c r="BE67" t="s">
        <v>106</v>
      </c>
      <c r="BF67" s="5">
        <v>46327</v>
      </c>
      <c r="BH67">
        <v>2</v>
      </c>
      <c r="BI67" s="6">
        <v>6930000</v>
      </c>
      <c r="BJ67" s="6">
        <v>0</v>
      </c>
      <c r="BK67" s="6">
        <v>2730000</v>
      </c>
      <c r="BL67" s="6">
        <v>4200000</v>
      </c>
      <c r="BM67" s="2">
        <v>8400000</v>
      </c>
      <c r="BN67">
        <f>InvoiceTable[[#This Row],[Giảm giá]]*InvoiceTable[[#This Row],[Số lượng]]</f>
        <v>5460000</v>
      </c>
    </row>
    <row r="68" spans="1:66" x14ac:dyDescent="0.25">
      <c r="A68" t="s">
        <v>65</v>
      </c>
      <c r="B68" t="s">
        <v>412</v>
      </c>
      <c r="F68" s="2"/>
      <c r="G68" s="3">
        <v>46016.42142515046</v>
      </c>
      <c r="H68" s="3">
        <v>46016.421425266206</v>
      </c>
      <c r="I68" s="4" t="s">
        <v>413</v>
      </c>
      <c r="J68" t="s">
        <v>67</v>
      </c>
      <c r="K68" t="s">
        <v>67</v>
      </c>
      <c r="L68" t="s">
        <v>414</v>
      </c>
      <c r="M68" t="s">
        <v>415</v>
      </c>
      <c r="N68" t="s">
        <v>416</v>
      </c>
      <c r="O68" t="s">
        <v>417</v>
      </c>
      <c r="P68" t="s">
        <v>418</v>
      </c>
      <c r="S68" s="5"/>
      <c r="T68" t="s">
        <v>72</v>
      </c>
      <c r="U68" t="s">
        <v>87</v>
      </c>
      <c r="V68" t="s">
        <v>74</v>
      </c>
      <c r="W68" t="s">
        <v>87</v>
      </c>
      <c r="AE68" s="2"/>
      <c r="AF68" s="2"/>
      <c r="AG68" s="2"/>
      <c r="AH68" s="2"/>
      <c r="AK68" t="s">
        <v>419</v>
      </c>
      <c r="AL68" s="2">
        <v>1097740</v>
      </c>
      <c r="AM68" s="2">
        <v>0</v>
      </c>
      <c r="AN68" s="2"/>
      <c r="AO68" s="2">
        <v>0</v>
      </c>
      <c r="AP68" s="2">
        <v>1097740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4"/>
      <c r="AX68" t="s">
        <v>75</v>
      </c>
      <c r="AZ68" t="s">
        <v>420</v>
      </c>
      <c r="BA68" t="s">
        <v>67</v>
      </c>
      <c r="BB68" t="s">
        <v>421</v>
      </c>
      <c r="BC68" t="s">
        <v>422</v>
      </c>
      <c r="BD68" t="s">
        <v>79</v>
      </c>
      <c r="BE68" t="s">
        <v>423</v>
      </c>
      <c r="BF68" s="5">
        <v>47543</v>
      </c>
      <c r="BH68">
        <v>1</v>
      </c>
      <c r="BI68" s="6">
        <v>567000</v>
      </c>
      <c r="BJ68" s="6">
        <v>38</v>
      </c>
      <c r="BK68" s="6">
        <v>215460</v>
      </c>
      <c r="BL68" s="6">
        <v>351540</v>
      </c>
      <c r="BM68" s="2">
        <v>351540</v>
      </c>
      <c r="BN68">
        <f>InvoiceTable[[#This Row],[Giảm giá]]*InvoiceTable[[#This Row],[Số lượng]]</f>
        <v>215460</v>
      </c>
    </row>
    <row r="69" spans="1:66" x14ac:dyDescent="0.25">
      <c r="A69" t="s">
        <v>65</v>
      </c>
      <c r="B69" t="s">
        <v>412</v>
      </c>
      <c r="F69" s="2"/>
      <c r="G69" s="3">
        <v>46016.42142515046</v>
      </c>
      <c r="H69" s="3">
        <v>46016.421425266206</v>
      </c>
      <c r="I69" s="4" t="s">
        <v>413</v>
      </c>
      <c r="J69" t="s">
        <v>67</v>
      </c>
      <c r="K69" t="s">
        <v>67</v>
      </c>
      <c r="L69" t="s">
        <v>414</v>
      </c>
      <c r="M69" t="s">
        <v>415</v>
      </c>
      <c r="N69" t="s">
        <v>416</v>
      </c>
      <c r="O69" t="s">
        <v>417</v>
      </c>
      <c r="P69" t="s">
        <v>418</v>
      </c>
      <c r="S69" s="5"/>
      <c r="T69" t="s">
        <v>72</v>
      </c>
      <c r="U69" t="s">
        <v>87</v>
      </c>
      <c r="V69" t="s">
        <v>74</v>
      </c>
      <c r="W69" t="s">
        <v>87</v>
      </c>
      <c r="AE69" s="2"/>
      <c r="AF69" s="2"/>
      <c r="AG69" s="2"/>
      <c r="AH69" s="2"/>
      <c r="AK69" t="s">
        <v>419</v>
      </c>
      <c r="AL69" s="2">
        <v>1097740</v>
      </c>
      <c r="AM69" s="2">
        <v>0</v>
      </c>
      <c r="AN69" s="2"/>
      <c r="AO69" s="2">
        <v>0</v>
      </c>
      <c r="AP69" s="2">
        <v>1097740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4"/>
      <c r="AX69" t="s">
        <v>75</v>
      </c>
      <c r="AZ69" t="s">
        <v>424</v>
      </c>
      <c r="BA69" t="s">
        <v>67</v>
      </c>
      <c r="BB69" t="s">
        <v>425</v>
      </c>
      <c r="BC69" t="s">
        <v>426</v>
      </c>
      <c r="BD69" t="s">
        <v>79</v>
      </c>
      <c r="BE69" t="s">
        <v>198</v>
      </c>
      <c r="BF69" s="5">
        <v>46753</v>
      </c>
      <c r="BH69">
        <v>1</v>
      </c>
      <c r="BI69" s="6">
        <v>590000</v>
      </c>
      <c r="BJ69" s="6">
        <v>37</v>
      </c>
      <c r="BK69" s="6">
        <v>218300</v>
      </c>
      <c r="BL69" s="6">
        <v>371700</v>
      </c>
      <c r="BM69" s="2">
        <v>371700</v>
      </c>
      <c r="BN69">
        <f>InvoiceTable[[#This Row],[Giảm giá]]*InvoiceTable[[#This Row],[Số lượng]]</f>
        <v>218300</v>
      </c>
    </row>
    <row r="70" spans="1:66" x14ac:dyDescent="0.25">
      <c r="A70" t="s">
        <v>65</v>
      </c>
      <c r="B70" t="s">
        <v>412</v>
      </c>
      <c r="F70" s="2"/>
      <c r="G70" s="3">
        <v>46016.42142515046</v>
      </c>
      <c r="H70" s="3">
        <v>46016.421425266206</v>
      </c>
      <c r="I70" s="4" t="s">
        <v>413</v>
      </c>
      <c r="J70" t="s">
        <v>67</v>
      </c>
      <c r="K70" t="s">
        <v>67</v>
      </c>
      <c r="L70" t="s">
        <v>414</v>
      </c>
      <c r="M70" t="s">
        <v>415</v>
      </c>
      <c r="N70" t="s">
        <v>416</v>
      </c>
      <c r="O70" t="s">
        <v>417</v>
      </c>
      <c r="P70" t="s">
        <v>418</v>
      </c>
      <c r="S70" s="5"/>
      <c r="T70" t="s">
        <v>72</v>
      </c>
      <c r="U70" t="s">
        <v>87</v>
      </c>
      <c r="V70" t="s">
        <v>74</v>
      </c>
      <c r="W70" t="s">
        <v>87</v>
      </c>
      <c r="AE70" s="2"/>
      <c r="AF70" s="2"/>
      <c r="AG70" s="2"/>
      <c r="AH70" s="2"/>
      <c r="AK70" t="s">
        <v>419</v>
      </c>
      <c r="AL70" s="2">
        <v>1097740</v>
      </c>
      <c r="AM70" s="2">
        <v>0</v>
      </c>
      <c r="AN70" s="2"/>
      <c r="AO70" s="2">
        <v>0</v>
      </c>
      <c r="AP70" s="2">
        <v>1097740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4"/>
      <c r="AX70" t="s">
        <v>75</v>
      </c>
      <c r="AZ70" t="s">
        <v>427</v>
      </c>
      <c r="BA70" t="s">
        <v>67</v>
      </c>
      <c r="BB70" t="s">
        <v>428</v>
      </c>
      <c r="BC70" t="s">
        <v>367</v>
      </c>
      <c r="BD70" t="s">
        <v>79</v>
      </c>
      <c r="BE70" t="s">
        <v>228</v>
      </c>
      <c r="BF70" s="5">
        <v>46813</v>
      </c>
      <c r="BH70">
        <v>1</v>
      </c>
      <c r="BI70" s="6">
        <v>535000</v>
      </c>
      <c r="BJ70" s="6">
        <v>30</v>
      </c>
      <c r="BK70" s="6">
        <v>160500</v>
      </c>
      <c r="BL70" s="6">
        <v>374500</v>
      </c>
      <c r="BM70" s="2">
        <v>374500</v>
      </c>
      <c r="BN70">
        <f>InvoiceTable[[#This Row],[Giảm giá]]*InvoiceTable[[#This Row],[Số lượng]]</f>
        <v>160500</v>
      </c>
    </row>
    <row r="71" spans="1:66" x14ac:dyDescent="0.25">
      <c r="A71" t="s">
        <v>65</v>
      </c>
      <c r="B71" t="s">
        <v>429</v>
      </c>
      <c r="F71" s="2"/>
      <c r="G71" s="3">
        <v>46016.41951172454</v>
      </c>
      <c r="H71" s="3">
        <v>46016.420973576387</v>
      </c>
      <c r="I71" s="4" t="s">
        <v>96</v>
      </c>
      <c r="J71" t="s">
        <v>67</v>
      </c>
      <c r="K71" t="s">
        <v>67</v>
      </c>
      <c r="L71" t="s">
        <v>414</v>
      </c>
      <c r="M71" t="s">
        <v>415</v>
      </c>
      <c r="N71" t="s">
        <v>416</v>
      </c>
      <c r="O71" t="s">
        <v>417</v>
      </c>
      <c r="P71" t="s">
        <v>418</v>
      </c>
      <c r="S71" s="5"/>
      <c r="T71" t="s">
        <v>72</v>
      </c>
      <c r="U71" t="s">
        <v>87</v>
      </c>
      <c r="V71" t="s">
        <v>74</v>
      </c>
      <c r="W71" t="s">
        <v>87</v>
      </c>
      <c r="AE71" s="2"/>
      <c r="AF71" s="2"/>
      <c r="AG71" s="2"/>
      <c r="AH71" s="2"/>
      <c r="AK71" t="s">
        <v>430</v>
      </c>
      <c r="AL71" s="2">
        <v>2025520</v>
      </c>
      <c r="AM71" s="2">
        <v>0</v>
      </c>
      <c r="AN71" s="2"/>
      <c r="AO71" s="2">
        <v>0</v>
      </c>
      <c r="AP71" s="2">
        <v>2025520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4"/>
      <c r="AX71" t="s">
        <v>75</v>
      </c>
      <c r="AZ71" t="s">
        <v>431</v>
      </c>
      <c r="BA71" t="s">
        <v>67</v>
      </c>
      <c r="BB71" t="s">
        <v>432</v>
      </c>
      <c r="BC71" t="s">
        <v>433</v>
      </c>
      <c r="BD71" t="s">
        <v>79</v>
      </c>
      <c r="BE71" t="s">
        <v>434</v>
      </c>
      <c r="BF71" s="5">
        <v>46661</v>
      </c>
      <c r="BG71" t="s">
        <v>67</v>
      </c>
      <c r="BH71">
        <v>1</v>
      </c>
      <c r="BI71" s="6">
        <v>1544000</v>
      </c>
      <c r="BJ71" s="6">
        <v>42</v>
      </c>
      <c r="BK71" s="6">
        <v>648480</v>
      </c>
      <c r="BL71" s="6">
        <v>895520</v>
      </c>
      <c r="BM71" s="2">
        <v>895520</v>
      </c>
      <c r="BN71">
        <f>InvoiceTable[[#This Row],[Giảm giá]]*InvoiceTable[[#This Row],[Số lượng]]</f>
        <v>648480</v>
      </c>
    </row>
    <row r="72" spans="1:66" x14ac:dyDescent="0.25">
      <c r="A72" t="s">
        <v>65</v>
      </c>
      <c r="B72" t="s">
        <v>429</v>
      </c>
      <c r="F72" s="2"/>
      <c r="G72" s="3">
        <v>46016.41951172454</v>
      </c>
      <c r="H72" s="3">
        <v>46016.420973576387</v>
      </c>
      <c r="I72" s="4" t="s">
        <v>96</v>
      </c>
      <c r="J72" t="s">
        <v>67</v>
      </c>
      <c r="K72" t="s">
        <v>67</v>
      </c>
      <c r="L72" t="s">
        <v>414</v>
      </c>
      <c r="M72" t="s">
        <v>415</v>
      </c>
      <c r="N72" t="s">
        <v>416</v>
      </c>
      <c r="O72" t="s">
        <v>417</v>
      </c>
      <c r="P72" t="s">
        <v>418</v>
      </c>
      <c r="S72" s="5"/>
      <c r="T72" t="s">
        <v>72</v>
      </c>
      <c r="U72" t="s">
        <v>87</v>
      </c>
      <c r="V72" t="s">
        <v>74</v>
      </c>
      <c r="W72" t="s">
        <v>87</v>
      </c>
      <c r="AE72" s="2"/>
      <c r="AF72" s="2"/>
      <c r="AG72" s="2"/>
      <c r="AH72" s="2"/>
      <c r="AK72" t="s">
        <v>430</v>
      </c>
      <c r="AL72" s="2">
        <v>2025520</v>
      </c>
      <c r="AM72" s="2">
        <v>0</v>
      </c>
      <c r="AN72" s="2"/>
      <c r="AO72" s="2">
        <v>0</v>
      </c>
      <c r="AP72" s="2">
        <v>2025520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4"/>
      <c r="AX72" t="s">
        <v>75</v>
      </c>
      <c r="AZ72" t="s">
        <v>435</v>
      </c>
      <c r="BA72" t="s">
        <v>67</v>
      </c>
      <c r="BB72" t="s">
        <v>436</v>
      </c>
      <c r="BC72" t="s">
        <v>437</v>
      </c>
      <c r="BD72" t="s">
        <v>79</v>
      </c>
      <c r="BE72" t="s">
        <v>142</v>
      </c>
      <c r="BF72" s="5">
        <v>46844</v>
      </c>
      <c r="BH72">
        <v>1</v>
      </c>
      <c r="BI72" s="6">
        <v>1200000</v>
      </c>
      <c r="BJ72" s="6">
        <v>0</v>
      </c>
      <c r="BK72" s="6">
        <v>530000</v>
      </c>
      <c r="BL72" s="6">
        <v>670000</v>
      </c>
      <c r="BM72" s="2">
        <v>670000</v>
      </c>
      <c r="BN72">
        <f>InvoiceTable[[#This Row],[Giảm giá]]*InvoiceTable[[#This Row],[Số lượng]]</f>
        <v>530000</v>
      </c>
    </row>
    <row r="73" spans="1:66" x14ac:dyDescent="0.25">
      <c r="A73" t="s">
        <v>65</v>
      </c>
      <c r="B73" t="s">
        <v>429</v>
      </c>
      <c r="F73" s="2"/>
      <c r="G73" s="3">
        <v>46016.41951172454</v>
      </c>
      <c r="H73" s="3">
        <v>46016.420973576387</v>
      </c>
      <c r="I73" s="4" t="s">
        <v>96</v>
      </c>
      <c r="J73" t="s">
        <v>67</v>
      </c>
      <c r="K73" t="s">
        <v>67</v>
      </c>
      <c r="L73" t="s">
        <v>414</v>
      </c>
      <c r="M73" t="s">
        <v>415</v>
      </c>
      <c r="N73" t="s">
        <v>416</v>
      </c>
      <c r="O73" t="s">
        <v>417</v>
      </c>
      <c r="P73" t="s">
        <v>418</v>
      </c>
      <c r="S73" s="5"/>
      <c r="T73" t="s">
        <v>72</v>
      </c>
      <c r="U73" t="s">
        <v>87</v>
      </c>
      <c r="V73" t="s">
        <v>74</v>
      </c>
      <c r="W73" t="s">
        <v>87</v>
      </c>
      <c r="AE73" s="2"/>
      <c r="AF73" s="2"/>
      <c r="AG73" s="2"/>
      <c r="AH73" s="2"/>
      <c r="AK73" t="s">
        <v>430</v>
      </c>
      <c r="AL73" s="2">
        <v>2025520</v>
      </c>
      <c r="AM73" s="2">
        <v>0</v>
      </c>
      <c r="AN73" s="2"/>
      <c r="AO73" s="2">
        <v>0</v>
      </c>
      <c r="AP73" s="2">
        <v>2025520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4"/>
      <c r="AX73" t="s">
        <v>75</v>
      </c>
      <c r="AZ73" t="s">
        <v>438</v>
      </c>
      <c r="BA73" t="s">
        <v>67</v>
      </c>
      <c r="BB73" t="s">
        <v>439</v>
      </c>
      <c r="BC73" t="s">
        <v>440</v>
      </c>
      <c r="BD73" t="s">
        <v>79</v>
      </c>
      <c r="BE73" t="s">
        <v>216</v>
      </c>
      <c r="BF73" s="5">
        <v>46784</v>
      </c>
      <c r="BH73">
        <v>2</v>
      </c>
      <c r="BI73" s="6">
        <v>450000</v>
      </c>
      <c r="BJ73" s="6">
        <v>0</v>
      </c>
      <c r="BK73" s="6">
        <v>220000</v>
      </c>
      <c r="BL73" s="6">
        <v>230000</v>
      </c>
      <c r="BM73" s="2">
        <v>460000</v>
      </c>
      <c r="BN73">
        <f>InvoiceTable[[#This Row],[Giảm giá]]*InvoiceTable[[#This Row],[Số lượng]]</f>
        <v>440000</v>
      </c>
    </row>
    <row r="74" spans="1:66" x14ac:dyDescent="0.25">
      <c r="A74" t="s">
        <v>65</v>
      </c>
      <c r="B74" t="s">
        <v>441</v>
      </c>
      <c r="F74" s="2"/>
      <c r="G74" s="3">
        <v>46016.418807407405</v>
      </c>
      <c r="H74" s="3">
        <v>46016.418796030091</v>
      </c>
      <c r="I74" s="4" t="s">
        <v>96</v>
      </c>
      <c r="J74" t="s">
        <v>67</v>
      </c>
      <c r="K74" t="s">
        <v>67</v>
      </c>
      <c r="L74" t="s">
        <v>442</v>
      </c>
      <c r="M74" t="s">
        <v>443</v>
      </c>
      <c r="N74" t="s">
        <v>67</v>
      </c>
      <c r="O74" t="s">
        <v>444</v>
      </c>
      <c r="P74" t="s">
        <v>445</v>
      </c>
      <c r="Q74" t="s">
        <v>67</v>
      </c>
      <c r="R74" t="s">
        <v>67</v>
      </c>
      <c r="S74" s="5"/>
      <c r="T74" t="s">
        <v>72</v>
      </c>
      <c r="U74" t="s">
        <v>87</v>
      </c>
      <c r="V74" t="s">
        <v>74</v>
      </c>
      <c r="W74" t="s">
        <v>87</v>
      </c>
      <c r="AE74" s="2"/>
      <c r="AF74" s="2"/>
      <c r="AG74" s="2"/>
      <c r="AH74" s="2"/>
      <c r="AK74" t="s">
        <v>446</v>
      </c>
      <c r="AL74" s="2">
        <v>5270000</v>
      </c>
      <c r="AM74" s="2">
        <v>0</v>
      </c>
      <c r="AN74" s="2"/>
      <c r="AO74" s="2">
        <v>0</v>
      </c>
      <c r="AP74" s="2">
        <v>5270000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4"/>
      <c r="AX74" t="s">
        <v>75</v>
      </c>
      <c r="AZ74" t="s">
        <v>447</v>
      </c>
      <c r="BA74" t="s">
        <v>67</v>
      </c>
      <c r="BB74" t="s">
        <v>448</v>
      </c>
      <c r="BC74" t="s">
        <v>449</v>
      </c>
      <c r="BD74" t="s">
        <v>79</v>
      </c>
      <c r="BE74" t="s">
        <v>159</v>
      </c>
      <c r="BF74" s="5">
        <v>46478</v>
      </c>
      <c r="BH74">
        <v>1</v>
      </c>
      <c r="BI74" s="6">
        <v>4730000</v>
      </c>
      <c r="BJ74" s="6">
        <v>0</v>
      </c>
      <c r="BK74" s="6">
        <v>740000</v>
      </c>
      <c r="BL74" s="6">
        <v>3990000</v>
      </c>
      <c r="BM74" s="2">
        <v>3990000</v>
      </c>
      <c r="BN74">
        <f>InvoiceTable[[#This Row],[Giảm giá]]*InvoiceTable[[#This Row],[Số lượng]]</f>
        <v>740000</v>
      </c>
    </row>
    <row r="75" spans="1:66" x14ac:dyDescent="0.25">
      <c r="A75" t="s">
        <v>65</v>
      </c>
      <c r="B75" t="s">
        <v>441</v>
      </c>
      <c r="F75" s="2"/>
      <c r="G75" s="3">
        <v>46016.418807407405</v>
      </c>
      <c r="H75" s="3">
        <v>46016.418796030091</v>
      </c>
      <c r="I75" s="4" t="s">
        <v>96</v>
      </c>
      <c r="J75" t="s">
        <v>67</v>
      </c>
      <c r="K75" t="s">
        <v>67</v>
      </c>
      <c r="L75" t="s">
        <v>442</v>
      </c>
      <c r="M75" t="s">
        <v>443</v>
      </c>
      <c r="N75" t="s">
        <v>67</v>
      </c>
      <c r="O75" t="s">
        <v>444</v>
      </c>
      <c r="P75" t="s">
        <v>445</v>
      </c>
      <c r="Q75" t="s">
        <v>67</v>
      </c>
      <c r="R75" t="s">
        <v>67</v>
      </c>
      <c r="S75" s="5"/>
      <c r="T75" t="s">
        <v>72</v>
      </c>
      <c r="U75" t="s">
        <v>87</v>
      </c>
      <c r="V75" t="s">
        <v>74</v>
      </c>
      <c r="W75" t="s">
        <v>87</v>
      </c>
      <c r="AE75" s="2"/>
      <c r="AF75" s="2"/>
      <c r="AG75" s="2"/>
      <c r="AH75" s="2"/>
      <c r="AK75" t="s">
        <v>446</v>
      </c>
      <c r="AL75" s="2">
        <v>5270000</v>
      </c>
      <c r="AM75" s="2">
        <v>0</v>
      </c>
      <c r="AN75" s="2"/>
      <c r="AO75" s="2">
        <v>0</v>
      </c>
      <c r="AP75" s="2">
        <v>5270000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4"/>
      <c r="AX75" t="s">
        <v>75</v>
      </c>
      <c r="AZ75" t="s">
        <v>450</v>
      </c>
      <c r="BA75" t="s">
        <v>67</v>
      </c>
      <c r="BB75" t="s">
        <v>451</v>
      </c>
      <c r="BC75" t="s">
        <v>126</v>
      </c>
      <c r="BD75" t="s">
        <v>79</v>
      </c>
      <c r="BE75" t="s">
        <v>188</v>
      </c>
      <c r="BF75" s="5">
        <v>46905</v>
      </c>
      <c r="BG75" t="s">
        <v>67</v>
      </c>
      <c r="BH75">
        <v>3</v>
      </c>
      <c r="BI75" s="6">
        <v>500000</v>
      </c>
      <c r="BJ75" s="6">
        <v>0</v>
      </c>
      <c r="BK75" s="6">
        <v>140000</v>
      </c>
      <c r="BL75" s="6">
        <v>360000</v>
      </c>
      <c r="BM75" s="2">
        <v>1080000</v>
      </c>
      <c r="BN75">
        <f>InvoiceTable[[#This Row],[Giảm giá]]*InvoiceTable[[#This Row],[Số lượng]]</f>
        <v>420000</v>
      </c>
    </row>
    <row r="76" spans="1:66" x14ac:dyDescent="0.25">
      <c r="A76" t="s">
        <v>65</v>
      </c>
      <c r="B76" t="s">
        <v>441</v>
      </c>
      <c r="F76" s="2"/>
      <c r="G76" s="3">
        <v>46016.418807407405</v>
      </c>
      <c r="H76" s="3">
        <v>46016.418796030091</v>
      </c>
      <c r="I76" s="4" t="s">
        <v>96</v>
      </c>
      <c r="J76" t="s">
        <v>67</v>
      </c>
      <c r="K76" t="s">
        <v>67</v>
      </c>
      <c r="L76" t="s">
        <v>442</v>
      </c>
      <c r="M76" t="s">
        <v>443</v>
      </c>
      <c r="N76" t="s">
        <v>67</v>
      </c>
      <c r="O76" t="s">
        <v>444</v>
      </c>
      <c r="P76" t="s">
        <v>445</v>
      </c>
      <c r="Q76" t="s">
        <v>67</v>
      </c>
      <c r="R76" t="s">
        <v>67</v>
      </c>
      <c r="S76" s="5"/>
      <c r="T76" t="s">
        <v>72</v>
      </c>
      <c r="U76" t="s">
        <v>87</v>
      </c>
      <c r="V76" t="s">
        <v>74</v>
      </c>
      <c r="W76" t="s">
        <v>87</v>
      </c>
      <c r="AE76" s="2"/>
      <c r="AF76" s="2"/>
      <c r="AG76" s="2"/>
      <c r="AH76" s="2"/>
      <c r="AK76" t="s">
        <v>446</v>
      </c>
      <c r="AL76" s="2">
        <v>5270000</v>
      </c>
      <c r="AM76" s="2">
        <v>0</v>
      </c>
      <c r="AN76" s="2"/>
      <c r="AO76" s="2">
        <v>0</v>
      </c>
      <c r="AP76" s="2">
        <v>5270000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4"/>
      <c r="AX76" t="s">
        <v>75</v>
      </c>
      <c r="AZ76" t="s">
        <v>452</v>
      </c>
      <c r="BA76" t="s">
        <v>67</v>
      </c>
      <c r="BB76" t="s">
        <v>453</v>
      </c>
      <c r="BC76" t="s">
        <v>372</v>
      </c>
      <c r="BD76" t="s">
        <v>79</v>
      </c>
      <c r="BE76" t="s">
        <v>168</v>
      </c>
      <c r="BF76" s="5">
        <v>46388</v>
      </c>
      <c r="BH76">
        <v>10</v>
      </c>
      <c r="BI76" s="6">
        <v>40000</v>
      </c>
      <c r="BJ76" s="6">
        <v>0</v>
      </c>
      <c r="BK76" s="6">
        <v>20000</v>
      </c>
      <c r="BL76" s="6">
        <v>20000</v>
      </c>
      <c r="BM76" s="2">
        <v>200000</v>
      </c>
      <c r="BN76">
        <f>InvoiceTable[[#This Row],[Giảm giá]]*InvoiceTable[[#This Row],[Số lượng]]</f>
        <v>200000</v>
      </c>
    </row>
    <row r="77" spans="1:66" x14ac:dyDescent="0.25">
      <c r="A77" t="s">
        <v>65</v>
      </c>
      <c r="B77" t="s">
        <v>454</v>
      </c>
      <c r="F77" s="2"/>
      <c r="G77" s="3">
        <v>46016.414674155094</v>
      </c>
      <c r="H77" s="3">
        <v>46016.414674270833</v>
      </c>
      <c r="I77" s="4" t="s">
        <v>67</v>
      </c>
      <c r="J77" t="s">
        <v>67</v>
      </c>
      <c r="K77" t="s">
        <v>67</v>
      </c>
      <c r="L77" t="s">
        <v>455</v>
      </c>
      <c r="M77" t="s">
        <v>456</v>
      </c>
      <c r="N77" t="s">
        <v>67</v>
      </c>
      <c r="O77" t="s">
        <v>457</v>
      </c>
      <c r="P77" t="s">
        <v>458</v>
      </c>
      <c r="Q77" t="s">
        <v>459</v>
      </c>
      <c r="R77" t="s">
        <v>460</v>
      </c>
      <c r="S77" s="5"/>
      <c r="T77" t="s">
        <v>72</v>
      </c>
      <c r="U77" t="s">
        <v>87</v>
      </c>
      <c r="V77" t="s">
        <v>74</v>
      </c>
      <c r="W77" t="s">
        <v>87</v>
      </c>
      <c r="AE77" s="2"/>
      <c r="AF77" s="2"/>
      <c r="AG77" s="2"/>
      <c r="AH77" s="2"/>
      <c r="AK77" t="s">
        <v>461</v>
      </c>
      <c r="AL77" s="2">
        <v>0</v>
      </c>
      <c r="AM77" s="2">
        <v>0</v>
      </c>
      <c r="AN77" s="2"/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4"/>
      <c r="AX77" t="s">
        <v>75</v>
      </c>
      <c r="AZ77" t="s">
        <v>370</v>
      </c>
      <c r="BA77" t="s">
        <v>67</v>
      </c>
      <c r="BB77" t="s">
        <v>371</v>
      </c>
      <c r="BC77" t="s">
        <v>372</v>
      </c>
      <c r="BD77" t="s">
        <v>79</v>
      </c>
      <c r="BE77" t="s">
        <v>168</v>
      </c>
      <c r="BF77" s="5">
        <v>46388</v>
      </c>
      <c r="BH77">
        <v>3</v>
      </c>
      <c r="BI77" s="6">
        <v>30000</v>
      </c>
      <c r="BJ77" s="6">
        <v>0</v>
      </c>
      <c r="BK77" s="6">
        <v>30000</v>
      </c>
      <c r="BL77" s="6">
        <v>0</v>
      </c>
      <c r="BM77" s="2">
        <v>0</v>
      </c>
      <c r="BN77">
        <f>InvoiceTable[[#This Row],[Giảm giá]]*InvoiceTable[[#This Row],[Số lượng]]</f>
        <v>90000</v>
      </c>
    </row>
    <row r="78" spans="1:66" x14ac:dyDescent="0.25">
      <c r="A78" t="s">
        <v>65</v>
      </c>
      <c r="B78" t="s">
        <v>462</v>
      </c>
      <c r="F78" s="2"/>
      <c r="G78" s="3">
        <v>46016.411209027778</v>
      </c>
      <c r="H78" s="3">
        <v>46016.411197569447</v>
      </c>
      <c r="I78" s="4" t="s">
        <v>96</v>
      </c>
      <c r="J78" t="s">
        <v>463</v>
      </c>
      <c r="K78" t="s">
        <v>67</v>
      </c>
      <c r="L78" t="s">
        <v>464</v>
      </c>
      <c r="M78" t="s">
        <v>465</v>
      </c>
      <c r="N78" t="s">
        <v>466</v>
      </c>
      <c r="O78" t="s">
        <v>467</v>
      </c>
      <c r="P78" t="s">
        <v>468</v>
      </c>
      <c r="S78" s="5"/>
      <c r="T78" t="s">
        <v>72</v>
      </c>
      <c r="U78" t="s">
        <v>73</v>
      </c>
      <c r="V78" t="s">
        <v>74</v>
      </c>
      <c r="W78" t="s">
        <v>87</v>
      </c>
      <c r="AE78" s="2"/>
      <c r="AF78" s="2"/>
      <c r="AG78" s="2"/>
      <c r="AH78" s="2"/>
      <c r="AK78" t="s">
        <v>282</v>
      </c>
      <c r="AL78" s="2">
        <v>4080000</v>
      </c>
      <c r="AM78" s="2">
        <v>0</v>
      </c>
      <c r="AN78" s="2"/>
      <c r="AO78" s="2">
        <v>0</v>
      </c>
      <c r="AP78" s="2">
        <v>4080000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4"/>
      <c r="AX78" t="s">
        <v>75</v>
      </c>
      <c r="AZ78" t="s">
        <v>469</v>
      </c>
      <c r="BA78" t="s">
        <v>67</v>
      </c>
      <c r="BB78" t="s">
        <v>470</v>
      </c>
      <c r="BC78" t="s">
        <v>223</v>
      </c>
      <c r="BD78" t="s">
        <v>79</v>
      </c>
      <c r="BE78" t="s">
        <v>168</v>
      </c>
      <c r="BF78" s="5">
        <v>46388</v>
      </c>
      <c r="BG78" t="s">
        <v>67</v>
      </c>
      <c r="BH78">
        <v>1</v>
      </c>
      <c r="BI78" s="6">
        <v>2100000</v>
      </c>
      <c r="BJ78" s="6">
        <v>0</v>
      </c>
      <c r="BK78" s="6">
        <v>720000</v>
      </c>
      <c r="BL78" s="6">
        <v>1380000</v>
      </c>
      <c r="BM78" s="2">
        <v>1380000</v>
      </c>
      <c r="BN78">
        <f>InvoiceTable[[#This Row],[Giảm giá]]*InvoiceTable[[#This Row],[Số lượng]]</f>
        <v>720000</v>
      </c>
    </row>
    <row r="79" spans="1:66" x14ac:dyDescent="0.25">
      <c r="A79" t="s">
        <v>65</v>
      </c>
      <c r="B79" t="s">
        <v>462</v>
      </c>
      <c r="F79" s="2"/>
      <c r="G79" s="3">
        <v>46016.411209027778</v>
      </c>
      <c r="H79" s="3">
        <v>46016.411197569447</v>
      </c>
      <c r="I79" s="4" t="s">
        <v>96</v>
      </c>
      <c r="J79" t="s">
        <v>463</v>
      </c>
      <c r="K79" t="s">
        <v>67</v>
      </c>
      <c r="L79" t="s">
        <v>464</v>
      </c>
      <c r="M79" t="s">
        <v>465</v>
      </c>
      <c r="N79" t="s">
        <v>466</v>
      </c>
      <c r="O79" t="s">
        <v>467</v>
      </c>
      <c r="P79" t="s">
        <v>468</v>
      </c>
      <c r="S79" s="5"/>
      <c r="T79" t="s">
        <v>72</v>
      </c>
      <c r="U79" t="s">
        <v>73</v>
      </c>
      <c r="V79" t="s">
        <v>74</v>
      </c>
      <c r="W79" t="s">
        <v>87</v>
      </c>
      <c r="AE79" s="2"/>
      <c r="AF79" s="2"/>
      <c r="AG79" s="2"/>
      <c r="AH79" s="2"/>
      <c r="AK79" t="s">
        <v>282</v>
      </c>
      <c r="AL79" s="2">
        <v>4080000</v>
      </c>
      <c r="AM79" s="2">
        <v>0</v>
      </c>
      <c r="AN79" s="2"/>
      <c r="AO79" s="2">
        <v>0</v>
      </c>
      <c r="AP79" s="2">
        <v>4080000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4"/>
      <c r="AX79" t="s">
        <v>75</v>
      </c>
      <c r="AZ79" t="s">
        <v>471</v>
      </c>
      <c r="BA79" t="s">
        <v>67</v>
      </c>
      <c r="BB79" t="s">
        <v>472</v>
      </c>
      <c r="BC79" t="s">
        <v>223</v>
      </c>
      <c r="BD79" t="s">
        <v>79</v>
      </c>
      <c r="BE79" t="s">
        <v>168</v>
      </c>
      <c r="BF79" s="5">
        <v>46388</v>
      </c>
      <c r="BG79" t="s">
        <v>67</v>
      </c>
      <c r="BH79">
        <v>2</v>
      </c>
      <c r="BI79" s="6">
        <v>2320000</v>
      </c>
      <c r="BJ79" s="6">
        <v>0</v>
      </c>
      <c r="BK79" s="6">
        <v>970000</v>
      </c>
      <c r="BL79" s="6">
        <v>1350000</v>
      </c>
      <c r="BM79" s="2">
        <v>2700000</v>
      </c>
      <c r="BN79">
        <f>InvoiceTable[[#This Row],[Giảm giá]]*InvoiceTable[[#This Row],[Số lượng]]</f>
        <v>1940000</v>
      </c>
    </row>
    <row r="80" spans="1:66" x14ac:dyDescent="0.25">
      <c r="A80" t="s">
        <v>65</v>
      </c>
      <c r="B80" t="s">
        <v>473</v>
      </c>
      <c r="F80" s="2"/>
      <c r="G80" s="3">
        <v>46016.409442013886</v>
      </c>
      <c r="H80" s="3">
        <v>46016.409442280092</v>
      </c>
      <c r="I80" s="4" t="s">
        <v>67</v>
      </c>
      <c r="J80" t="s">
        <v>67</v>
      </c>
      <c r="K80" t="s">
        <v>67</v>
      </c>
      <c r="L80" t="s">
        <v>474</v>
      </c>
      <c r="M80" t="s">
        <v>475</v>
      </c>
      <c r="N80" t="s">
        <v>476</v>
      </c>
      <c r="O80" t="s">
        <v>477</v>
      </c>
      <c r="P80" t="s">
        <v>478</v>
      </c>
      <c r="S80" s="5"/>
      <c r="T80" t="s">
        <v>72</v>
      </c>
      <c r="U80" t="s">
        <v>102</v>
      </c>
      <c r="V80" t="s">
        <v>74</v>
      </c>
      <c r="W80" t="s">
        <v>102</v>
      </c>
      <c r="AE80" s="2"/>
      <c r="AF80" s="2"/>
      <c r="AG80" s="2"/>
      <c r="AH80" s="2"/>
      <c r="AL80" s="2">
        <v>110000</v>
      </c>
      <c r="AM80" s="2">
        <v>0</v>
      </c>
      <c r="AN80" s="2"/>
      <c r="AO80" s="2">
        <v>0</v>
      </c>
      <c r="AP80" s="2">
        <v>110000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4"/>
      <c r="AX80" t="s">
        <v>75</v>
      </c>
      <c r="AZ80" t="s">
        <v>321</v>
      </c>
      <c r="BA80" t="s">
        <v>67</v>
      </c>
      <c r="BB80" t="s">
        <v>322</v>
      </c>
      <c r="BC80" t="s">
        <v>323</v>
      </c>
      <c r="BD80" t="s">
        <v>79</v>
      </c>
      <c r="BE80" t="s">
        <v>324</v>
      </c>
      <c r="BF80" s="5">
        <v>47058</v>
      </c>
      <c r="BH80">
        <v>10</v>
      </c>
      <c r="BI80" s="6">
        <v>25000</v>
      </c>
      <c r="BJ80" s="6">
        <v>0</v>
      </c>
      <c r="BK80" s="6">
        <v>14000</v>
      </c>
      <c r="BL80" s="6">
        <v>11000</v>
      </c>
      <c r="BM80" s="2">
        <v>110000</v>
      </c>
      <c r="BN80">
        <f>InvoiceTable[[#This Row],[Giảm giá]]*InvoiceTable[[#This Row],[Số lượng]]</f>
        <v>140000</v>
      </c>
    </row>
    <row r="81" spans="1:66" x14ac:dyDescent="0.25">
      <c r="A81" t="s">
        <v>65</v>
      </c>
      <c r="B81" t="s">
        <v>479</v>
      </c>
      <c r="F81" s="2"/>
      <c r="G81" s="3">
        <v>46016.409000659725</v>
      </c>
      <c r="H81" s="3">
        <v>46016.40898915509</v>
      </c>
      <c r="I81" s="4" t="s">
        <v>96</v>
      </c>
      <c r="J81" t="s">
        <v>67</v>
      </c>
      <c r="K81" t="s">
        <v>67</v>
      </c>
      <c r="L81" t="s">
        <v>474</v>
      </c>
      <c r="M81" t="s">
        <v>475</v>
      </c>
      <c r="N81" t="s">
        <v>476</v>
      </c>
      <c r="O81" t="s">
        <v>477</v>
      </c>
      <c r="P81" t="s">
        <v>478</v>
      </c>
      <c r="S81" s="5"/>
      <c r="T81" t="s">
        <v>72</v>
      </c>
      <c r="U81" t="s">
        <v>102</v>
      </c>
      <c r="V81" t="s">
        <v>74</v>
      </c>
      <c r="W81" t="s">
        <v>102</v>
      </c>
      <c r="AE81" s="2"/>
      <c r="AF81" s="2"/>
      <c r="AG81" s="2"/>
      <c r="AH81" s="2"/>
      <c r="AL81" s="2">
        <v>1694000</v>
      </c>
      <c r="AM81" s="2">
        <v>0</v>
      </c>
      <c r="AN81" s="2"/>
      <c r="AO81" s="2">
        <v>0</v>
      </c>
      <c r="AP81" s="2">
        <v>1694000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4"/>
      <c r="AX81" t="s">
        <v>75</v>
      </c>
      <c r="AZ81" t="s">
        <v>480</v>
      </c>
      <c r="BA81" t="s">
        <v>67</v>
      </c>
      <c r="BB81" t="s">
        <v>481</v>
      </c>
      <c r="BC81" t="s">
        <v>90</v>
      </c>
      <c r="BD81" t="s">
        <v>79</v>
      </c>
      <c r="BE81" t="s">
        <v>482</v>
      </c>
      <c r="BF81" s="5">
        <v>46773</v>
      </c>
      <c r="BG81" t="s">
        <v>67</v>
      </c>
      <c r="BH81">
        <v>1</v>
      </c>
      <c r="BI81" s="6">
        <v>1800000</v>
      </c>
      <c r="BJ81" s="6">
        <v>0</v>
      </c>
      <c r="BK81" s="6">
        <v>850000</v>
      </c>
      <c r="BL81" s="6">
        <v>950000</v>
      </c>
      <c r="BM81" s="2">
        <v>950000</v>
      </c>
      <c r="BN81">
        <f>InvoiceTable[[#This Row],[Giảm giá]]*InvoiceTable[[#This Row],[Số lượng]]</f>
        <v>850000</v>
      </c>
    </row>
    <row r="82" spans="1:66" x14ac:dyDescent="0.25">
      <c r="A82" t="s">
        <v>65</v>
      </c>
      <c r="B82" t="s">
        <v>479</v>
      </c>
      <c r="F82" s="2"/>
      <c r="G82" s="3">
        <v>46016.409000659725</v>
      </c>
      <c r="H82" s="3">
        <v>46016.40898915509</v>
      </c>
      <c r="I82" s="4" t="s">
        <v>96</v>
      </c>
      <c r="J82" t="s">
        <v>67</v>
      </c>
      <c r="K82" t="s">
        <v>67</v>
      </c>
      <c r="L82" t="s">
        <v>474</v>
      </c>
      <c r="M82" t="s">
        <v>475</v>
      </c>
      <c r="N82" t="s">
        <v>476</v>
      </c>
      <c r="O82" t="s">
        <v>477</v>
      </c>
      <c r="P82" t="s">
        <v>478</v>
      </c>
      <c r="S82" s="5"/>
      <c r="T82" t="s">
        <v>72</v>
      </c>
      <c r="U82" t="s">
        <v>102</v>
      </c>
      <c r="V82" t="s">
        <v>74</v>
      </c>
      <c r="W82" t="s">
        <v>102</v>
      </c>
      <c r="AE82" s="2"/>
      <c r="AF82" s="2"/>
      <c r="AG82" s="2"/>
      <c r="AH82" s="2"/>
      <c r="AL82" s="2">
        <v>1694000</v>
      </c>
      <c r="AM82" s="2">
        <v>0</v>
      </c>
      <c r="AN82" s="2"/>
      <c r="AO82" s="2">
        <v>0</v>
      </c>
      <c r="AP82" s="2">
        <v>1694000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4"/>
      <c r="AX82" t="s">
        <v>75</v>
      </c>
      <c r="AZ82" t="s">
        <v>483</v>
      </c>
      <c r="BA82" t="s">
        <v>67</v>
      </c>
      <c r="BB82" t="s">
        <v>484</v>
      </c>
      <c r="BC82" t="s">
        <v>485</v>
      </c>
      <c r="BD82" t="s">
        <v>79</v>
      </c>
      <c r="BE82" t="s">
        <v>117</v>
      </c>
      <c r="BF82" s="5">
        <v>46569</v>
      </c>
      <c r="BH82">
        <v>1</v>
      </c>
      <c r="BI82" s="6">
        <v>600000</v>
      </c>
      <c r="BJ82" s="6">
        <v>38</v>
      </c>
      <c r="BK82" s="6">
        <v>228000</v>
      </c>
      <c r="BL82" s="6">
        <v>372000</v>
      </c>
      <c r="BM82" s="2">
        <v>372000</v>
      </c>
      <c r="BN82">
        <f>InvoiceTable[[#This Row],[Giảm giá]]*InvoiceTable[[#This Row],[Số lượng]]</f>
        <v>228000</v>
      </c>
    </row>
    <row r="83" spans="1:66" x14ac:dyDescent="0.25">
      <c r="A83" t="s">
        <v>65</v>
      </c>
      <c r="B83" t="s">
        <v>479</v>
      </c>
      <c r="F83" s="2"/>
      <c r="G83" s="3">
        <v>46016.409000659725</v>
      </c>
      <c r="H83" s="3">
        <v>46016.40898915509</v>
      </c>
      <c r="I83" s="4" t="s">
        <v>96</v>
      </c>
      <c r="J83" t="s">
        <v>67</v>
      </c>
      <c r="K83" t="s">
        <v>67</v>
      </c>
      <c r="L83" t="s">
        <v>474</v>
      </c>
      <c r="M83" t="s">
        <v>475</v>
      </c>
      <c r="N83" t="s">
        <v>476</v>
      </c>
      <c r="O83" t="s">
        <v>477</v>
      </c>
      <c r="P83" t="s">
        <v>478</v>
      </c>
      <c r="S83" s="5"/>
      <c r="T83" t="s">
        <v>72</v>
      </c>
      <c r="U83" t="s">
        <v>102</v>
      </c>
      <c r="V83" t="s">
        <v>74</v>
      </c>
      <c r="W83" t="s">
        <v>102</v>
      </c>
      <c r="AE83" s="2"/>
      <c r="AF83" s="2"/>
      <c r="AG83" s="2"/>
      <c r="AH83" s="2"/>
      <c r="AL83" s="2">
        <v>1694000</v>
      </c>
      <c r="AM83" s="2">
        <v>0</v>
      </c>
      <c r="AN83" s="2"/>
      <c r="AO83" s="2">
        <v>0</v>
      </c>
      <c r="AP83" s="2">
        <v>1694000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4"/>
      <c r="AX83" t="s">
        <v>75</v>
      </c>
      <c r="AZ83" t="s">
        <v>486</v>
      </c>
      <c r="BA83" t="s">
        <v>67</v>
      </c>
      <c r="BB83" t="s">
        <v>487</v>
      </c>
      <c r="BC83" t="s">
        <v>485</v>
      </c>
      <c r="BD83" t="s">
        <v>79</v>
      </c>
      <c r="BE83" t="s">
        <v>488</v>
      </c>
      <c r="BF83" s="5">
        <v>46647</v>
      </c>
      <c r="BH83">
        <v>1</v>
      </c>
      <c r="BI83" s="6">
        <v>600000</v>
      </c>
      <c r="BJ83" s="6">
        <v>38</v>
      </c>
      <c r="BK83" s="6">
        <v>228000</v>
      </c>
      <c r="BL83" s="6">
        <v>372000</v>
      </c>
      <c r="BM83" s="2">
        <v>372000</v>
      </c>
      <c r="BN83">
        <f>InvoiceTable[[#This Row],[Giảm giá]]*InvoiceTable[[#This Row],[Số lượng]]</f>
        <v>228000</v>
      </c>
    </row>
    <row r="84" spans="1:66" x14ac:dyDescent="0.25">
      <c r="A84" t="s">
        <v>65</v>
      </c>
      <c r="B84" t="s">
        <v>489</v>
      </c>
      <c r="F84" s="2"/>
      <c r="G84" s="3">
        <v>46016.406394212965</v>
      </c>
      <c r="H84" s="3">
        <v>46016.406382754627</v>
      </c>
      <c r="I84" s="4" t="s">
        <v>96</v>
      </c>
      <c r="J84" t="s">
        <v>67</v>
      </c>
      <c r="K84" t="s">
        <v>67</v>
      </c>
      <c r="L84" t="s">
        <v>490</v>
      </c>
      <c r="M84" t="s">
        <v>491</v>
      </c>
      <c r="N84" t="s">
        <v>67</v>
      </c>
      <c r="O84" t="s">
        <v>492</v>
      </c>
      <c r="P84" t="s">
        <v>493</v>
      </c>
      <c r="S84" s="5"/>
      <c r="T84" t="s">
        <v>72</v>
      </c>
      <c r="U84" t="s">
        <v>87</v>
      </c>
      <c r="V84" t="s">
        <v>74</v>
      </c>
      <c r="W84" t="s">
        <v>87</v>
      </c>
      <c r="AE84" s="2"/>
      <c r="AF84" s="2"/>
      <c r="AG84" s="2"/>
      <c r="AH84" s="2"/>
      <c r="AK84" t="s">
        <v>494</v>
      </c>
      <c r="AL84" s="2">
        <v>1450000</v>
      </c>
      <c r="AM84" s="2">
        <v>0</v>
      </c>
      <c r="AN84" s="2"/>
      <c r="AO84" s="2">
        <v>0</v>
      </c>
      <c r="AP84" s="2">
        <v>1450000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4"/>
      <c r="AX84" t="s">
        <v>75</v>
      </c>
      <c r="AZ84" t="s">
        <v>495</v>
      </c>
      <c r="BA84" t="s">
        <v>67</v>
      </c>
      <c r="BB84" t="s">
        <v>496</v>
      </c>
      <c r="BC84" t="s">
        <v>497</v>
      </c>
      <c r="BD84" t="s">
        <v>79</v>
      </c>
      <c r="BE84" t="s">
        <v>117</v>
      </c>
      <c r="BF84" s="5">
        <v>46569</v>
      </c>
      <c r="BH84">
        <v>10</v>
      </c>
      <c r="BI84" s="6">
        <v>250000</v>
      </c>
      <c r="BJ84" s="6">
        <v>0</v>
      </c>
      <c r="BK84" s="6">
        <v>175000</v>
      </c>
      <c r="BL84" s="6">
        <v>75000</v>
      </c>
      <c r="BM84" s="2">
        <v>750000</v>
      </c>
      <c r="BN84">
        <f>InvoiceTable[[#This Row],[Giảm giá]]*InvoiceTable[[#This Row],[Số lượng]]</f>
        <v>1750000</v>
      </c>
    </row>
    <row r="85" spans="1:66" x14ac:dyDescent="0.25">
      <c r="A85" t="s">
        <v>65</v>
      </c>
      <c r="B85" t="s">
        <v>489</v>
      </c>
      <c r="F85" s="2"/>
      <c r="G85" s="3">
        <v>46016.406394212965</v>
      </c>
      <c r="H85" s="3">
        <v>46016.406382754627</v>
      </c>
      <c r="I85" s="4" t="s">
        <v>96</v>
      </c>
      <c r="J85" t="s">
        <v>67</v>
      </c>
      <c r="K85" t="s">
        <v>67</v>
      </c>
      <c r="L85" t="s">
        <v>490</v>
      </c>
      <c r="M85" t="s">
        <v>491</v>
      </c>
      <c r="N85" t="s">
        <v>67</v>
      </c>
      <c r="O85" t="s">
        <v>492</v>
      </c>
      <c r="P85" t="s">
        <v>493</v>
      </c>
      <c r="S85" s="5"/>
      <c r="T85" t="s">
        <v>72</v>
      </c>
      <c r="U85" t="s">
        <v>87</v>
      </c>
      <c r="V85" t="s">
        <v>74</v>
      </c>
      <c r="W85" t="s">
        <v>87</v>
      </c>
      <c r="AE85" s="2"/>
      <c r="AF85" s="2"/>
      <c r="AG85" s="2"/>
      <c r="AH85" s="2"/>
      <c r="AK85" t="s">
        <v>494</v>
      </c>
      <c r="AL85" s="2">
        <v>1450000</v>
      </c>
      <c r="AM85" s="2">
        <v>0</v>
      </c>
      <c r="AN85" s="2"/>
      <c r="AO85" s="2">
        <v>0</v>
      </c>
      <c r="AP85" s="2">
        <v>1450000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4"/>
      <c r="AX85" t="s">
        <v>75</v>
      </c>
      <c r="AZ85" t="s">
        <v>291</v>
      </c>
      <c r="BA85" t="s">
        <v>67</v>
      </c>
      <c r="BB85" t="s">
        <v>292</v>
      </c>
      <c r="BC85" t="s">
        <v>126</v>
      </c>
      <c r="BD85" t="s">
        <v>79</v>
      </c>
      <c r="BE85" t="s">
        <v>293</v>
      </c>
      <c r="BF85" s="5">
        <v>46722</v>
      </c>
      <c r="BG85" t="s">
        <v>67</v>
      </c>
      <c r="BH85">
        <v>10</v>
      </c>
      <c r="BI85" s="6">
        <v>250000</v>
      </c>
      <c r="BJ85" s="6">
        <v>0</v>
      </c>
      <c r="BK85" s="6">
        <v>180000</v>
      </c>
      <c r="BL85" s="6">
        <v>70000</v>
      </c>
      <c r="BM85" s="2">
        <v>700000</v>
      </c>
      <c r="BN85">
        <f>InvoiceTable[[#This Row],[Giảm giá]]*InvoiceTable[[#This Row],[Số lượng]]</f>
        <v>1800000</v>
      </c>
    </row>
    <row r="86" spans="1:66" x14ac:dyDescent="0.25">
      <c r="A86" t="s">
        <v>65</v>
      </c>
      <c r="B86" t="s">
        <v>498</v>
      </c>
      <c r="F86" s="2"/>
      <c r="G86" s="3">
        <v>46016.392811377315</v>
      </c>
      <c r="H86" s="3">
        <v>46016.392811608799</v>
      </c>
      <c r="I86" s="4" t="s">
        <v>67</v>
      </c>
      <c r="J86" t="s">
        <v>67</v>
      </c>
      <c r="K86" t="s">
        <v>67</v>
      </c>
      <c r="L86" t="s">
        <v>499</v>
      </c>
      <c r="M86" t="s">
        <v>500</v>
      </c>
      <c r="N86" t="s">
        <v>67</v>
      </c>
      <c r="O86" t="s">
        <v>501</v>
      </c>
      <c r="P86" t="s">
        <v>502</v>
      </c>
      <c r="S86" s="5"/>
      <c r="T86" t="s">
        <v>72</v>
      </c>
      <c r="U86" t="s">
        <v>87</v>
      </c>
      <c r="V86" t="s">
        <v>74</v>
      </c>
      <c r="W86" t="s">
        <v>87</v>
      </c>
      <c r="AE86" s="2"/>
      <c r="AF86" s="2"/>
      <c r="AG86" s="2"/>
      <c r="AH86" s="2"/>
      <c r="AK86" t="s">
        <v>503</v>
      </c>
      <c r="AL86" s="2">
        <v>10930000</v>
      </c>
      <c r="AM86" s="2">
        <v>5465000</v>
      </c>
      <c r="AN86" s="2"/>
      <c r="AO86" s="2">
        <v>0</v>
      </c>
      <c r="AP86" s="2">
        <v>5465000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4"/>
      <c r="AX86" t="s">
        <v>75</v>
      </c>
      <c r="AZ86" t="s">
        <v>504</v>
      </c>
      <c r="BA86" t="s">
        <v>67</v>
      </c>
      <c r="BB86" t="s">
        <v>505</v>
      </c>
      <c r="BC86" t="s">
        <v>78</v>
      </c>
      <c r="BD86" t="s">
        <v>79</v>
      </c>
      <c r="BE86" t="s">
        <v>506</v>
      </c>
      <c r="BF86" s="5">
        <v>47604</v>
      </c>
      <c r="BH86">
        <v>2</v>
      </c>
      <c r="BI86" s="6">
        <v>1990000</v>
      </c>
      <c r="BJ86" s="6">
        <v>0</v>
      </c>
      <c r="BK86" s="6">
        <v>0</v>
      </c>
      <c r="BL86" s="6">
        <v>1990000</v>
      </c>
      <c r="BM86" s="2">
        <v>3980000</v>
      </c>
      <c r="BN86">
        <f>InvoiceTable[[#This Row],[Giảm giá]]*InvoiceTable[[#This Row],[Số lượng]]</f>
        <v>0</v>
      </c>
    </row>
    <row r="87" spans="1:66" x14ac:dyDescent="0.25">
      <c r="A87" t="s">
        <v>65</v>
      </c>
      <c r="B87" t="s">
        <v>498</v>
      </c>
      <c r="F87" s="2"/>
      <c r="G87" s="3">
        <v>46016.392811377315</v>
      </c>
      <c r="H87" s="3">
        <v>46016.392811608799</v>
      </c>
      <c r="I87" s="4" t="s">
        <v>67</v>
      </c>
      <c r="J87" t="s">
        <v>67</v>
      </c>
      <c r="K87" t="s">
        <v>67</v>
      </c>
      <c r="L87" t="s">
        <v>499</v>
      </c>
      <c r="M87" t="s">
        <v>500</v>
      </c>
      <c r="N87" t="s">
        <v>67</v>
      </c>
      <c r="O87" t="s">
        <v>501</v>
      </c>
      <c r="P87" t="s">
        <v>502</v>
      </c>
      <c r="S87" s="5"/>
      <c r="T87" t="s">
        <v>72</v>
      </c>
      <c r="U87" t="s">
        <v>87</v>
      </c>
      <c r="V87" t="s">
        <v>74</v>
      </c>
      <c r="W87" t="s">
        <v>87</v>
      </c>
      <c r="AE87" s="2"/>
      <c r="AF87" s="2"/>
      <c r="AG87" s="2"/>
      <c r="AH87" s="2"/>
      <c r="AK87" t="s">
        <v>503</v>
      </c>
      <c r="AL87" s="2">
        <v>10930000</v>
      </c>
      <c r="AM87" s="2">
        <v>5465000</v>
      </c>
      <c r="AN87" s="2"/>
      <c r="AO87" s="2">
        <v>0</v>
      </c>
      <c r="AP87" s="2">
        <v>5465000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4"/>
      <c r="AX87" t="s">
        <v>75</v>
      </c>
      <c r="AZ87" t="s">
        <v>507</v>
      </c>
      <c r="BA87" t="s">
        <v>67</v>
      </c>
      <c r="BB87" t="s">
        <v>508</v>
      </c>
      <c r="BC87" t="s">
        <v>78</v>
      </c>
      <c r="BD87" t="s">
        <v>79</v>
      </c>
      <c r="BE87" t="s">
        <v>106</v>
      </c>
      <c r="BF87" s="5">
        <v>46327</v>
      </c>
      <c r="BG87" t="s">
        <v>67</v>
      </c>
      <c r="BH87">
        <v>1</v>
      </c>
      <c r="BI87" s="6">
        <v>3200000</v>
      </c>
      <c r="BJ87" s="6">
        <v>0</v>
      </c>
      <c r="BK87" s="6">
        <v>0</v>
      </c>
      <c r="BL87" s="6">
        <v>3200000</v>
      </c>
      <c r="BM87" s="2">
        <v>3200000</v>
      </c>
      <c r="BN87">
        <f>InvoiceTable[[#This Row],[Giảm giá]]*InvoiceTable[[#This Row],[Số lượng]]</f>
        <v>0</v>
      </c>
    </row>
    <row r="88" spans="1:66" x14ac:dyDescent="0.25">
      <c r="A88" t="s">
        <v>65</v>
      </c>
      <c r="B88" t="s">
        <v>498</v>
      </c>
      <c r="F88" s="2"/>
      <c r="G88" s="3">
        <v>46016.392811377315</v>
      </c>
      <c r="H88" s="3">
        <v>46016.392811608799</v>
      </c>
      <c r="I88" s="4" t="s">
        <v>67</v>
      </c>
      <c r="J88" t="s">
        <v>67</v>
      </c>
      <c r="K88" t="s">
        <v>67</v>
      </c>
      <c r="L88" t="s">
        <v>499</v>
      </c>
      <c r="M88" t="s">
        <v>500</v>
      </c>
      <c r="N88" t="s">
        <v>67</v>
      </c>
      <c r="O88" t="s">
        <v>501</v>
      </c>
      <c r="P88" t="s">
        <v>502</v>
      </c>
      <c r="S88" s="5"/>
      <c r="T88" t="s">
        <v>72</v>
      </c>
      <c r="U88" t="s">
        <v>87</v>
      </c>
      <c r="V88" t="s">
        <v>74</v>
      </c>
      <c r="W88" t="s">
        <v>87</v>
      </c>
      <c r="AE88" s="2"/>
      <c r="AF88" s="2"/>
      <c r="AG88" s="2"/>
      <c r="AH88" s="2"/>
      <c r="AK88" t="s">
        <v>503</v>
      </c>
      <c r="AL88" s="2">
        <v>10930000</v>
      </c>
      <c r="AM88" s="2">
        <v>5465000</v>
      </c>
      <c r="AN88" s="2"/>
      <c r="AO88" s="2">
        <v>0</v>
      </c>
      <c r="AP88" s="2">
        <v>5465000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4"/>
      <c r="AX88" t="s">
        <v>75</v>
      </c>
      <c r="AZ88" t="s">
        <v>509</v>
      </c>
      <c r="BA88" t="s">
        <v>67</v>
      </c>
      <c r="BB88" t="s">
        <v>510</v>
      </c>
      <c r="BC88" t="s">
        <v>78</v>
      </c>
      <c r="BD88" t="s">
        <v>79</v>
      </c>
      <c r="BE88" t="s">
        <v>198</v>
      </c>
      <c r="BF88" s="5">
        <v>46753</v>
      </c>
      <c r="BG88" t="s">
        <v>67</v>
      </c>
      <c r="BH88">
        <v>1</v>
      </c>
      <c r="BI88" s="6">
        <v>3750000</v>
      </c>
      <c r="BJ88" s="6">
        <v>0</v>
      </c>
      <c r="BK88" s="6">
        <v>0</v>
      </c>
      <c r="BL88" s="6">
        <v>3750000</v>
      </c>
      <c r="BM88" s="2">
        <v>3750000</v>
      </c>
      <c r="BN88">
        <f>InvoiceTable[[#This Row],[Giảm giá]]*InvoiceTable[[#This Row],[Số lượng]]</f>
        <v>0</v>
      </c>
    </row>
    <row r="89" spans="1:66" x14ac:dyDescent="0.25">
      <c r="A89" t="s">
        <v>65</v>
      </c>
      <c r="B89" t="s">
        <v>511</v>
      </c>
      <c r="F89" s="2"/>
      <c r="G89" s="3">
        <v>46016.392159756942</v>
      </c>
      <c r="H89" s="3">
        <v>46016.392159872688</v>
      </c>
      <c r="I89" s="4" t="s">
        <v>67</v>
      </c>
      <c r="J89" t="s">
        <v>67</v>
      </c>
      <c r="K89" t="s">
        <v>67</v>
      </c>
      <c r="L89" t="s">
        <v>499</v>
      </c>
      <c r="M89" t="s">
        <v>500</v>
      </c>
      <c r="N89" t="s">
        <v>67</v>
      </c>
      <c r="O89" t="s">
        <v>501</v>
      </c>
      <c r="P89" t="s">
        <v>502</v>
      </c>
      <c r="S89" s="5"/>
      <c r="T89" t="s">
        <v>72</v>
      </c>
      <c r="U89" t="s">
        <v>87</v>
      </c>
      <c r="V89" t="s">
        <v>74</v>
      </c>
      <c r="W89" t="s">
        <v>87</v>
      </c>
      <c r="AE89" s="2"/>
      <c r="AF89" s="2"/>
      <c r="AG89" s="2"/>
      <c r="AH89" s="2"/>
      <c r="AK89" t="s">
        <v>512</v>
      </c>
      <c r="AL89" s="2">
        <v>30455000</v>
      </c>
      <c r="AM89" s="2">
        <v>15227500</v>
      </c>
      <c r="AN89" s="2"/>
      <c r="AO89" s="2">
        <v>0</v>
      </c>
      <c r="AP89" s="2">
        <v>15227500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4"/>
      <c r="AX89" t="s">
        <v>75</v>
      </c>
      <c r="AZ89" t="s">
        <v>513</v>
      </c>
      <c r="BA89" t="s">
        <v>67</v>
      </c>
      <c r="BB89" t="s">
        <v>514</v>
      </c>
      <c r="BC89" t="s">
        <v>78</v>
      </c>
      <c r="BD89" t="s">
        <v>79</v>
      </c>
      <c r="BE89" t="s">
        <v>168</v>
      </c>
      <c r="BF89" s="5">
        <v>46388</v>
      </c>
      <c r="BH89">
        <v>1</v>
      </c>
      <c r="BI89" s="6">
        <v>2700000</v>
      </c>
      <c r="BJ89" s="6">
        <v>0</v>
      </c>
      <c r="BK89" s="6">
        <v>0</v>
      </c>
      <c r="BL89" s="6">
        <v>2700000</v>
      </c>
      <c r="BM89" s="2">
        <v>2700000</v>
      </c>
      <c r="BN89">
        <f>InvoiceTable[[#This Row],[Giảm giá]]*InvoiceTable[[#This Row],[Số lượng]]</f>
        <v>0</v>
      </c>
    </row>
    <row r="90" spans="1:66" x14ac:dyDescent="0.25">
      <c r="A90" t="s">
        <v>65</v>
      </c>
      <c r="B90" t="s">
        <v>511</v>
      </c>
      <c r="F90" s="2"/>
      <c r="G90" s="3">
        <v>46016.392159756942</v>
      </c>
      <c r="H90" s="3">
        <v>46016.392159872688</v>
      </c>
      <c r="I90" s="4" t="s">
        <v>67</v>
      </c>
      <c r="J90" t="s">
        <v>67</v>
      </c>
      <c r="K90" t="s">
        <v>67</v>
      </c>
      <c r="L90" t="s">
        <v>499</v>
      </c>
      <c r="M90" t="s">
        <v>500</v>
      </c>
      <c r="N90" t="s">
        <v>67</v>
      </c>
      <c r="O90" t="s">
        <v>501</v>
      </c>
      <c r="P90" t="s">
        <v>502</v>
      </c>
      <c r="S90" s="5"/>
      <c r="T90" t="s">
        <v>72</v>
      </c>
      <c r="U90" t="s">
        <v>87</v>
      </c>
      <c r="V90" t="s">
        <v>74</v>
      </c>
      <c r="W90" t="s">
        <v>87</v>
      </c>
      <c r="AE90" s="2"/>
      <c r="AF90" s="2"/>
      <c r="AG90" s="2"/>
      <c r="AH90" s="2"/>
      <c r="AK90" t="s">
        <v>512</v>
      </c>
      <c r="AL90" s="2">
        <v>30455000</v>
      </c>
      <c r="AM90" s="2">
        <v>15227500</v>
      </c>
      <c r="AN90" s="2"/>
      <c r="AO90" s="2">
        <v>0</v>
      </c>
      <c r="AP90" s="2">
        <v>15227500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4"/>
      <c r="AX90" t="s">
        <v>75</v>
      </c>
      <c r="AZ90" t="s">
        <v>515</v>
      </c>
      <c r="BA90" t="s">
        <v>67</v>
      </c>
      <c r="BB90" t="s">
        <v>516</v>
      </c>
      <c r="BC90" t="s">
        <v>78</v>
      </c>
      <c r="BD90" t="s">
        <v>79</v>
      </c>
      <c r="BE90" t="s">
        <v>517</v>
      </c>
      <c r="BF90" s="5">
        <v>47665</v>
      </c>
      <c r="BG90" t="s">
        <v>67</v>
      </c>
      <c r="BH90">
        <v>1</v>
      </c>
      <c r="BI90" s="6">
        <v>3700000</v>
      </c>
      <c r="BJ90" s="6">
        <v>0</v>
      </c>
      <c r="BK90" s="6">
        <v>0</v>
      </c>
      <c r="BL90" s="6">
        <v>3700000</v>
      </c>
      <c r="BM90" s="2">
        <v>3700000</v>
      </c>
      <c r="BN90">
        <f>InvoiceTable[[#This Row],[Giảm giá]]*InvoiceTable[[#This Row],[Số lượng]]</f>
        <v>0</v>
      </c>
    </row>
    <row r="91" spans="1:66" x14ac:dyDescent="0.25">
      <c r="A91" t="s">
        <v>65</v>
      </c>
      <c r="B91" t="s">
        <v>511</v>
      </c>
      <c r="F91" s="2"/>
      <c r="G91" s="3">
        <v>46016.392159756942</v>
      </c>
      <c r="H91" s="3">
        <v>46016.392159872688</v>
      </c>
      <c r="I91" s="4" t="s">
        <v>67</v>
      </c>
      <c r="J91" t="s">
        <v>67</v>
      </c>
      <c r="K91" t="s">
        <v>67</v>
      </c>
      <c r="L91" t="s">
        <v>499</v>
      </c>
      <c r="M91" t="s">
        <v>500</v>
      </c>
      <c r="N91" t="s">
        <v>67</v>
      </c>
      <c r="O91" t="s">
        <v>501</v>
      </c>
      <c r="P91" t="s">
        <v>502</v>
      </c>
      <c r="S91" s="5"/>
      <c r="T91" t="s">
        <v>72</v>
      </c>
      <c r="U91" t="s">
        <v>87</v>
      </c>
      <c r="V91" t="s">
        <v>74</v>
      </c>
      <c r="W91" t="s">
        <v>87</v>
      </c>
      <c r="AE91" s="2"/>
      <c r="AF91" s="2"/>
      <c r="AG91" s="2"/>
      <c r="AH91" s="2"/>
      <c r="AK91" t="s">
        <v>512</v>
      </c>
      <c r="AL91" s="2">
        <v>30455000</v>
      </c>
      <c r="AM91" s="2">
        <v>15227500</v>
      </c>
      <c r="AN91" s="2"/>
      <c r="AO91" s="2">
        <v>0</v>
      </c>
      <c r="AP91" s="2">
        <v>15227500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4"/>
      <c r="AX91" t="s">
        <v>75</v>
      </c>
      <c r="AZ91" t="s">
        <v>518</v>
      </c>
      <c r="BA91" t="s">
        <v>67</v>
      </c>
      <c r="BB91" t="s">
        <v>519</v>
      </c>
      <c r="BC91" t="s">
        <v>78</v>
      </c>
      <c r="BD91" t="s">
        <v>79</v>
      </c>
      <c r="BE91" t="s">
        <v>80</v>
      </c>
      <c r="BF91" s="5">
        <v>47300</v>
      </c>
      <c r="BH91">
        <v>2</v>
      </c>
      <c r="BI91" s="6">
        <v>3500000</v>
      </c>
      <c r="BJ91" s="6">
        <v>0</v>
      </c>
      <c r="BK91" s="6">
        <v>0</v>
      </c>
      <c r="BL91" s="6">
        <v>3500000</v>
      </c>
      <c r="BM91" s="2">
        <v>7000000</v>
      </c>
      <c r="BN91">
        <f>InvoiceTable[[#This Row],[Giảm giá]]*InvoiceTable[[#This Row],[Số lượng]]</f>
        <v>0</v>
      </c>
    </row>
    <row r="92" spans="1:66" x14ac:dyDescent="0.25">
      <c r="A92" t="s">
        <v>65</v>
      </c>
      <c r="B92" t="s">
        <v>511</v>
      </c>
      <c r="F92" s="2"/>
      <c r="G92" s="3">
        <v>46016.392159756942</v>
      </c>
      <c r="H92" s="3">
        <v>46016.392159872688</v>
      </c>
      <c r="I92" s="4" t="s">
        <v>67</v>
      </c>
      <c r="J92" t="s">
        <v>67</v>
      </c>
      <c r="K92" t="s">
        <v>67</v>
      </c>
      <c r="L92" t="s">
        <v>499</v>
      </c>
      <c r="M92" t="s">
        <v>500</v>
      </c>
      <c r="N92" t="s">
        <v>67</v>
      </c>
      <c r="O92" t="s">
        <v>501</v>
      </c>
      <c r="P92" t="s">
        <v>502</v>
      </c>
      <c r="S92" s="5"/>
      <c r="T92" t="s">
        <v>72</v>
      </c>
      <c r="U92" t="s">
        <v>87</v>
      </c>
      <c r="V92" t="s">
        <v>74</v>
      </c>
      <c r="W92" t="s">
        <v>87</v>
      </c>
      <c r="AE92" s="2"/>
      <c r="AF92" s="2"/>
      <c r="AG92" s="2"/>
      <c r="AH92" s="2"/>
      <c r="AK92" t="s">
        <v>512</v>
      </c>
      <c r="AL92" s="2">
        <v>30455000</v>
      </c>
      <c r="AM92" s="2">
        <v>15227500</v>
      </c>
      <c r="AN92" s="2"/>
      <c r="AO92" s="2">
        <v>0</v>
      </c>
      <c r="AP92" s="2">
        <v>15227500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4"/>
      <c r="AX92" t="s">
        <v>75</v>
      </c>
      <c r="AZ92" t="s">
        <v>520</v>
      </c>
      <c r="BA92" t="s">
        <v>67</v>
      </c>
      <c r="BB92" t="s">
        <v>521</v>
      </c>
      <c r="BC92" t="s">
        <v>138</v>
      </c>
      <c r="BD92" t="s">
        <v>79</v>
      </c>
      <c r="BE92" t="s">
        <v>131</v>
      </c>
      <c r="BF92" s="5">
        <v>46874</v>
      </c>
      <c r="BH92">
        <v>1</v>
      </c>
      <c r="BI92" s="6">
        <v>1200000</v>
      </c>
      <c r="BJ92" s="6">
        <v>0</v>
      </c>
      <c r="BK92" s="6">
        <v>0</v>
      </c>
      <c r="BL92" s="6">
        <v>1200000</v>
      </c>
      <c r="BM92" s="2">
        <v>1200000</v>
      </c>
      <c r="BN92">
        <f>InvoiceTable[[#This Row],[Giảm giá]]*InvoiceTable[[#This Row],[Số lượng]]</f>
        <v>0</v>
      </c>
    </row>
    <row r="93" spans="1:66" x14ac:dyDescent="0.25">
      <c r="A93" t="s">
        <v>65</v>
      </c>
      <c r="B93" t="s">
        <v>511</v>
      </c>
      <c r="F93" s="2"/>
      <c r="G93" s="3">
        <v>46016.392159756942</v>
      </c>
      <c r="H93" s="3">
        <v>46016.392159872688</v>
      </c>
      <c r="I93" s="4" t="s">
        <v>67</v>
      </c>
      <c r="J93" t="s">
        <v>67</v>
      </c>
      <c r="K93" t="s">
        <v>67</v>
      </c>
      <c r="L93" t="s">
        <v>499</v>
      </c>
      <c r="M93" t="s">
        <v>500</v>
      </c>
      <c r="N93" t="s">
        <v>67</v>
      </c>
      <c r="O93" t="s">
        <v>501</v>
      </c>
      <c r="P93" t="s">
        <v>502</v>
      </c>
      <c r="S93" s="5"/>
      <c r="T93" t="s">
        <v>72</v>
      </c>
      <c r="U93" t="s">
        <v>87</v>
      </c>
      <c r="V93" t="s">
        <v>74</v>
      </c>
      <c r="W93" t="s">
        <v>87</v>
      </c>
      <c r="AE93" s="2"/>
      <c r="AF93" s="2"/>
      <c r="AG93" s="2"/>
      <c r="AH93" s="2"/>
      <c r="AK93" t="s">
        <v>512</v>
      </c>
      <c r="AL93" s="2">
        <v>30455000</v>
      </c>
      <c r="AM93" s="2">
        <v>15227500</v>
      </c>
      <c r="AN93" s="2"/>
      <c r="AO93" s="2">
        <v>0</v>
      </c>
      <c r="AP93" s="2">
        <v>15227500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4"/>
      <c r="AX93" t="s">
        <v>75</v>
      </c>
      <c r="AZ93" t="s">
        <v>504</v>
      </c>
      <c r="BA93" t="s">
        <v>67</v>
      </c>
      <c r="BB93" t="s">
        <v>505</v>
      </c>
      <c r="BC93" t="s">
        <v>78</v>
      </c>
      <c r="BD93" t="s">
        <v>79</v>
      </c>
      <c r="BE93" t="s">
        <v>506</v>
      </c>
      <c r="BF93" s="5">
        <v>47604</v>
      </c>
      <c r="BH93">
        <v>2</v>
      </c>
      <c r="BI93" s="6">
        <v>1990000</v>
      </c>
      <c r="BJ93" s="6">
        <v>0</v>
      </c>
      <c r="BK93" s="6">
        <v>0</v>
      </c>
      <c r="BL93" s="6">
        <v>1990000</v>
      </c>
      <c r="BM93" s="2">
        <v>3980000</v>
      </c>
      <c r="BN93">
        <f>InvoiceTable[[#This Row],[Giảm giá]]*InvoiceTable[[#This Row],[Số lượng]]</f>
        <v>0</v>
      </c>
    </row>
    <row r="94" spans="1:66" x14ac:dyDescent="0.25">
      <c r="A94" t="s">
        <v>65</v>
      </c>
      <c r="B94" t="s">
        <v>511</v>
      </c>
      <c r="F94" s="2"/>
      <c r="G94" s="3">
        <v>46016.392159756942</v>
      </c>
      <c r="H94" s="3">
        <v>46016.392159872688</v>
      </c>
      <c r="I94" s="4" t="s">
        <v>67</v>
      </c>
      <c r="J94" t="s">
        <v>67</v>
      </c>
      <c r="K94" t="s">
        <v>67</v>
      </c>
      <c r="L94" t="s">
        <v>499</v>
      </c>
      <c r="M94" t="s">
        <v>500</v>
      </c>
      <c r="N94" t="s">
        <v>67</v>
      </c>
      <c r="O94" t="s">
        <v>501</v>
      </c>
      <c r="P94" t="s">
        <v>502</v>
      </c>
      <c r="S94" s="5"/>
      <c r="T94" t="s">
        <v>72</v>
      </c>
      <c r="U94" t="s">
        <v>87</v>
      </c>
      <c r="V94" t="s">
        <v>74</v>
      </c>
      <c r="W94" t="s">
        <v>87</v>
      </c>
      <c r="AE94" s="2"/>
      <c r="AF94" s="2"/>
      <c r="AG94" s="2"/>
      <c r="AH94" s="2"/>
      <c r="AK94" t="s">
        <v>512</v>
      </c>
      <c r="AL94" s="2">
        <v>30455000</v>
      </c>
      <c r="AM94" s="2">
        <v>15227500</v>
      </c>
      <c r="AN94" s="2"/>
      <c r="AO94" s="2">
        <v>0</v>
      </c>
      <c r="AP94" s="2">
        <v>15227500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4"/>
      <c r="AX94" t="s">
        <v>75</v>
      </c>
      <c r="AZ94" t="s">
        <v>522</v>
      </c>
      <c r="BA94" t="s">
        <v>67</v>
      </c>
      <c r="BB94" t="s">
        <v>523</v>
      </c>
      <c r="BC94" t="s">
        <v>78</v>
      </c>
      <c r="BD94" t="s">
        <v>79</v>
      </c>
      <c r="BE94" t="s">
        <v>142</v>
      </c>
      <c r="BF94" s="5">
        <v>46844</v>
      </c>
      <c r="BH94">
        <v>2</v>
      </c>
      <c r="BI94" s="6">
        <v>3050000</v>
      </c>
      <c r="BJ94" s="6">
        <v>0</v>
      </c>
      <c r="BK94" s="6">
        <v>0</v>
      </c>
      <c r="BL94" s="6">
        <v>3050000</v>
      </c>
      <c r="BM94" s="2">
        <v>6100000</v>
      </c>
      <c r="BN94">
        <f>InvoiceTable[[#This Row],[Giảm giá]]*InvoiceTable[[#This Row],[Số lượng]]</f>
        <v>0</v>
      </c>
    </row>
    <row r="95" spans="1:66" x14ac:dyDescent="0.25">
      <c r="A95" t="s">
        <v>65</v>
      </c>
      <c r="B95" t="s">
        <v>511</v>
      </c>
      <c r="F95" s="2"/>
      <c r="G95" s="3">
        <v>46016.392159756942</v>
      </c>
      <c r="H95" s="3">
        <v>46016.392159872688</v>
      </c>
      <c r="I95" s="4" t="s">
        <v>67</v>
      </c>
      <c r="J95" t="s">
        <v>67</v>
      </c>
      <c r="K95" t="s">
        <v>67</v>
      </c>
      <c r="L95" t="s">
        <v>499</v>
      </c>
      <c r="M95" t="s">
        <v>500</v>
      </c>
      <c r="N95" t="s">
        <v>67</v>
      </c>
      <c r="O95" t="s">
        <v>501</v>
      </c>
      <c r="P95" t="s">
        <v>502</v>
      </c>
      <c r="S95" s="5"/>
      <c r="T95" t="s">
        <v>72</v>
      </c>
      <c r="U95" t="s">
        <v>87</v>
      </c>
      <c r="V95" t="s">
        <v>74</v>
      </c>
      <c r="W95" t="s">
        <v>87</v>
      </c>
      <c r="AE95" s="2"/>
      <c r="AF95" s="2"/>
      <c r="AG95" s="2"/>
      <c r="AH95" s="2"/>
      <c r="AK95" t="s">
        <v>512</v>
      </c>
      <c r="AL95" s="2">
        <v>30455000</v>
      </c>
      <c r="AM95" s="2">
        <v>15227500</v>
      </c>
      <c r="AN95" s="2"/>
      <c r="AO95" s="2">
        <v>0</v>
      </c>
      <c r="AP95" s="2">
        <v>15227500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4"/>
      <c r="AX95" t="s">
        <v>75</v>
      </c>
      <c r="AZ95" t="s">
        <v>524</v>
      </c>
      <c r="BA95" t="s">
        <v>67</v>
      </c>
      <c r="BB95" t="s">
        <v>525</v>
      </c>
      <c r="BC95" t="s">
        <v>526</v>
      </c>
      <c r="BD95" t="s">
        <v>79</v>
      </c>
      <c r="BE95" t="s">
        <v>168</v>
      </c>
      <c r="BF95" s="5">
        <v>46388</v>
      </c>
      <c r="BG95" t="s">
        <v>67</v>
      </c>
      <c r="BH95">
        <v>5</v>
      </c>
      <c r="BI95" s="6">
        <v>395000</v>
      </c>
      <c r="BJ95" s="6">
        <v>0</v>
      </c>
      <c r="BK95" s="6">
        <v>0</v>
      </c>
      <c r="BL95" s="6">
        <v>395000</v>
      </c>
      <c r="BM95" s="2">
        <v>1975000</v>
      </c>
      <c r="BN95">
        <f>InvoiceTable[[#This Row],[Giảm giá]]*InvoiceTable[[#This Row],[Số lượng]]</f>
        <v>0</v>
      </c>
    </row>
    <row r="96" spans="1:66" x14ac:dyDescent="0.25">
      <c r="A96" t="s">
        <v>65</v>
      </c>
      <c r="B96" t="s">
        <v>511</v>
      </c>
      <c r="F96" s="2"/>
      <c r="G96" s="3">
        <v>46016.392159756942</v>
      </c>
      <c r="H96" s="3">
        <v>46016.392159872688</v>
      </c>
      <c r="I96" s="4" t="s">
        <v>67</v>
      </c>
      <c r="J96" t="s">
        <v>67</v>
      </c>
      <c r="K96" t="s">
        <v>67</v>
      </c>
      <c r="L96" t="s">
        <v>499</v>
      </c>
      <c r="M96" t="s">
        <v>500</v>
      </c>
      <c r="N96" t="s">
        <v>67</v>
      </c>
      <c r="O96" t="s">
        <v>501</v>
      </c>
      <c r="P96" t="s">
        <v>502</v>
      </c>
      <c r="S96" s="5"/>
      <c r="T96" t="s">
        <v>72</v>
      </c>
      <c r="U96" t="s">
        <v>87</v>
      </c>
      <c r="V96" t="s">
        <v>74</v>
      </c>
      <c r="W96" t="s">
        <v>87</v>
      </c>
      <c r="AE96" s="2"/>
      <c r="AF96" s="2"/>
      <c r="AG96" s="2"/>
      <c r="AH96" s="2"/>
      <c r="AK96" t="s">
        <v>512</v>
      </c>
      <c r="AL96" s="2">
        <v>30455000</v>
      </c>
      <c r="AM96" s="2">
        <v>15227500</v>
      </c>
      <c r="AN96" s="2"/>
      <c r="AO96" s="2">
        <v>0</v>
      </c>
      <c r="AP96" s="2">
        <v>15227500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4"/>
      <c r="AX96" t="s">
        <v>75</v>
      </c>
      <c r="AZ96" t="s">
        <v>527</v>
      </c>
      <c r="BA96" t="s">
        <v>67</v>
      </c>
      <c r="BB96" t="s">
        <v>528</v>
      </c>
      <c r="BC96" t="s">
        <v>78</v>
      </c>
      <c r="BD96" t="s">
        <v>79</v>
      </c>
      <c r="BE96" t="s">
        <v>317</v>
      </c>
      <c r="BF96" s="5">
        <v>46935</v>
      </c>
      <c r="BH96">
        <v>1</v>
      </c>
      <c r="BI96" s="6">
        <v>3800000</v>
      </c>
      <c r="BJ96" s="6">
        <v>0</v>
      </c>
      <c r="BK96" s="6">
        <v>0</v>
      </c>
      <c r="BL96" s="6">
        <v>3800000</v>
      </c>
      <c r="BM96" s="2">
        <v>3800000</v>
      </c>
      <c r="BN96">
        <f>InvoiceTable[[#This Row],[Giảm giá]]*InvoiceTable[[#This Row],[Số lượng]]</f>
        <v>0</v>
      </c>
    </row>
    <row r="97" spans="1:66" x14ac:dyDescent="0.25">
      <c r="A97" t="s">
        <v>65</v>
      </c>
      <c r="B97" t="s">
        <v>529</v>
      </c>
      <c r="F97" s="2"/>
      <c r="G97" s="3">
        <v>46015.746936261574</v>
      </c>
      <c r="H97" s="3">
        <v>46015.746913275463</v>
      </c>
      <c r="I97" s="4" t="s">
        <v>96</v>
      </c>
      <c r="J97" t="s">
        <v>530</v>
      </c>
      <c r="K97" t="s">
        <v>67</v>
      </c>
      <c r="L97" t="s">
        <v>531</v>
      </c>
      <c r="M97" t="s">
        <v>532</v>
      </c>
      <c r="N97" t="s">
        <v>533</v>
      </c>
      <c r="O97" t="s">
        <v>534</v>
      </c>
      <c r="P97" t="s">
        <v>535</v>
      </c>
      <c r="S97" s="5"/>
      <c r="T97" t="s">
        <v>72</v>
      </c>
      <c r="U97" t="s">
        <v>87</v>
      </c>
      <c r="V97" t="s">
        <v>74</v>
      </c>
      <c r="W97" t="s">
        <v>87</v>
      </c>
      <c r="AE97" s="2"/>
      <c r="AF97" s="2"/>
      <c r="AG97" s="2"/>
      <c r="AH97" s="2"/>
      <c r="AK97" t="s">
        <v>67</v>
      </c>
      <c r="AL97" s="2">
        <v>6200000</v>
      </c>
      <c r="AM97" s="2">
        <v>0</v>
      </c>
      <c r="AN97" s="2"/>
      <c r="AO97" s="2">
        <v>0</v>
      </c>
      <c r="AP97" s="2">
        <v>6200000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4"/>
      <c r="AX97" t="s">
        <v>75</v>
      </c>
      <c r="AZ97" t="s">
        <v>536</v>
      </c>
      <c r="BA97" t="s">
        <v>67</v>
      </c>
      <c r="BB97" t="s">
        <v>537</v>
      </c>
      <c r="BC97" t="s">
        <v>105</v>
      </c>
      <c r="BD97" t="s">
        <v>79</v>
      </c>
      <c r="BE97" t="s">
        <v>216</v>
      </c>
      <c r="BF97" s="5">
        <v>46784</v>
      </c>
      <c r="BG97" t="s">
        <v>67</v>
      </c>
      <c r="BH97">
        <v>1</v>
      </c>
      <c r="BI97" s="6">
        <v>7665000</v>
      </c>
      <c r="BJ97" s="6">
        <v>0</v>
      </c>
      <c r="BK97" s="6">
        <v>1465000</v>
      </c>
      <c r="BL97" s="6">
        <v>6200000</v>
      </c>
      <c r="BM97" s="2">
        <v>6200000</v>
      </c>
      <c r="BN97">
        <f>InvoiceTable[[#This Row],[Giảm giá]]*InvoiceTable[[#This Row],[Số lượng]]</f>
        <v>1465000</v>
      </c>
    </row>
    <row r="98" spans="1:66" x14ac:dyDescent="0.25">
      <c r="A98" t="s">
        <v>65</v>
      </c>
      <c r="B98" t="s">
        <v>538</v>
      </c>
      <c r="F98" s="2"/>
      <c r="G98" s="3">
        <v>46015.730914386571</v>
      </c>
      <c r="H98" s="3">
        <v>46015.730891354164</v>
      </c>
      <c r="I98" s="4" t="s">
        <v>96</v>
      </c>
      <c r="J98" t="s">
        <v>67</v>
      </c>
      <c r="K98" t="s">
        <v>67</v>
      </c>
      <c r="L98" t="s">
        <v>539</v>
      </c>
      <c r="M98" t="s">
        <v>540</v>
      </c>
      <c r="N98" t="s">
        <v>67</v>
      </c>
      <c r="O98" t="s">
        <v>541</v>
      </c>
      <c r="P98" t="s">
        <v>542</v>
      </c>
      <c r="S98" s="5"/>
      <c r="T98" t="s">
        <v>72</v>
      </c>
      <c r="U98" t="s">
        <v>102</v>
      </c>
      <c r="V98" t="s">
        <v>74</v>
      </c>
      <c r="W98" t="s">
        <v>102</v>
      </c>
      <c r="AE98" s="2"/>
      <c r="AF98" s="2"/>
      <c r="AG98" s="2"/>
      <c r="AH98" s="2"/>
      <c r="AL98" s="2">
        <v>2800000</v>
      </c>
      <c r="AM98" s="2">
        <v>0</v>
      </c>
      <c r="AN98" s="2"/>
      <c r="AO98" s="2">
        <v>0</v>
      </c>
      <c r="AP98" s="2">
        <v>2800000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4"/>
      <c r="AX98" t="s">
        <v>75</v>
      </c>
      <c r="AZ98" t="s">
        <v>543</v>
      </c>
      <c r="BA98" t="s">
        <v>67</v>
      </c>
      <c r="BB98" t="s">
        <v>544</v>
      </c>
      <c r="BC98" t="s">
        <v>437</v>
      </c>
      <c r="BD98" t="s">
        <v>79</v>
      </c>
      <c r="BE98" t="s">
        <v>545</v>
      </c>
      <c r="BF98" s="5">
        <v>47177</v>
      </c>
      <c r="BG98" t="s">
        <v>67</v>
      </c>
      <c r="BH98">
        <v>1</v>
      </c>
      <c r="BI98" s="6">
        <v>4500000</v>
      </c>
      <c r="BJ98" s="6">
        <v>0</v>
      </c>
      <c r="BK98" s="6">
        <v>1700000</v>
      </c>
      <c r="BL98" s="6">
        <v>2800000</v>
      </c>
      <c r="BM98" s="2">
        <v>2800000</v>
      </c>
      <c r="BN98">
        <f>InvoiceTable[[#This Row],[Giảm giá]]*InvoiceTable[[#This Row],[Số lượng]]</f>
        <v>1700000</v>
      </c>
    </row>
    <row r="99" spans="1:66" x14ac:dyDescent="0.25">
      <c r="A99" t="s">
        <v>65</v>
      </c>
      <c r="B99" t="s">
        <v>546</v>
      </c>
      <c r="F99" s="2"/>
      <c r="G99" s="3">
        <v>46015.730869826388</v>
      </c>
      <c r="H99" s="3">
        <v>46015.730869988423</v>
      </c>
      <c r="I99" s="4" t="s">
        <v>67</v>
      </c>
      <c r="J99" t="s">
        <v>547</v>
      </c>
      <c r="K99" t="s">
        <v>67</v>
      </c>
      <c r="L99" t="s">
        <v>548</v>
      </c>
      <c r="M99" t="s">
        <v>549</v>
      </c>
      <c r="N99" t="s">
        <v>67</v>
      </c>
      <c r="O99" t="s">
        <v>550</v>
      </c>
      <c r="P99" t="s">
        <v>551</v>
      </c>
      <c r="Q99" t="s">
        <v>67</v>
      </c>
      <c r="R99" t="s">
        <v>67</v>
      </c>
      <c r="S99" s="5"/>
      <c r="T99" t="s">
        <v>72</v>
      </c>
      <c r="U99" t="s">
        <v>73</v>
      </c>
      <c r="V99" t="s">
        <v>74</v>
      </c>
      <c r="W99" t="s">
        <v>87</v>
      </c>
      <c r="AE99" s="2"/>
      <c r="AF99" s="2"/>
      <c r="AG99" s="2"/>
      <c r="AH99" s="2"/>
      <c r="AK99" t="s">
        <v>552</v>
      </c>
      <c r="AL99" s="2">
        <v>2750000</v>
      </c>
      <c r="AM99" s="2">
        <v>0</v>
      </c>
      <c r="AN99" s="2"/>
      <c r="AO99" s="2">
        <v>0</v>
      </c>
      <c r="AP99" s="2">
        <v>2750000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4"/>
      <c r="AX99" t="s">
        <v>75</v>
      </c>
      <c r="AZ99" t="s">
        <v>553</v>
      </c>
      <c r="BA99" t="s">
        <v>67</v>
      </c>
      <c r="BB99" t="s">
        <v>554</v>
      </c>
      <c r="BC99" t="s">
        <v>347</v>
      </c>
      <c r="BD99" t="s">
        <v>79</v>
      </c>
      <c r="BE99" t="s">
        <v>506</v>
      </c>
      <c r="BF99" s="5">
        <v>47604</v>
      </c>
      <c r="BG99" t="s">
        <v>67</v>
      </c>
      <c r="BH99">
        <v>5</v>
      </c>
      <c r="BI99" s="6">
        <v>550000</v>
      </c>
      <c r="BJ99" s="6">
        <v>35</v>
      </c>
      <c r="BK99" s="6">
        <v>0</v>
      </c>
      <c r="BL99" s="6">
        <v>550000</v>
      </c>
      <c r="BM99" s="2">
        <v>2750000</v>
      </c>
      <c r="BN99">
        <f>InvoiceTable[[#This Row],[Giảm giá]]*InvoiceTable[[#This Row],[Số lượng]]</f>
        <v>0</v>
      </c>
    </row>
    <row r="100" spans="1:66" x14ac:dyDescent="0.25">
      <c r="A100" t="s">
        <v>65</v>
      </c>
      <c r="B100" t="s">
        <v>555</v>
      </c>
      <c r="F100" s="2"/>
      <c r="G100" s="3">
        <v>46015.712534687496</v>
      </c>
      <c r="H100" s="3">
        <v>46015.712534803242</v>
      </c>
      <c r="I100" s="4" t="s">
        <v>67</v>
      </c>
      <c r="J100" t="s">
        <v>67</v>
      </c>
      <c r="K100" t="s">
        <v>67</v>
      </c>
      <c r="L100" t="s">
        <v>556</v>
      </c>
      <c r="M100" t="s">
        <v>557</v>
      </c>
      <c r="N100" t="s">
        <v>67</v>
      </c>
      <c r="O100" t="s">
        <v>558</v>
      </c>
      <c r="P100" t="s">
        <v>559</v>
      </c>
      <c r="S100" s="5"/>
      <c r="T100" t="s">
        <v>72</v>
      </c>
      <c r="U100" t="s">
        <v>87</v>
      </c>
      <c r="V100" t="s">
        <v>74</v>
      </c>
      <c r="W100" t="s">
        <v>87</v>
      </c>
      <c r="AE100" s="2"/>
      <c r="AF100" s="2"/>
      <c r="AG100" s="2"/>
      <c r="AH100" s="2"/>
      <c r="AL100" s="2">
        <v>1457500</v>
      </c>
      <c r="AM100" s="2">
        <v>0</v>
      </c>
      <c r="AN100" s="2"/>
      <c r="AO100" s="2">
        <v>0</v>
      </c>
      <c r="AP100" s="2">
        <v>1457500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4"/>
      <c r="AX100" t="s">
        <v>75</v>
      </c>
      <c r="AZ100" t="s">
        <v>560</v>
      </c>
      <c r="BB100" t="s">
        <v>561</v>
      </c>
      <c r="BC100" t="s">
        <v>138</v>
      </c>
      <c r="BD100" t="s">
        <v>79</v>
      </c>
      <c r="BE100" t="s">
        <v>131</v>
      </c>
      <c r="BF100" s="5">
        <v>46874</v>
      </c>
      <c r="BG100" t="s">
        <v>67</v>
      </c>
      <c r="BH100">
        <v>1</v>
      </c>
      <c r="BI100" s="6">
        <v>2650000</v>
      </c>
      <c r="BJ100" s="6">
        <v>45</v>
      </c>
      <c r="BK100" s="6">
        <v>1192500</v>
      </c>
      <c r="BL100" s="6">
        <v>1457500</v>
      </c>
      <c r="BM100" s="2">
        <v>1457500</v>
      </c>
      <c r="BN100">
        <f>InvoiceTable[[#This Row],[Giảm giá]]*InvoiceTable[[#This Row],[Số lượng]]</f>
        <v>1192500</v>
      </c>
    </row>
    <row r="101" spans="1:66" x14ac:dyDescent="0.25">
      <c r="A101" t="s">
        <v>65</v>
      </c>
      <c r="B101" t="s">
        <v>562</v>
      </c>
      <c r="F101" s="2"/>
      <c r="G101" s="3">
        <v>46015.711070520832</v>
      </c>
      <c r="H101" s="3">
        <v>46015.711070833335</v>
      </c>
      <c r="I101" s="4" t="s">
        <v>67</v>
      </c>
      <c r="J101" t="s">
        <v>67</v>
      </c>
      <c r="K101" t="s">
        <v>67</v>
      </c>
      <c r="L101" t="s">
        <v>563</v>
      </c>
      <c r="M101" t="s">
        <v>564</v>
      </c>
      <c r="N101" t="s">
        <v>67</v>
      </c>
      <c r="Q101" t="s">
        <v>67</v>
      </c>
      <c r="R101" t="s">
        <v>67</v>
      </c>
      <c r="S101" s="5"/>
      <c r="T101" t="s">
        <v>72</v>
      </c>
      <c r="U101" t="s">
        <v>87</v>
      </c>
      <c r="V101" t="s">
        <v>74</v>
      </c>
      <c r="W101" t="s">
        <v>87</v>
      </c>
      <c r="AE101" s="2"/>
      <c r="AF101" s="2"/>
      <c r="AG101" s="2"/>
      <c r="AH101" s="2"/>
      <c r="AL101" s="2">
        <v>33759000</v>
      </c>
      <c r="AM101" s="2">
        <v>0</v>
      </c>
      <c r="AN101" s="2"/>
      <c r="AO101" s="2">
        <v>0</v>
      </c>
      <c r="AP101" s="2">
        <v>33759000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4"/>
      <c r="AX101" t="s">
        <v>75</v>
      </c>
      <c r="AZ101" t="s">
        <v>565</v>
      </c>
      <c r="BA101" t="s">
        <v>67</v>
      </c>
      <c r="BB101" t="s">
        <v>566</v>
      </c>
      <c r="BC101" t="s">
        <v>567</v>
      </c>
      <c r="BD101" t="s">
        <v>79</v>
      </c>
      <c r="BE101" t="s">
        <v>94</v>
      </c>
      <c r="BF101" s="5">
        <v>46692</v>
      </c>
      <c r="BH101">
        <v>132</v>
      </c>
      <c r="BI101" s="6">
        <v>488000</v>
      </c>
      <c r="BJ101" s="6">
        <v>0</v>
      </c>
      <c r="BK101" s="6">
        <v>232250</v>
      </c>
      <c r="BL101" s="6">
        <v>255750</v>
      </c>
      <c r="BM101" s="2">
        <v>33759000</v>
      </c>
      <c r="BN101">
        <f>InvoiceTable[[#This Row],[Giảm giá]]*InvoiceTable[[#This Row],[Số lượng]]</f>
        <v>30657000</v>
      </c>
    </row>
    <row r="102" spans="1:66" x14ac:dyDescent="0.25">
      <c r="A102" t="s">
        <v>65</v>
      </c>
      <c r="B102" t="s">
        <v>568</v>
      </c>
      <c r="F102" s="2"/>
      <c r="G102" s="3">
        <v>46015.697850775461</v>
      </c>
      <c r="H102" s="3">
        <v>46015.697850960649</v>
      </c>
      <c r="I102" s="4" t="s">
        <v>67</v>
      </c>
      <c r="J102" t="s">
        <v>67</v>
      </c>
      <c r="K102" t="s">
        <v>67</v>
      </c>
      <c r="L102" t="s">
        <v>569</v>
      </c>
      <c r="M102" t="s">
        <v>570</v>
      </c>
      <c r="N102" t="s">
        <v>67</v>
      </c>
      <c r="O102" t="s">
        <v>571</v>
      </c>
      <c r="P102" t="s">
        <v>572</v>
      </c>
      <c r="S102" s="5"/>
      <c r="T102" t="s">
        <v>72</v>
      </c>
      <c r="U102" t="s">
        <v>87</v>
      </c>
      <c r="V102" t="s">
        <v>74</v>
      </c>
      <c r="W102" t="s">
        <v>87</v>
      </c>
      <c r="AE102" s="2"/>
      <c r="AF102" s="2"/>
      <c r="AG102" s="2"/>
      <c r="AH102" s="2"/>
      <c r="AL102" s="2">
        <v>21000</v>
      </c>
      <c r="AM102" s="2">
        <v>0</v>
      </c>
      <c r="AN102" s="2"/>
      <c r="AO102" s="2">
        <v>0</v>
      </c>
      <c r="AP102" s="2">
        <v>21000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4"/>
      <c r="AX102" t="s">
        <v>75</v>
      </c>
      <c r="AZ102" t="s">
        <v>573</v>
      </c>
      <c r="BA102" t="s">
        <v>67</v>
      </c>
      <c r="BB102" t="s">
        <v>89</v>
      </c>
      <c r="BC102" t="s">
        <v>90</v>
      </c>
      <c r="BF102" s="5"/>
      <c r="BG102" t="s">
        <v>67</v>
      </c>
      <c r="BH102">
        <v>1</v>
      </c>
      <c r="BI102" s="6">
        <v>21000</v>
      </c>
      <c r="BJ102" s="6">
        <v>0</v>
      </c>
      <c r="BK102" s="6">
        <v>0</v>
      </c>
      <c r="BL102" s="6">
        <v>21000</v>
      </c>
      <c r="BM102" s="2">
        <v>21000</v>
      </c>
      <c r="BN102">
        <f>InvoiceTable[[#This Row],[Giảm giá]]*InvoiceTable[[#This Row],[Số lượng]]</f>
        <v>0</v>
      </c>
    </row>
    <row r="103" spans="1:66" x14ac:dyDescent="0.25">
      <c r="A103" t="s">
        <v>65</v>
      </c>
      <c r="B103" t="s">
        <v>574</v>
      </c>
      <c r="F103" s="2"/>
      <c r="G103" s="3">
        <v>46015.684262847222</v>
      </c>
      <c r="H103" s="3">
        <v>46015.684239895832</v>
      </c>
      <c r="I103" s="4" t="s">
        <v>96</v>
      </c>
      <c r="J103" t="s">
        <v>575</v>
      </c>
      <c r="K103" t="s">
        <v>67</v>
      </c>
      <c r="L103" t="s">
        <v>576</v>
      </c>
      <c r="M103" t="s">
        <v>577</v>
      </c>
      <c r="N103" t="s">
        <v>67</v>
      </c>
      <c r="O103" t="s">
        <v>578</v>
      </c>
      <c r="P103" t="s">
        <v>579</v>
      </c>
      <c r="S103" s="5"/>
      <c r="T103" t="s">
        <v>72</v>
      </c>
      <c r="U103" t="s">
        <v>73</v>
      </c>
      <c r="V103" t="s">
        <v>74</v>
      </c>
      <c r="W103" t="s">
        <v>87</v>
      </c>
      <c r="AE103" s="2"/>
      <c r="AF103" s="2"/>
      <c r="AG103" s="2"/>
      <c r="AH103" s="2"/>
      <c r="AK103" t="s">
        <v>580</v>
      </c>
      <c r="AL103" s="2">
        <v>8650000</v>
      </c>
      <c r="AM103" s="2">
        <v>0</v>
      </c>
      <c r="AN103" s="2"/>
      <c r="AO103" s="2">
        <v>0</v>
      </c>
      <c r="AP103" s="2">
        <v>8650000</v>
      </c>
      <c r="AQ103" s="2">
        <v>8650000</v>
      </c>
      <c r="AR103" s="2">
        <v>0</v>
      </c>
      <c r="AS103" s="2">
        <v>0</v>
      </c>
      <c r="AT103" s="2">
        <v>0</v>
      </c>
      <c r="AU103" s="2">
        <v>8650000</v>
      </c>
      <c r="AV103" s="2">
        <v>0</v>
      </c>
      <c r="AW103" s="4"/>
      <c r="AX103" t="s">
        <v>75</v>
      </c>
      <c r="AZ103" t="s">
        <v>581</v>
      </c>
      <c r="BA103" t="s">
        <v>67</v>
      </c>
      <c r="BB103" t="s">
        <v>582</v>
      </c>
      <c r="BC103" t="s">
        <v>583</v>
      </c>
      <c r="BD103" t="s">
        <v>79</v>
      </c>
      <c r="BE103" t="s">
        <v>584</v>
      </c>
      <c r="BF103" s="5">
        <v>46672</v>
      </c>
      <c r="BH103">
        <v>1</v>
      </c>
      <c r="BI103" s="6">
        <v>2600000</v>
      </c>
      <c r="BJ103" s="6">
        <v>0</v>
      </c>
      <c r="BK103" s="6">
        <v>550000</v>
      </c>
      <c r="BL103" s="6">
        <v>2050000</v>
      </c>
      <c r="BM103" s="2">
        <v>2050000</v>
      </c>
      <c r="BN103">
        <f>InvoiceTable[[#This Row],[Giảm giá]]*InvoiceTable[[#This Row],[Số lượng]]</f>
        <v>550000</v>
      </c>
    </row>
    <row r="104" spans="1:66" x14ac:dyDescent="0.25">
      <c r="A104" t="s">
        <v>65</v>
      </c>
      <c r="B104" t="s">
        <v>574</v>
      </c>
      <c r="F104" s="2"/>
      <c r="G104" s="3">
        <v>46015.684262847222</v>
      </c>
      <c r="H104" s="3">
        <v>46015.684239895832</v>
      </c>
      <c r="I104" s="4" t="s">
        <v>96</v>
      </c>
      <c r="J104" t="s">
        <v>575</v>
      </c>
      <c r="K104" t="s">
        <v>67</v>
      </c>
      <c r="L104" t="s">
        <v>576</v>
      </c>
      <c r="M104" t="s">
        <v>577</v>
      </c>
      <c r="N104" t="s">
        <v>67</v>
      </c>
      <c r="O104" t="s">
        <v>578</v>
      </c>
      <c r="P104" t="s">
        <v>579</v>
      </c>
      <c r="S104" s="5"/>
      <c r="T104" t="s">
        <v>72</v>
      </c>
      <c r="U104" t="s">
        <v>73</v>
      </c>
      <c r="V104" t="s">
        <v>74</v>
      </c>
      <c r="W104" t="s">
        <v>87</v>
      </c>
      <c r="AE104" s="2"/>
      <c r="AF104" s="2"/>
      <c r="AG104" s="2"/>
      <c r="AH104" s="2"/>
      <c r="AK104" t="s">
        <v>580</v>
      </c>
      <c r="AL104" s="2">
        <v>8650000</v>
      </c>
      <c r="AM104" s="2">
        <v>0</v>
      </c>
      <c r="AN104" s="2"/>
      <c r="AO104" s="2">
        <v>0</v>
      </c>
      <c r="AP104" s="2">
        <v>8650000</v>
      </c>
      <c r="AQ104" s="2">
        <v>8650000</v>
      </c>
      <c r="AR104" s="2">
        <v>0</v>
      </c>
      <c r="AS104" s="2">
        <v>0</v>
      </c>
      <c r="AT104" s="2">
        <v>0</v>
      </c>
      <c r="AU104" s="2">
        <v>8650000</v>
      </c>
      <c r="AV104" s="2">
        <v>0</v>
      </c>
      <c r="AW104" s="4"/>
      <c r="AX104" t="s">
        <v>75</v>
      </c>
      <c r="AZ104" t="s">
        <v>585</v>
      </c>
      <c r="BA104" t="s">
        <v>67</v>
      </c>
      <c r="BB104" t="s">
        <v>586</v>
      </c>
      <c r="BC104" t="s">
        <v>587</v>
      </c>
      <c r="BD104" t="s">
        <v>79</v>
      </c>
      <c r="BE104" t="s">
        <v>273</v>
      </c>
      <c r="BF104" s="5">
        <v>46266</v>
      </c>
      <c r="BG104" t="s">
        <v>67</v>
      </c>
      <c r="BH104">
        <v>1</v>
      </c>
      <c r="BI104" s="6">
        <v>3740000</v>
      </c>
      <c r="BJ104" s="6">
        <v>0</v>
      </c>
      <c r="BK104" s="6">
        <v>1340000</v>
      </c>
      <c r="BL104" s="6">
        <v>2400000</v>
      </c>
      <c r="BM104" s="2">
        <v>2400000</v>
      </c>
      <c r="BN104">
        <f>InvoiceTable[[#This Row],[Giảm giá]]*InvoiceTable[[#This Row],[Số lượng]]</f>
        <v>1340000</v>
      </c>
    </row>
    <row r="105" spans="1:66" x14ac:dyDescent="0.25">
      <c r="A105" t="s">
        <v>65</v>
      </c>
      <c r="B105" t="s">
        <v>574</v>
      </c>
      <c r="F105" s="2"/>
      <c r="G105" s="3">
        <v>46015.684262847222</v>
      </c>
      <c r="H105" s="3">
        <v>46015.684239895832</v>
      </c>
      <c r="I105" s="4" t="s">
        <v>96</v>
      </c>
      <c r="J105" t="s">
        <v>575</v>
      </c>
      <c r="K105" t="s">
        <v>67</v>
      </c>
      <c r="L105" t="s">
        <v>576</v>
      </c>
      <c r="M105" t="s">
        <v>577</v>
      </c>
      <c r="N105" t="s">
        <v>67</v>
      </c>
      <c r="O105" t="s">
        <v>578</v>
      </c>
      <c r="P105" t="s">
        <v>579</v>
      </c>
      <c r="S105" s="5"/>
      <c r="T105" t="s">
        <v>72</v>
      </c>
      <c r="U105" t="s">
        <v>73</v>
      </c>
      <c r="V105" t="s">
        <v>74</v>
      </c>
      <c r="W105" t="s">
        <v>87</v>
      </c>
      <c r="AE105" s="2"/>
      <c r="AF105" s="2"/>
      <c r="AG105" s="2"/>
      <c r="AH105" s="2"/>
      <c r="AK105" t="s">
        <v>580</v>
      </c>
      <c r="AL105" s="2">
        <v>8650000</v>
      </c>
      <c r="AM105" s="2">
        <v>0</v>
      </c>
      <c r="AN105" s="2"/>
      <c r="AO105" s="2">
        <v>0</v>
      </c>
      <c r="AP105" s="2">
        <v>8650000</v>
      </c>
      <c r="AQ105" s="2">
        <v>8650000</v>
      </c>
      <c r="AR105" s="2">
        <v>0</v>
      </c>
      <c r="AS105" s="2">
        <v>0</v>
      </c>
      <c r="AT105" s="2">
        <v>0</v>
      </c>
      <c r="AU105" s="2">
        <v>8650000</v>
      </c>
      <c r="AV105" s="2">
        <v>0</v>
      </c>
      <c r="AW105" s="4"/>
      <c r="AX105" t="s">
        <v>75</v>
      </c>
      <c r="AZ105" t="s">
        <v>588</v>
      </c>
      <c r="BA105" t="s">
        <v>67</v>
      </c>
      <c r="BB105" t="s">
        <v>589</v>
      </c>
      <c r="BC105" t="s">
        <v>590</v>
      </c>
      <c r="BD105" t="s">
        <v>79</v>
      </c>
      <c r="BE105" t="s">
        <v>117</v>
      </c>
      <c r="BF105" s="5">
        <v>46569</v>
      </c>
      <c r="BH105">
        <v>2</v>
      </c>
      <c r="BI105" s="6">
        <v>2590000</v>
      </c>
      <c r="BJ105" s="6">
        <v>0</v>
      </c>
      <c r="BK105" s="6">
        <v>490000</v>
      </c>
      <c r="BL105" s="6">
        <v>2100000</v>
      </c>
      <c r="BM105" s="2">
        <v>4200000</v>
      </c>
      <c r="BN105">
        <f>InvoiceTable[[#This Row],[Giảm giá]]*InvoiceTable[[#This Row],[Số lượng]]</f>
        <v>980000</v>
      </c>
    </row>
    <row r="106" spans="1:66" x14ac:dyDescent="0.25">
      <c r="A106" t="s">
        <v>65</v>
      </c>
      <c r="B106" t="s">
        <v>591</v>
      </c>
      <c r="F106" s="2"/>
      <c r="G106" s="3">
        <v>46015.681423923612</v>
      </c>
      <c r="H106" s="3">
        <v>46015.6814241088</v>
      </c>
      <c r="I106" s="4" t="s">
        <v>67</v>
      </c>
      <c r="J106" t="s">
        <v>67</v>
      </c>
      <c r="K106" t="s">
        <v>67</v>
      </c>
      <c r="L106" t="s">
        <v>592</v>
      </c>
      <c r="M106" t="s">
        <v>593</v>
      </c>
      <c r="N106" t="s">
        <v>67</v>
      </c>
      <c r="O106" t="s">
        <v>594</v>
      </c>
      <c r="P106" t="s">
        <v>595</v>
      </c>
      <c r="Q106" t="s">
        <v>67</v>
      </c>
      <c r="R106" t="s">
        <v>67</v>
      </c>
      <c r="S106" s="5"/>
      <c r="T106" t="s">
        <v>72</v>
      </c>
      <c r="U106" t="s">
        <v>102</v>
      </c>
      <c r="V106" t="s">
        <v>74</v>
      </c>
      <c r="W106" t="s">
        <v>87</v>
      </c>
      <c r="AE106" s="2"/>
      <c r="AF106" s="2"/>
      <c r="AG106" s="2"/>
      <c r="AH106" s="2"/>
      <c r="AL106" s="2">
        <v>650000</v>
      </c>
      <c r="AM106" s="2">
        <v>0</v>
      </c>
      <c r="AN106" s="2"/>
      <c r="AO106" s="2">
        <v>0</v>
      </c>
      <c r="AP106" s="2">
        <v>650000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4"/>
      <c r="AX106" t="s">
        <v>75</v>
      </c>
      <c r="AZ106" t="s">
        <v>596</v>
      </c>
      <c r="BA106" t="s">
        <v>67</v>
      </c>
      <c r="BB106" t="s">
        <v>597</v>
      </c>
      <c r="BC106" t="s">
        <v>347</v>
      </c>
      <c r="BD106" t="s">
        <v>79</v>
      </c>
      <c r="BE106" t="s">
        <v>598</v>
      </c>
      <c r="BF106" s="5">
        <v>47635</v>
      </c>
      <c r="BG106" t="s">
        <v>67</v>
      </c>
      <c r="BH106">
        <v>1</v>
      </c>
      <c r="BI106" s="6">
        <v>1000000</v>
      </c>
      <c r="BJ106" s="6">
        <v>35</v>
      </c>
      <c r="BK106" s="6">
        <v>350000</v>
      </c>
      <c r="BL106" s="6">
        <v>650000</v>
      </c>
      <c r="BM106" s="2">
        <v>650000</v>
      </c>
      <c r="BN106">
        <f>InvoiceTable[[#This Row],[Giảm giá]]*InvoiceTable[[#This Row],[Số lượng]]</f>
        <v>350000</v>
      </c>
    </row>
    <row r="107" spans="1:66" x14ac:dyDescent="0.25">
      <c r="A107" t="s">
        <v>65</v>
      </c>
      <c r="B107" t="s">
        <v>599</v>
      </c>
      <c r="F107" s="2"/>
      <c r="G107" s="3">
        <v>46015.680902627311</v>
      </c>
      <c r="H107" s="3">
        <v>46015.680879629632</v>
      </c>
      <c r="I107" s="4" t="s">
        <v>96</v>
      </c>
      <c r="J107" t="s">
        <v>600</v>
      </c>
      <c r="K107" t="s">
        <v>67</v>
      </c>
      <c r="L107" t="s">
        <v>592</v>
      </c>
      <c r="M107" t="s">
        <v>593</v>
      </c>
      <c r="N107" t="s">
        <v>67</v>
      </c>
      <c r="O107" t="s">
        <v>594</v>
      </c>
      <c r="P107" t="s">
        <v>595</v>
      </c>
      <c r="Q107" t="s">
        <v>67</v>
      </c>
      <c r="R107" t="s">
        <v>67</v>
      </c>
      <c r="S107" s="5"/>
      <c r="T107" t="s">
        <v>72</v>
      </c>
      <c r="U107" t="s">
        <v>102</v>
      </c>
      <c r="V107" t="s">
        <v>74</v>
      </c>
      <c r="W107" t="s">
        <v>87</v>
      </c>
      <c r="AE107" s="2"/>
      <c r="AF107" s="2"/>
      <c r="AG107" s="2"/>
      <c r="AH107" s="2"/>
      <c r="AL107" s="2">
        <v>3272500</v>
      </c>
      <c r="AM107" s="2">
        <v>0</v>
      </c>
      <c r="AN107" s="2"/>
      <c r="AO107" s="2">
        <v>0</v>
      </c>
      <c r="AP107" s="2">
        <v>3272500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4"/>
      <c r="AX107" t="s">
        <v>75</v>
      </c>
      <c r="AZ107" t="s">
        <v>601</v>
      </c>
      <c r="BA107" t="s">
        <v>67</v>
      </c>
      <c r="BB107" t="s">
        <v>602</v>
      </c>
      <c r="BC107" t="s">
        <v>301</v>
      </c>
      <c r="BD107" t="s">
        <v>79</v>
      </c>
      <c r="BE107" t="s">
        <v>603</v>
      </c>
      <c r="BF107" s="5">
        <v>46802</v>
      </c>
      <c r="BH107">
        <v>1</v>
      </c>
      <c r="BI107" s="6">
        <v>2650000</v>
      </c>
      <c r="BJ107" s="6">
        <v>45</v>
      </c>
      <c r="BK107" s="6">
        <v>1192500</v>
      </c>
      <c r="BL107" s="6">
        <v>1457500</v>
      </c>
      <c r="BM107" s="2">
        <v>1457500</v>
      </c>
      <c r="BN107">
        <f>InvoiceTable[[#This Row],[Giảm giá]]*InvoiceTable[[#This Row],[Số lượng]]</f>
        <v>1192500</v>
      </c>
    </row>
    <row r="108" spans="1:66" x14ac:dyDescent="0.25">
      <c r="A108" t="s">
        <v>65</v>
      </c>
      <c r="B108" t="s">
        <v>599</v>
      </c>
      <c r="F108" s="2"/>
      <c r="G108" s="3">
        <v>46015.680902627311</v>
      </c>
      <c r="H108" s="3">
        <v>46015.680879629632</v>
      </c>
      <c r="I108" s="4" t="s">
        <v>96</v>
      </c>
      <c r="J108" t="s">
        <v>600</v>
      </c>
      <c r="K108" t="s">
        <v>67</v>
      </c>
      <c r="L108" t="s">
        <v>592</v>
      </c>
      <c r="M108" t="s">
        <v>593</v>
      </c>
      <c r="N108" t="s">
        <v>67</v>
      </c>
      <c r="O108" t="s">
        <v>594</v>
      </c>
      <c r="P108" t="s">
        <v>595</v>
      </c>
      <c r="Q108" t="s">
        <v>67</v>
      </c>
      <c r="R108" t="s">
        <v>67</v>
      </c>
      <c r="S108" s="5"/>
      <c r="T108" t="s">
        <v>72</v>
      </c>
      <c r="U108" t="s">
        <v>102</v>
      </c>
      <c r="V108" t="s">
        <v>74</v>
      </c>
      <c r="W108" t="s">
        <v>87</v>
      </c>
      <c r="AE108" s="2"/>
      <c r="AF108" s="2"/>
      <c r="AG108" s="2"/>
      <c r="AH108" s="2"/>
      <c r="AL108" s="2">
        <v>3272500</v>
      </c>
      <c r="AM108" s="2">
        <v>0</v>
      </c>
      <c r="AN108" s="2"/>
      <c r="AO108" s="2">
        <v>0</v>
      </c>
      <c r="AP108" s="2">
        <v>3272500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4"/>
      <c r="AX108" t="s">
        <v>75</v>
      </c>
      <c r="AZ108" t="s">
        <v>604</v>
      </c>
      <c r="BA108" t="s">
        <v>67</v>
      </c>
      <c r="BB108" t="s">
        <v>605</v>
      </c>
      <c r="BC108" t="s">
        <v>606</v>
      </c>
      <c r="BD108" t="s">
        <v>79</v>
      </c>
      <c r="BE108" t="s">
        <v>168</v>
      </c>
      <c r="BF108" s="5">
        <v>46388</v>
      </c>
      <c r="BH108">
        <v>3</v>
      </c>
      <c r="BI108" s="6">
        <v>1100000</v>
      </c>
      <c r="BJ108" s="6">
        <v>45</v>
      </c>
      <c r="BK108" s="6">
        <v>495000</v>
      </c>
      <c r="BL108" s="6">
        <v>605000</v>
      </c>
      <c r="BM108" s="2">
        <v>1815000</v>
      </c>
      <c r="BN108">
        <f>InvoiceTable[[#This Row],[Giảm giá]]*InvoiceTable[[#This Row],[Số lượng]]</f>
        <v>1485000</v>
      </c>
    </row>
    <row r="109" spans="1:66" x14ac:dyDescent="0.25">
      <c r="A109" t="s">
        <v>65</v>
      </c>
      <c r="B109" t="s">
        <v>607</v>
      </c>
      <c r="F109" s="2"/>
      <c r="G109" s="3">
        <v>46015.68046516204</v>
      </c>
      <c r="H109" s="3">
        <v>46015.680465277779</v>
      </c>
      <c r="I109" s="4" t="s">
        <v>67</v>
      </c>
      <c r="J109" t="s">
        <v>608</v>
      </c>
      <c r="K109" t="s">
        <v>67</v>
      </c>
      <c r="L109" t="s">
        <v>609</v>
      </c>
      <c r="M109" t="s">
        <v>610</v>
      </c>
      <c r="N109" t="s">
        <v>67</v>
      </c>
      <c r="O109" t="s">
        <v>611</v>
      </c>
      <c r="P109" t="s">
        <v>612</v>
      </c>
      <c r="S109" s="5"/>
      <c r="T109" t="s">
        <v>72</v>
      </c>
      <c r="U109" t="s">
        <v>73</v>
      </c>
      <c r="V109" t="s">
        <v>74</v>
      </c>
      <c r="W109" t="s">
        <v>87</v>
      </c>
      <c r="AE109" s="2"/>
      <c r="AF109" s="2"/>
      <c r="AG109" s="2"/>
      <c r="AH109" s="2"/>
      <c r="AK109" t="s">
        <v>613</v>
      </c>
      <c r="AL109" s="2">
        <v>2800000</v>
      </c>
      <c r="AM109" s="2">
        <v>0</v>
      </c>
      <c r="AN109" s="2"/>
      <c r="AO109" s="2">
        <v>0</v>
      </c>
      <c r="AP109" s="2">
        <v>2800000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4"/>
      <c r="AX109" t="s">
        <v>75</v>
      </c>
      <c r="AZ109" t="s">
        <v>543</v>
      </c>
      <c r="BA109" t="s">
        <v>67</v>
      </c>
      <c r="BB109" t="s">
        <v>544</v>
      </c>
      <c r="BC109" t="s">
        <v>437</v>
      </c>
      <c r="BD109" t="s">
        <v>79</v>
      </c>
      <c r="BE109" t="s">
        <v>545</v>
      </c>
      <c r="BF109" s="5">
        <v>47177</v>
      </c>
      <c r="BG109" t="s">
        <v>67</v>
      </c>
      <c r="BH109">
        <v>1</v>
      </c>
      <c r="BI109" s="6">
        <v>4500000</v>
      </c>
      <c r="BJ109" s="6">
        <v>0</v>
      </c>
      <c r="BK109" s="6">
        <v>1700000</v>
      </c>
      <c r="BL109" s="6">
        <v>2800000</v>
      </c>
      <c r="BM109" s="2">
        <v>2800000</v>
      </c>
      <c r="BN109">
        <f>InvoiceTable[[#This Row],[Giảm giá]]*InvoiceTable[[#This Row],[Số lượng]]</f>
        <v>1700000</v>
      </c>
    </row>
    <row r="110" spans="1:66" x14ac:dyDescent="0.25">
      <c r="A110" t="s">
        <v>65</v>
      </c>
      <c r="B110" t="s">
        <v>614</v>
      </c>
      <c r="F110" s="2"/>
      <c r="G110" s="3">
        <v>46015.678567974537</v>
      </c>
      <c r="H110" s="3">
        <v>46015.678544907409</v>
      </c>
      <c r="I110" s="4" t="s">
        <v>96</v>
      </c>
      <c r="J110" t="s">
        <v>67</v>
      </c>
      <c r="K110" t="s">
        <v>67</v>
      </c>
      <c r="L110" t="s">
        <v>615</v>
      </c>
      <c r="M110" t="s">
        <v>616</v>
      </c>
      <c r="N110" t="s">
        <v>617</v>
      </c>
      <c r="O110" t="s">
        <v>618</v>
      </c>
      <c r="P110" t="s">
        <v>619</v>
      </c>
      <c r="S110" s="5"/>
      <c r="T110" t="s">
        <v>72</v>
      </c>
      <c r="U110" t="s">
        <v>87</v>
      </c>
      <c r="V110" t="s">
        <v>74</v>
      </c>
      <c r="W110" t="s">
        <v>87</v>
      </c>
      <c r="AE110" s="2"/>
      <c r="AF110" s="2"/>
      <c r="AG110" s="2"/>
      <c r="AH110" s="2"/>
      <c r="AL110" s="2">
        <v>19200000</v>
      </c>
      <c r="AM110" s="2">
        <v>0</v>
      </c>
      <c r="AN110" s="2"/>
      <c r="AO110" s="2">
        <v>0</v>
      </c>
      <c r="AP110" s="2">
        <v>19200000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4"/>
      <c r="AX110" t="s">
        <v>75</v>
      </c>
      <c r="AZ110" t="s">
        <v>620</v>
      </c>
      <c r="BA110" t="s">
        <v>67</v>
      </c>
      <c r="BB110" t="s">
        <v>621</v>
      </c>
      <c r="BC110" t="s">
        <v>622</v>
      </c>
      <c r="BD110" t="s">
        <v>79</v>
      </c>
      <c r="BE110" t="s">
        <v>198</v>
      </c>
      <c r="BF110" s="5">
        <v>46753</v>
      </c>
      <c r="BG110" t="s">
        <v>67</v>
      </c>
      <c r="BH110">
        <v>3</v>
      </c>
      <c r="BI110" s="6">
        <v>1800000</v>
      </c>
      <c r="BJ110" s="6">
        <v>0</v>
      </c>
      <c r="BK110" s="6">
        <v>1800000</v>
      </c>
      <c r="BL110" s="6">
        <v>0</v>
      </c>
      <c r="BM110" s="2">
        <v>0</v>
      </c>
      <c r="BN110">
        <f>InvoiceTable[[#This Row],[Giảm giá]]*InvoiceTable[[#This Row],[Số lượng]]</f>
        <v>5400000</v>
      </c>
    </row>
    <row r="111" spans="1:66" x14ac:dyDescent="0.25">
      <c r="A111" t="s">
        <v>65</v>
      </c>
      <c r="B111" t="s">
        <v>614</v>
      </c>
      <c r="F111" s="2"/>
      <c r="G111" s="3">
        <v>46015.678567974537</v>
      </c>
      <c r="H111" s="3">
        <v>46015.678544907409</v>
      </c>
      <c r="I111" s="4" t="s">
        <v>96</v>
      </c>
      <c r="J111" t="s">
        <v>67</v>
      </c>
      <c r="K111" t="s">
        <v>67</v>
      </c>
      <c r="L111" t="s">
        <v>615</v>
      </c>
      <c r="M111" t="s">
        <v>616</v>
      </c>
      <c r="N111" t="s">
        <v>617</v>
      </c>
      <c r="O111" t="s">
        <v>618</v>
      </c>
      <c r="P111" t="s">
        <v>619</v>
      </c>
      <c r="S111" s="5"/>
      <c r="T111" t="s">
        <v>72</v>
      </c>
      <c r="U111" t="s">
        <v>87</v>
      </c>
      <c r="V111" t="s">
        <v>74</v>
      </c>
      <c r="W111" t="s">
        <v>87</v>
      </c>
      <c r="AE111" s="2"/>
      <c r="AF111" s="2"/>
      <c r="AG111" s="2"/>
      <c r="AH111" s="2"/>
      <c r="AL111" s="2">
        <v>19200000</v>
      </c>
      <c r="AM111" s="2">
        <v>0</v>
      </c>
      <c r="AN111" s="2"/>
      <c r="AO111" s="2">
        <v>0</v>
      </c>
      <c r="AP111" s="2">
        <v>19200000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4"/>
      <c r="AX111" t="s">
        <v>75</v>
      </c>
      <c r="AZ111" t="s">
        <v>623</v>
      </c>
      <c r="BA111" t="s">
        <v>67</v>
      </c>
      <c r="BB111" t="s">
        <v>624</v>
      </c>
      <c r="BC111" t="s">
        <v>622</v>
      </c>
      <c r="BD111" t="s">
        <v>79</v>
      </c>
      <c r="BE111" t="s">
        <v>117</v>
      </c>
      <c r="BF111" s="5">
        <v>46569</v>
      </c>
      <c r="BG111" t="s">
        <v>67</v>
      </c>
      <c r="BH111">
        <v>3</v>
      </c>
      <c r="BI111" s="6">
        <v>6850000</v>
      </c>
      <c r="BJ111" s="6">
        <v>0</v>
      </c>
      <c r="BK111" s="6">
        <v>2050000</v>
      </c>
      <c r="BL111" s="6">
        <v>4800000</v>
      </c>
      <c r="BM111" s="2">
        <v>14400000</v>
      </c>
      <c r="BN111">
        <f>InvoiceTable[[#This Row],[Giảm giá]]*InvoiceTable[[#This Row],[Số lượng]]</f>
        <v>6150000</v>
      </c>
    </row>
    <row r="112" spans="1:66" x14ac:dyDescent="0.25">
      <c r="A112" t="s">
        <v>65</v>
      </c>
      <c r="B112" t="s">
        <v>614</v>
      </c>
      <c r="F112" s="2"/>
      <c r="G112" s="3">
        <v>46015.678567974537</v>
      </c>
      <c r="H112" s="3">
        <v>46015.678544907409</v>
      </c>
      <c r="I112" s="4" t="s">
        <v>96</v>
      </c>
      <c r="J112" t="s">
        <v>67</v>
      </c>
      <c r="K112" t="s">
        <v>67</v>
      </c>
      <c r="L112" t="s">
        <v>615</v>
      </c>
      <c r="M112" t="s">
        <v>616</v>
      </c>
      <c r="N112" t="s">
        <v>617</v>
      </c>
      <c r="O112" t="s">
        <v>618</v>
      </c>
      <c r="P112" t="s">
        <v>619</v>
      </c>
      <c r="S112" s="5"/>
      <c r="T112" t="s">
        <v>72</v>
      </c>
      <c r="U112" t="s">
        <v>87</v>
      </c>
      <c r="V112" t="s">
        <v>74</v>
      </c>
      <c r="W112" t="s">
        <v>87</v>
      </c>
      <c r="AE112" s="2"/>
      <c r="AF112" s="2"/>
      <c r="AG112" s="2"/>
      <c r="AH112" s="2"/>
      <c r="AL112" s="2">
        <v>19200000</v>
      </c>
      <c r="AM112" s="2">
        <v>0</v>
      </c>
      <c r="AN112" s="2"/>
      <c r="AO112" s="2">
        <v>0</v>
      </c>
      <c r="AP112" s="2">
        <v>19200000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4"/>
      <c r="AX112" t="s">
        <v>75</v>
      </c>
      <c r="AZ112" t="s">
        <v>625</v>
      </c>
      <c r="BA112" t="s">
        <v>67</v>
      </c>
      <c r="BB112" t="s">
        <v>626</v>
      </c>
      <c r="BC112" t="s">
        <v>627</v>
      </c>
      <c r="BD112" t="s">
        <v>79</v>
      </c>
      <c r="BE112" t="s">
        <v>628</v>
      </c>
      <c r="BF112" s="5">
        <v>47065</v>
      </c>
      <c r="BG112" t="s">
        <v>67</v>
      </c>
      <c r="BH112">
        <v>2</v>
      </c>
      <c r="BI112" s="6">
        <v>3150000</v>
      </c>
      <c r="BJ112" s="6">
        <v>0</v>
      </c>
      <c r="BK112" s="6">
        <v>750000</v>
      </c>
      <c r="BL112" s="6">
        <v>2400000</v>
      </c>
      <c r="BM112" s="2">
        <v>4800000</v>
      </c>
      <c r="BN112">
        <f>InvoiceTable[[#This Row],[Giảm giá]]*InvoiceTable[[#This Row],[Số lượng]]</f>
        <v>1500000</v>
      </c>
    </row>
    <row r="113" spans="1:66" x14ac:dyDescent="0.25">
      <c r="A113" t="s">
        <v>65</v>
      </c>
      <c r="B113" t="s">
        <v>629</v>
      </c>
      <c r="F113" s="2"/>
      <c r="G113" s="3">
        <v>46015.673791203706</v>
      </c>
      <c r="H113" s="3">
        <v>46015.673791319445</v>
      </c>
      <c r="I113" s="4" t="s">
        <v>67</v>
      </c>
      <c r="J113" t="s">
        <v>67</v>
      </c>
      <c r="K113" t="s">
        <v>67</v>
      </c>
      <c r="L113" t="s">
        <v>630</v>
      </c>
      <c r="M113" t="s">
        <v>631</v>
      </c>
      <c r="N113" t="s">
        <v>632</v>
      </c>
      <c r="O113" t="s">
        <v>633</v>
      </c>
      <c r="P113" t="s">
        <v>634</v>
      </c>
      <c r="S113" s="5"/>
      <c r="T113" t="s">
        <v>72</v>
      </c>
      <c r="U113" t="s">
        <v>87</v>
      </c>
      <c r="V113" t="s">
        <v>74</v>
      </c>
      <c r="W113" t="s">
        <v>87</v>
      </c>
      <c r="AE113" s="2"/>
      <c r="AF113" s="2"/>
      <c r="AG113" s="2"/>
      <c r="AH113" s="2"/>
      <c r="AL113" s="2">
        <v>886600</v>
      </c>
      <c r="AM113" s="2">
        <v>0</v>
      </c>
      <c r="AN113" s="2"/>
      <c r="AO113" s="2">
        <v>0</v>
      </c>
      <c r="AP113" s="2">
        <v>886600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4"/>
      <c r="AX113" t="s">
        <v>75</v>
      </c>
      <c r="AZ113" t="s">
        <v>635</v>
      </c>
      <c r="BA113" t="s">
        <v>67</v>
      </c>
      <c r="BB113" t="s">
        <v>636</v>
      </c>
      <c r="BC113" t="s">
        <v>204</v>
      </c>
      <c r="BD113" t="s">
        <v>79</v>
      </c>
      <c r="BE113" t="s">
        <v>168</v>
      </c>
      <c r="BF113" s="5">
        <v>46388</v>
      </c>
      <c r="BG113" t="s">
        <v>67</v>
      </c>
      <c r="BH113">
        <v>1</v>
      </c>
      <c r="BI113" s="6">
        <v>680000</v>
      </c>
      <c r="BJ113" s="6">
        <v>38</v>
      </c>
      <c r="BK113" s="6">
        <v>258400</v>
      </c>
      <c r="BL113" s="6">
        <v>421600</v>
      </c>
      <c r="BM113" s="2">
        <v>421600</v>
      </c>
      <c r="BN113">
        <f>InvoiceTable[[#This Row],[Giảm giá]]*InvoiceTable[[#This Row],[Số lượng]]</f>
        <v>258400</v>
      </c>
    </row>
    <row r="114" spans="1:66" x14ac:dyDescent="0.25">
      <c r="A114" t="s">
        <v>65</v>
      </c>
      <c r="B114" t="s">
        <v>629</v>
      </c>
      <c r="F114" s="2"/>
      <c r="G114" s="3">
        <v>46015.673791203706</v>
      </c>
      <c r="H114" s="3">
        <v>46015.673791319445</v>
      </c>
      <c r="I114" s="4" t="s">
        <v>67</v>
      </c>
      <c r="J114" t="s">
        <v>67</v>
      </c>
      <c r="K114" t="s">
        <v>67</v>
      </c>
      <c r="L114" t="s">
        <v>630</v>
      </c>
      <c r="M114" t="s">
        <v>631</v>
      </c>
      <c r="N114" t="s">
        <v>632</v>
      </c>
      <c r="O114" t="s">
        <v>633</v>
      </c>
      <c r="P114" t="s">
        <v>634</v>
      </c>
      <c r="S114" s="5"/>
      <c r="T114" t="s">
        <v>72</v>
      </c>
      <c r="U114" t="s">
        <v>87</v>
      </c>
      <c r="V114" t="s">
        <v>74</v>
      </c>
      <c r="W114" t="s">
        <v>87</v>
      </c>
      <c r="AE114" s="2"/>
      <c r="AF114" s="2"/>
      <c r="AG114" s="2"/>
      <c r="AH114" s="2"/>
      <c r="AL114" s="2">
        <v>886600</v>
      </c>
      <c r="AM114" s="2">
        <v>0</v>
      </c>
      <c r="AN114" s="2"/>
      <c r="AO114" s="2">
        <v>0</v>
      </c>
      <c r="AP114" s="2">
        <v>886600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4"/>
      <c r="AX114" t="s">
        <v>75</v>
      </c>
      <c r="AZ114" t="s">
        <v>637</v>
      </c>
      <c r="BA114" t="s">
        <v>67</v>
      </c>
      <c r="BB114" t="s">
        <v>638</v>
      </c>
      <c r="BC114" t="s">
        <v>204</v>
      </c>
      <c r="BD114" t="s">
        <v>79</v>
      </c>
      <c r="BE114" t="s">
        <v>168</v>
      </c>
      <c r="BF114" s="5">
        <v>46388</v>
      </c>
      <c r="BG114" t="s">
        <v>67</v>
      </c>
      <c r="BH114">
        <v>1</v>
      </c>
      <c r="BI114" s="6">
        <v>750000</v>
      </c>
      <c r="BJ114" s="6">
        <v>38</v>
      </c>
      <c r="BK114" s="6">
        <v>285000</v>
      </c>
      <c r="BL114" s="6">
        <v>465000</v>
      </c>
      <c r="BM114" s="2">
        <v>465000</v>
      </c>
      <c r="BN114">
        <f>InvoiceTable[[#This Row],[Giảm giá]]*InvoiceTable[[#This Row],[Số lượng]]</f>
        <v>285000</v>
      </c>
    </row>
    <row r="115" spans="1:66" x14ac:dyDescent="0.25">
      <c r="A115" t="s">
        <v>65</v>
      </c>
      <c r="B115" t="s">
        <v>639</v>
      </c>
      <c r="F115" s="2"/>
      <c r="G115" s="3">
        <v>46015.646180011572</v>
      </c>
      <c r="H115" s="3">
        <v>46015.646180324075</v>
      </c>
      <c r="I115" s="4" t="s">
        <v>67</v>
      </c>
      <c r="J115" t="s">
        <v>640</v>
      </c>
      <c r="K115" t="s">
        <v>67</v>
      </c>
      <c r="M115" t="s">
        <v>641</v>
      </c>
      <c r="N115" t="s">
        <v>67</v>
      </c>
      <c r="S115" s="5"/>
      <c r="T115" t="s">
        <v>72</v>
      </c>
      <c r="U115" t="s">
        <v>102</v>
      </c>
      <c r="V115" t="s">
        <v>74</v>
      </c>
      <c r="W115" t="s">
        <v>87</v>
      </c>
      <c r="AE115" s="2"/>
      <c r="AF115" s="2"/>
      <c r="AG115" s="2"/>
      <c r="AH115" s="2"/>
      <c r="AK115" t="s">
        <v>642</v>
      </c>
      <c r="AL115" s="2">
        <v>615000</v>
      </c>
      <c r="AM115" s="2">
        <v>0</v>
      </c>
      <c r="AN115" s="2"/>
      <c r="AO115" s="2">
        <v>0</v>
      </c>
      <c r="AP115" s="2">
        <v>615000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4"/>
      <c r="AX115" t="s">
        <v>75</v>
      </c>
      <c r="AZ115" t="s">
        <v>88</v>
      </c>
      <c r="BB115" t="s">
        <v>89</v>
      </c>
      <c r="BC115" t="s">
        <v>90</v>
      </c>
      <c r="BF115" s="5"/>
      <c r="BG115" t="s">
        <v>67</v>
      </c>
      <c r="BH115">
        <v>1</v>
      </c>
      <c r="BI115" s="6">
        <v>30000</v>
      </c>
      <c r="BJ115" s="6">
        <v>0</v>
      </c>
      <c r="BK115" s="6">
        <v>0</v>
      </c>
      <c r="BL115" s="6">
        <v>30000</v>
      </c>
      <c r="BM115" s="2">
        <v>30000</v>
      </c>
      <c r="BN115">
        <f>InvoiceTable[[#This Row],[Giảm giá]]*InvoiceTable[[#This Row],[Số lượng]]</f>
        <v>0</v>
      </c>
    </row>
    <row r="116" spans="1:66" x14ac:dyDescent="0.25">
      <c r="A116" t="s">
        <v>65</v>
      </c>
      <c r="B116" t="s">
        <v>639</v>
      </c>
      <c r="F116" s="2"/>
      <c r="G116" s="3">
        <v>46015.646180011572</v>
      </c>
      <c r="H116" s="3">
        <v>46015.646180324075</v>
      </c>
      <c r="I116" s="4" t="s">
        <v>67</v>
      </c>
      <c r="J116" t="s">
        <v>640</v>
      </c>
      <c r="K116" t="s">
        <v>67</v>
      </c>
      <c r="M116" t="s">
        <v>641</v>
      </c>
      <c r="N116" t="s">
        <v>67</v>
      </c>
      <c r="S116" s="5"/>
      <c r="T116" t="s">
        <v>72</v>
      </c>
      <c r="U116" t="s">
        <v>102</v>
      </c>
      <c r="V116" t="s">
        <v>74</v>
      </c>
      <c r="W116" t="s">
        <v>87</v>
      </c>
      <c r="AE116" s="2"/>
      <c r="AF116" s="2"/>
      <c r="AG116" s="2"/>
      <c r="AH116" s="2"/>
      <c r="AK116" t="s">
        <v>642</v>
      </c>
      <c r="AL116" s="2">
        <v>615000</v>
      </c>
      <c r="AM116" s="2">
        <v>0</v>
      </c>
      <c r="AN116" s="2"/>
      <c r="AO116" s="2">
        <v>0</v>
      </c>
      <c r="AP116" s="2">
        <v>615000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4"/>
      <c r="AX116" t="s">
        <v>75</v>
      </c>
      <c r="AZ116" t="s">
        <v>643</v>
      </c>
      <c r="BA116" t="s">
        <v>67</v>
      </c>
      <c r="BB116" t="s">
        <v>644</v>
      </c>
      <c r="BC116" t="s">
        <v>367</v>
      </c>
      <c r="BD116" t="s">
        <v>79</v>
      </c>
      <c r="BE116" t="s">
        <v>645</v>
      </c>
      <c r="BF116" s="5">
        <v>46568</v>
      </c>
      <c r="BG116" t="s">
        <v>67</v>
      </c>
      <c r="BH116">
        <v>1</v>
      </c>
      <c r="BI116" s="6">
        <v>780000</v>
      </c>
      <c r="BJ116" s="6">
        <v>25</v>
      </c>
      <c r="BK116" s="6">
        <v>195000</v>
      </c>
      <c r="BL116" s="6">
        <v>585000</v>
      </c>
      <c r="BM116" s="2">
        <v>585000</v>
      </c>
      <c r="BN116">
        <f>InvoiceTable[[#This Row],[Giảm giá]]*InvoiceTable[[#This Row],[Số lượng]]</f>
        <v>195000</v>
      </c>
    </row>
    <row r="117" spans="1:66" x14ac:dyDescent="0.25">
      <c r="A117" t="s">
        <v>65</v>
      </c>
      <c r="B117" t="s">
        <v>646</v>
      </c>
      <c r="F117" s="2"/>
      <c r="G117" s="3">
        <v>46015.645224155094</v>
      </c>
      <c r="H117" s="3">
        <v>46015.645224224536</v>
      </c>
      <c r="I117" s="4" t="s">
        <v>67</v>
      </c>
      <c r="J117" t="s">
        <v>67</v>
      </c>
      <c r="K117" t="s">
        <v>67</v>
      </c>
      <c r="L117" t="s">
        <v>647</v>
      </c>
      <c r="M117" t="s">
        <v>648</v>
      </c>
      <c r="N117" t="s">
        <v>67</v>
      </c>
      <c r="O117" t="s">
        <v>649</v>
      </c>
      <c r="P117" t="s">
        <v>650</v>
      </c>
      <c r="S117" s="5"/>
      <c r="T117" t="s">
        <v>72</v>
      </c>
      <c r="U117" t="s">
        <v>87</v>
      </c>
      <c r="V117" t="s">
        <v>74</v>
      </c>
      <c r="W117" t="s">
        <v>87</v>
      </c>
      <c r="AE117" s="2"/>
      <c r="AF117" s="2"/>
      <c r="AG117" s="2"/>
      <c r="AH117" s="2"/>
      <c r="AL117" s="2">
        <v>1900000</v>
      </c>
      <c r="AM117" s="2">
        <v>0</v>
      </c>
      <c r="AN117" s="2"/>
      <c r="AO117" s="2">
        <v>0</v>
      </c>
      <c r="AP117" s="2">
        <v>1900000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4"/>
      <c r="AX117" t="s">
        <v>75</v>
      </c>
      <c r="AZ117" t="s">
        <v>651</v>
      </c>
      <c r="BA117" t="s">
        <v>67</v>
      </c>
      <c r="BB117" t="s">
        <v>652</v>
      </c>
      <c r="BC117" t="s">
        <v>78</v>
      </c>
      <c r="BD117" t="s">
        <v>79</v>
      </c>
      <c r="BE117" t="s">
        <v>131</v>
      </c>
      <c r="BF117" s="5">
        <v>46874</v>
      </c>
      <c r="BH117">
        <v>1</v>
      </c>
      <c r="BI117" s="6">
        <v>3800000</v>
      </c>
      <c r="BJ117" s="6">
        <v>50</v>
      </c>
      <c r="BK117" s="6">
        <v>1900000</v>
      </c>
      <c r="BL117" s="6">
        <v>1900000</v>
      </c>
      <c r="BM117" s="2">
        <v>1900000</v>
      </c>
      <c r="BN117">
        <f>InvoiceTable[[#This Row],[Giảm giá]]*InvoiceTable[[#This Row],[Số lượng]]</f>
        <v>1900000</v>
      </c>
    </row>
    <row r="118" spans="1:66" x14ac:dyDescent="0.25">
      <c r="A118" t="s">
        <v>65</v>
      </c>
      <c r="B118" t="s">
        <v>653</v>
      </c>
      <c r="F118" s="2"/>
      <c r="G118" s="3">
        <v>46015.64438283565</v>
      </c>
      <c r="H118" s="3">
        <v>46015.644382905091</v>
      </c>
      <c r="I118" s="4" t="s">
        <v>67</v>
      </c>
      <c r="J118" t="s">
        <v>67</v>
      </c>
      <c r="K118" t="s">
        <v>67</v>
      </c>
      <c r="L118" t="s">
        <v>654</v>
      </c>
      <c r="M118" t="s">
        <v>655</v>
      </c>
      <c r="N118" t="s">
        <v>67</v>
      </c>
      <c r="O118" t="s">
        <v>656</v>
      </c>
      <c r="P118" t="s">
        <v>657</v>
      </c>
      <c r="Q118" t="s">
        <v>658</v>
      </c>
      <c r="R118" t="s">
        <v>67</v>
      </c>
      <c r="S118" s="5"/>
      <c r="T118" t="s">
        <v>72</v>
      </c>
      <c r="U118" t="s">
        <v>87</v>
      </c>
      <c r="V118" t="s">
        <v>74</v>
      </c>
      <c r="W118" t="s">
        <v>87</v>
      </c>
      <c r="AE118" s="2"/>
      <c r="AF118" s="2"/>
      <c r="AG118" s="2"/>
      <c r="AH118" s="2"/>
      <c r="AL118" s="2">
        <v>1250000</v>
      </c>
      <c r="AM118" s="2">
        <v>0</v>
      </c>
      <c r="AN118" s="2"/>
      <c r="AO118" s="2">
        <v>0</v>
      </c>
      <c r="AP118" s="2">
        <v>1250000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4"/>
      <c r="AX118" t="s">
        <v>75</v>
      </c>
      <c r="AZ118" t="s">
        <v>659</v>
      </c>
      <c r="BA118" t="s">
        <v>67</v>
      </c>
      <c r="BB118" t="s">
        <v>660</v>
      </c>
      <c r="BC118" t="s">
        <v>223</v>
      </c>
      <c r="BD118" t="s">
        <v>79</v>
      </c>
      <c r="BE118" t="s">
        <v>661</v>
      </c>
      <c r="BF118" s="5">
        <v>47025</v>
      </c>
      <c r="BH118">
        <v>2</v>
      </c>
      <c r="BI118" s="6">
        <v>1250000</v>
      </c>
      <c r="BJ118" s="6">
        <v>50</v>
      </c>
      <c r="BK118" s="6">
        <v>625000</v>
      </c>
      <c r="BL118" s="6">
        <v>625000</v>
      </c>
      <c r="BM118" s="2">
        <v>1250000</v>
      </c>
      <c r="BN118">
        <f>InvoiceTable[[#This Row],[Giảm giá]]*InvoiceTable[[#This Row],[Số lượng]]</f>
        <v>1250000</v>
      </c>
    </row>
    <row r="119" spans="1:66" x14ac:dyDescent="0.25">
      <c r="A119" t="s">
        <v>65</v>
      </c>
      <c r="B119" t="s">
        <v>662</v>
      </c>
      <c r="F119" s="2"/>
      <c r="G119" s="3">
        <v>46015.643775891207</v>
      </c>
      <c r="H119" s="3">
        <v>46015.643752812502</v>
      </c>
      <c r="I119" s="4" t="s">
        <v>96</v>
      </c>
      <c r="J119" t="s">
        <v>67</v>
      </c>
      <c r="K119" t="s">
        <v>67</v>
      </c>
      <c r="L119" t="s">
        <v>654</v>
      </c>
      <c r="M119" t="s">
        <v>655</v>
      </c>
      <c r="N119" t="s">
        <v>67</v>
      </c>
      <c r="O119" t="s">
        <v>656</v>
      </c>
      <c r="P119" t="s">
        <v>657</v>
      </c>
      <c r="Q119" t="s">
        <v>658</v>
      </c>
      <c r="R119" t="s">
        <v>67</v>
      </c>
      <c r="S119" s="5"/>
      <c r="T119" t="s">
        <v>72</v>
      </c>
      <c r="U119" t="s">
        <v>87</v>
      </c>
      <c r="V119" t="s">
        <v>74</v>
      </c>
      <c r="W119" t="s">
        <v>87</v>
      </c>
      <c r="AE119" s="2"/>
      <c r="AF119" s="2"/>
      <c r="AG119" s="2"/>
      <c r="AH119" s="2"/>
      <c r="AL119" s="2">
        <v>4110000</v>
      </c>
      <c r="AM119" s="2">
        <v>0</v>
      </c>
      <c r="AN119" s="2"/>
      <c r="AO119" s="2">
        <v>0</v>
      </c>
      <c r="AP119" s="2">
        <v>4110000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4"/>
      <c r="AX119" t="s">
        <v>75</v>
      </c>
      <c r="AZ119" t="s">
        <v>663</v>
      </c>
      <c r="BA119" t="s">
        <v>67</v>
      </c>
      <c r="BB119" t="s">
        <v>664</v>
      </c>
      <c r="BC119" t="s">
        <v>665</v>
      </c>
      <c r="BD119" t="s">
        <v>79</v>
      </c>
      <c r="BE119" t="s">
        <v>195</v>
      </c>
      <c r="BF119" s="5">
        <v>46419</v>
      </c>
      <c r="BH119">
        <v>30</v>
      </c>
      <c r="BI119" s="6">
        <v>380000</v>
      </c>
      <c r="BJ119" s="6">
        <v>0</v>
      </c>
      <c r="BK119" s="6">
        <v>243000</v>
      </c>
      <c r="BL119" s="6">
        <v>137000</v>
      </c>
      <c r="BM119" s="2">
        <v>4110000</v>
      </c>
      <c r="BN119">
        <f>InvoiceTable[[#This Row],[Giảm giá]]*InvoiceTable[[#This Row],[Số lượng]]</f>
        <v>7290000</v>
      </c>
    </row>
    <row r="120" spans="1:66" x14ac:dyDescent="0.25">
      <c r="A120" t="s">
        <v>65</v>
      </c>
      <c r="B120" t="s">
        <v>666</v>
      </c>
      <c r="F120" s="2"/>
      <c r="G120" s="3">
        <v>46015.643534027775</v>
      </c>
      <c r="H120" s="3">
        <v>46015.643511076392</v>
      </c>
      <c r="I120" s="4" t="s">
        <v>96</v>
      </c>
      <c r="J120" t="s">
        <v>67</v>
      </c>
      <c r="K120" t="s">
        <v>67</v>
      </c>
      <c r="L120" t="s">
        <v>654</v>
      </c>
      <c r="M120" t="s">
        <v>655</v>
      </c>
      <c r="N120" t="s">
        <v>67</v>
      </c>
      <c r="O120" t="s">
        <v>656</v>
      </c>
      <c r="P120" t="s">
        <v>657</v>
      </c>
      <c r="Q120" t="s">
        <v>658</v>
      </c>
      <c r="R120" t="s">
        <v>67</v>
      </c>
      <c r="S120" s="5"/>
      <c r="T120" t="s">
        <v>72</v>
      </c>
      <c r="U120" t="s">
        <v>87</v>
      </c>
      <c r="V120" t="s">
        <v>74</v>
      </c>
      <c r="W120" t="s">
        <v>87</v>
      </c>
      <c r="AE120" s="2"/>
      <c r="AF120" s="2"/>
      <c r="AG120" s="2"/>
      <c r="AH120" s="2"/>
      <c r="AL120" s="2">
        <v>2887200</v>
      </c>
      <c r="AM120" s="2">
        <v>0</v>
      </c>
      <c r="AN120" s="2"/>
      <c r="AO120" s="2">
        <v>0</v>
      </c>
      <c r="AP120" s="2">
        <v>2887200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4"/>
      <c r="AX120" t="s">
        <v>75</v>
      </c>
      <c r="AZ120" t="s">
        <v>667</v>
      </c>
      <c r="BA120" t="s">
        <v>67</v>
      </c>
      <c r="BB120" t="s">
        <v>668</v>
      </c>
      <c r="BC120" t="s">
        <v>285</v>
      </c>
      <c r="BD120" t="s">
        <v>79</v>
      </c>
      <c r="BE120" t="s">
        <v>117</v>
      </c>
      <c r="BF120" s="5">
        <v>46569</v>
      </c>
      <c r="BH120">
        <v>2</v>
      </c>
      <c r="BI120" s="6">
        <v>1180000</v>
      </c>
      <c r="BJ120" s="6">
        <v>48</v>
      </c>
      <c r="BK120" s="6">
        <v>566400</v>
      </c>
      <c r="BL120" s="6">
        <v>613600</v>
      </c>
      <c r="BM120" s="2">
        <v>1227200</v>
      </c>
      <c r="BN120">
        <f>InvoiceTable[[#This Row],[Giảm giá]]*InvoiceTable[[#This Row],[Số lượng]]</f>
        <v>1132800</v>
      </c>
    </row>
    <row r="121" spans="1:66" x14ac:dyDescent="0.25">
      <c r="A121" t="s">
        <v>65</v>
      </c>
      <c r="B121" t="s">
        <v>666</v>
      </c>
      <c r="F121" s="2"/>
      <c r="G121" s="3">
        <v>46015.643534027775</v>
      </c>
      <c r="H121" s="3">
        <v>46015.643511076392</v>
      </c>
      <c r="I121" s="4" t="s">
        <v>96</v>
      </c>
      <c r="J121" t="s">
        <v>67</v>
      </c>
      <c r="K121" t="s">
        <v>67</v>
      </c>
      <c r="L121" t="s">
        <v>654</v>
      </c>
      <c r="M121" t="s">
        <v>655</v>
      </c>
      <c r="N121" t="s">
        <v>67</v>
      </c>
      <c r="O121" t="s">
        <v>656</v>
      </c>
      <c r="P121" t="s">
        <v>657</v>
      </c>
      <c r="Q121" t="s">
        <v>658</v>
      </c>
      <c r="R121" t="s">
        <v>67</v>
      </c>
      <c r="S121" s="5"/>
      <c r="T121" t="s">
        <v>72</v>
      </c>
      <c r="U121" t="s">
        <v>87</v>
      </c>
      <c r="V121" t="s">
        <v>74</v>
      </c>
      <c r="W121" t="s">
        <v>87</v>
      </c>
      <c r="AE121" s="2"/>
      <c r="AF121" s="2"/>
      <c r="AG121" s="2"/>
      <c r="AH121" s="2"/>
      <c r="AL121" s="2">
        <v>2887200</v>
      </c>
      <c r="AM121" s="2">
        <v>0</v>
      </c>
      <c r="AN121" s="2"/>
      <c r="AO121" s="2">
        <v>0</v>
      </c>
      <c r="AP121" s="2">
        <v>2887200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4"/>
      <c r="AX121" t="s">
        <v>75</v>
      </c>
      <c r="AZ121" t="s">
        <v>291</v>
      </c>
      <c r="BA121" t="s">
        <v>67</v>
      </c>
      <c r="BB121" t="s">
        <v>292</v>
      </c>
      <c r="BC121" t="s">
        <v>126</v>
      </c>
      <c r="BD121" t="s">
        <v>79</v>
      </c>
      <c r="BE121" t="s">
        <v>293</v>
      </c>
      <c r="BF121" s="5">
        <v>46722</v>
      </c>
      <c r="BG121" t="s">
        <v>67</v>
      </c>
      <c r="BH121">
        <v>5</v>
      </c>
      <c r="BI121" s="6">
        <v>250000</v>
      </c>
      <c r="BJ121" s="6">
        <v>0</v>
      </c>
      <c r="BK121" s="6">
        <v>190000</v>
      </c>
      <c r="BL121" s="6">
        <v>60000</v>
      </c>
      <c r="BM121" s="2">
        <v>300000</v>
      </c>
      <c r="BN121">
        <f>InvoiceTable[[#This Row],[Giảm giá]]*InvoiceTable[[#This Row],[Số lượng]]</f>
        <v>950000</v>
      </c>
    </row>
    <row r="122" spans="1:66" x14ac:dyDescent="0.25">
      <c r="A122" t="s">
        <v>65</v>
      </c>
      <c r="B122" t="s">
        <v>666</v>
      </c>
      <c r="F122" s="2"/>
      <c r="G122" s="3">
        <v>46015.643534027775</v>
      </c>
      <c r="H122" s="3">
        <v>46015.643511076392</v>
      </c>
      <c r="I122" s="4" t="s">
        <v>96</v>
      </c>
      <c r="J122" t="s">
        <v>67</v>
      </c>
      <c r="K122" t="s">
        <v>67</v>
      </c>
      <c r="L122" t="s">
        <v>654</v>
      </c>
      <c r="M122" t="s">
        <v>655</v>
      </c>
      <c r="N122" t="s">
        <v>67</v>
      </c>
      <c r="O122" t="s">
        <v>656</v>
      </c>
      <c r="P122" t="s">
        <v>657</v>
      </c>
      <c r="Q122" t="s">
        <v>658</v>
      </c>
      <c r="R122" t="s">
        <v>67</v>
      </c>
      <c r="S122" s="5"/>
      <c r="T122" t="s">
        <v>72</v>
      </c>
      <c r="U122" t="s">
        <v>87</v>
      </c>
      <c r="V122" t="s">
        <v>74</v>
      </c>
      <c r="W122" t="s">
        <v>87</v>
      </c>
      <c r="AE122" s="2"/>
      <c r="AF122" s="2"/>
      <c r="AG122" s="2"/>
      <c r="AH122" s="2"/>
      <c r="AL122" s="2">
        <v>2887200</v>
      </c>
      <c r="AM122" s="2">
        <v>0</v>
      </c>
      <c r="AN122" s="2"/>
      <c r="AO122" s="2">
        <v>0</v>
      </c>
      <c r="AP122" s="2">
        <v>2887200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4"/>
      <c r="AX122" t="s">
        <v>75</v>
      </c>
      <c r="AZ122" t="s">
        <v>669</v>
      </c>
      <c r="BA122" t="s">
        <v>67</v>
      </c>
      <c r="BB122" t="s">
        <v>670</v>
      </c>
      <c r="BC122" t="s">
        <v>126</v>
      </c>
      <c r="BD122" t="s">
        <v>79</v>
      </c>
      <c r="BE122" t="s">
        <v>159</v>
      </c>
      <c r="BF122" s="5">
        <v>46478</v>
      </c>
      <c r="BH122">
        <v>5</v>
      </c>
      <c r="BI122" s="6">
        <v>350000</v>
      </c>
      <c r="BJ122" s="6">
        <v>0</v>
      </c>
      <c r="BK122" s="6">
        <v>215000</v>
      </c>
      <c r="BL122" s="6">
        <v>135000</v>
      </c>
      <c r="BM122" s="2">
        <v>675000</v>
      </c>
      <c r="BN122">
        <f>InvoiceTable[[#This Row],[Giảm giá]]*InvoiceTable[[#This Row],[Số lượng]]</f>
        <v>1075000</v>
      </c>
    </row>
    <row r="123" spans="1:66" x14ac:dyDescent="0.25">
      <c r="A123" t="s">
        <v>65</v>
      </c>
      <c r="B123" t="s">
        <v>666</v>
      </c>
      <c r="F123" s="2"/>
      <c r="G123" s="3">
        <v>46015.643534027775</v>
      </c>
      <c r="H123" s="3">
        <v>46015.643511076392</v>
      </c>
      <c r="I123" s="4" t="s">
        <v>96</v>
      </c>
      <c r="J123" t="s">
        <v>67</v>
      </c>
      <c r="K123" t="s">
        <v>67</v>
      </c>
      <c r="L123" t="s">
        <v>654</v>
      </c>
      <c r="M123" t="s">
        <v>655</v>
      </c>
      <c r="N123" t="s">
        <v>67</v>
      </c>
      <c r="O123" t="s">
        <v>656</v>
      </c>
      <c r="P123" t="s">
        <v>657</v>
      </c>
      <c r="Q123" t="s">
        <v>658</v>
      </c>
      <c r="R123" t="s">
        <v>67</v>
      </c>
      <c r="S123" s="5"/>
      <c r="T123" t="s">
        <v>72</v>
      </c>
      <c r="U123" t="s">
        <v>87</v>
      </c>
      <c r="V123" t="s">
        <v>74</v>
      </c>
      <c r="W123" t="s">
        <v>87</v>
      </c>
      <c r="AE123" s="2"/>
      <c r="AF123" s="2"/>
      <c r="AG123" s="2"/>
      <c r="AH123" s="2"/>
      <c r="AL123" s="2">
        <v>2887200</v>
      </c>
      <c r="AM123" s="2">
        <v>0</v>
      </c>
      <c r="AN123" s="2"/>
      <c r="AO123" s="2">
        <v>0</v>
      </c>
      <c r="AP123" s="2">
        <v>2887200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4"/>
      <c r="AX123" t="s">
        <v>75</v>
      </c>
      <c r="AZ123" t="s">
        <v>663</v>
      </c>
      <c r="BA123" t="s">
        <v>67</v>
      </c>
      <c r="BB123" t="s">
        <v>664</v>
      </c>
      <c r="BC123" t="s">
        <v>665</v>
      </c>
      <c r="BD123" t="s">
        <v>79</v>
      </c>
      <c r="BE123" t="s">
        <v>195</v>
      </c>
      <c r="BF123" s="5">
        <v>46419</v>
      </c>
      <c r="BH123">
        <v>5</v>
      </c>
      <c r="BI123" s="6">
        <v>380000</v>
      </c>
      <c r="BJ123" s="6">
        <v>0</v>
      </c>
      <c r="BK123" s="6">
        <v>243000</v>
      </c>
      <c r="BL123" s="6">
        <v>137000</v>
      </c>
      <c r="BM123" s="2">
        <v>685000</v>
      </c>
      <c r="BN123">
        <f>InvoiceTable[[#This Row],[Giảm giá]]*InvoiceTable[[#This Row],[Số lượng]]</f>
        <v>1215000</v>
      </c>
    </row>
    <row r="124" spans="1:66" x14ac:dyDescent="0.25">
      <c r="A124" t="s">
        <v>65</v>
      </c>
      <c r="B124" t="s">
        <v>671</v>
      </c>
      <c r="F124" s="2"/>
      <c r="G124" s="3">
        <v>46015.638637187498</v>
      </c>
      <c r="H124" s="3">
        <v>46015.638614120369</v>
      </c>
      <c r="I124" s="4" t="s">
        <v>96</v>
      </c>
      <c r="J124" t="s">
        <v>67</v>
      </c>
      <c r="K124" t="s">
        <v>67</v>
      </c>
      <c r="L124" t="s">
        <v>672</v>
      </c>
      <c r="M124" t="s">
        <v>673</v>
      </c>
      <c r="N124" t="s">
        <v>67</v>
      </c>
      <c r="Q124" t="s">
        <v>67</v>
      </c>
      <c r="R124" t="s">
        <v>67</v>
      </c>
      <c r="S124" s="5"/>
      <c r="T124" t="s">
        <v>72</v>
      </c>
      <c r="U124" t="s">
        <v>87</v>
      </c>
      <c r="V124" t="s">
        <v>74</v>
      </c>
      <c r="W124" t="s">
        <v>87</v>
      </c>
      <c r="AE124" s="2"/>
      <c r="AF124" s="2"/>
      <c r="AG124" s="2"/>
      <c r="AH124" s="2"/>
      <c r="AL124" s="2">
        <v>2180000</v>
      </c>
      <c r="AM124" s="2">
        <v>0</v>
      </c>
      <c r="AN124" s="2"/>
      <c r="AO124" s="2">
        <v>0</v>
      </c>
      <c r="AP124" s="2">
        <v>2180000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4"/>
      <c r="AX124" t="s">
        <v>75</v>
      </c>
      <c r="AZ124" t="s">
        <v>674</v>
      </c>
      <c r="BA124" t="s">
        <v>67</v>
      </c>
      <c r="BB124" t="s">
        <v>675</v>
      </c>
      <c r="BC124" t="s">
        <v>676</v>
      </c>
      <c r="BD124" t="s">
        <v>79</v>
      </c>
      <c r="BE124" t="s">
        <v>677</v>
      </c>
      <c r="BF124" s="5">
        <v>46943</v>
      </c>
      <c r="BH124">
        <v>2</v>
      </c>
      <c r="BI124" s="6">
        <v>1690000</v>
      </c>
      <c r="BJ124" s="6">
        <v>0</v>
      </c>
      <c r="BK124" s="6">
        <v>600000</v>
      </c>
      <c r="BL124" s="6">
        <v>1090000</v>
      </c>
      <c r="BM124" s="2">
        <v>2180000</v>
      </c>
      <c r="BN124">
        <f>InvoiceTable[[#This Row],[Giảm giá]]*InvoiceTable[[#This Row],[Số lượng]]</f>
        <v>1200000</v>
      </c>
    </row>
    <row r="125" spans="1:66" x14ac:dyDescent="0.25">
      <c r="A125" t="s">
        <v>65</v>
      </c>
      <c r="B125" t="s">
        <v>678</v>
      </c>
      <c r="F125" s="2"/>
      <c r="G125" s="3">
        <v>46015.638249305557</v>
      </c>
      <c r="H125" s="3">
        <v>46015.638249421296</v>
      </c>
      <c r="I125" s="4" t="s">
        <v>67</v>
      </c>
      <c r="J125" t="s">
        <v>67</v>
      </c>
      <c r="K125" t="s">
        <v>67</v>
      </c>
      <c r="L125" t="s">
        <v>350</v>
      </c>
      <c r="M125" t="s">
        <v>351</v>
      </c>
      <c r="N125" t="s">
        <v>67</v>
      </c>
      <c r="O125" t="s">
        <v>352</v>
      </c>
      <c r="P125" t="s">
        <v>353</v>
      </c>
      <c r="S125" s="5"/>
      <c r="T125" t="s">
        <v>72</v>
      </c>
      <c r="U125" t="s">
        <v>87</v>
      </c>
      <c r="V125" t="s">
        <v>74</v>
      </c>
      <c r="W125" t="s">
        <v>87</v>
      </c>
      <c r="AE125" s="2"/>
      <c r="AF125" s="2"/>
      <c r="AG125" s="2"/>
      <c r="AH125" s="2"/>
      <c r="AK125" t="s">
        <v>354</v>
      </c>
      <c r="AL125" s="2">
        <v>7050000</v>
      </c>
      <c r="AM125" s="2">
        <v>0</v>
      </c>
      <c r="AN125" s="2"/>
      <c r="AO125" s="2">
        <v>0</v>
      </c>
      <c r="AP125" s="2">
        <v>7050000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4"/>
      <c r="AX125" t="s">
        <v>75</v>
      </c>
      <c r="AZ125" t="s">
        <v>679</v>
      </c>
      <c r="BA125" t="s">
        <v>67</v>
      </c>
      <c r="BB125" t="s">
        <v>680</v>
      </c>
      <c r="BC125" t="s">
        <v>681</v>
      </c>
      <c r="BD125" t="s">
        <v>79</v>
      </c>
      <c r="BE125" t="s">
        <v>682</v>
      </c>
      <c r="BF125" s="5">
        <v>46357</v>
      </c>
      <c r="BG125" t="s">
        <v>67</v>
      </c>
      <c r="BH125">
        <v>1</v>
      </c>
      <c r="BI125" s="6">
        <v>3950000</v>
      </c>
      <c r="BJ125" s="6">
        <v>0</v>
      </c>
      <c r="BK125" s="6">
        <v>0</v>
      </c>
      <c r="BL125" s="6">
        <v>3950000</v>
      </c>
      <c r="BM125" s="2">
        <v>3950000</v>
      </c>
      <c r="BN125">
        <f>InvoiceTable[[#This Row],[Giảm giá]]*InvoiceTable[[#This Row],[Số lượng]]</f>
        <v>0</v>
      </c>
    </row>
    <row r="126" spans="1:66" x14ac:dyDescent="0.25">
      <c r="A126" t="s">
        <v>65</v>
      </c>
      <c r="B126" t="s">
        <v>678</v>
      </c>
      <c r="F126" s="2"/>
      <c r="G126" s="3">
        <v>46015.638249305557</v>
      </c>
      <c r="H126" s="3">
        <v>46015.638249421296</v>
      </c>
      <c r="I126" s="4" t="s">
        <v>67</v>
      </c>
      <c r="J126" t="s">
        <v>67</v>
      </c>
      <c r="K126" t="s">
        <v>67</v>
      </c>
      <c r="L126" t="s">
        <v>350</v>
      </c>
      <c r="M126" t="s">
        <v>351</v>
      </c>
      <c r="N126" t="s">
        <v>67</v>
      </c>
      <c r="O126" t="s">
        <v>352</v>
      </c>
      <c r="P126" t="s">
        <v>353</v>
      </c>
      <c r="S126" s="5"/>
      <c r="T126" t="s">
        <v>72</v>
      </c>
      <c r="U126" t="s">
        <v>87</v>
      </c>
      <c r="V126" t="s">
        <v>74</v>
      </c>
      <c r="W126" t="s">
        <v>87</v>
      </c>
      <c r="AE126" s="2"/>
      <c r="AF126" s="2"/>
      <c r="AG126" s="2"/>
      <c r="AH126" s="2"/>
      <c r="AK126" t="s">
        <v>354</v>
      </c>
      <c r="AL126" s="2">
        <v>7050000</v>
      </c>
      <c r="AM126" s="2">
        <v>0</v>
      </c>
      <c r="AN126" s="2"/>
      <c r="AO126" s="2">
        <v>0</v>
      </c>
      <c r="AP126" s="2">
        <v>7050000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4"/>
      <c r="AX126" t="s">
        <v>75</v>
      </c>
      <c r="AZ126" t="s">
        <v>683</v>
      </c>
      <c r="BB126" t="s">
        <v>684</v>
      </c>
      <c r="BC126" t="s">
        <v>681</v>
      </c>
      <c r="BD126" t="s">
        <v>79</v>
      </c>
      <c r="BE126" t="s">
        <v>168</v>
      </c>
      <c r="BF126" s="5">
        <v>46388</v>
      </c>
      <c r="BG126" t="s">
        <v>67</v>
      </c>
      <c r="BH126">
        <v>1</v>
      </c>
      <c r="BI126" s="6">
        <v>3100000</v>
      </c>
      <c r="BJ126" s="6">
        <v>0</v>
      </c>
      <c r="BK126" s="6">
        <v>0</v>
      </c>
      <c r="BL126" s="6">
        <v>3100000</v>
      </c>
      <c r="BM126" s="2">
        <v>3100000</v>
      </c>
      <c r="BN126">
        <f>InvoiceTable[[#This Row],[Giảm giá]]*InvoiceTable[[#This Row],[Số lượng]]</f>
        <v>0</v>
      </c>
    </row>
    <row r="127" spans="1:66" x14ac:dyDescent="0.25">
      <c r="A127" t="s">
        <v>65</v>
      </c>
      <c r="B127" t="s">
        <v>685</v>
      </c>
      <c r="F127" s="2"/>
      <c r="G127" s="3">
        <v>46015.637626967589</v>
      </c>
      <c r="H127" s="3">
        <v>46015.637615474538</v>
      </c>
      <c r="I127" s="4" t="s">
        <v>686</v>
      </c>
      <c r="J127" t="s">
        <v>67</v>
      </c>
      <c r="K127" t="s">
        <v>67</v>
      </c>
      <c r="L127" t="s">
        <v>615</v>
      </c>
      <c r="M127" t="s">
        <v>616</v>
      </c>
      <c r="N127" t="s">
        <v>617</v>
      </c>
      <c r="O127" t="s">
        <v>618</v>
      </c>
      <c r="P127" t="s">
        <v>619</v>
      </c>
      <c r="S127" s="5"/>
      <c r="T127" t="s">
        <v>72</v>
      </c>
      <c r="U127" t="s">
        <v>87</v>
      </c>
      <c r="V127" t="s">
        <v>74</v>
      </c>
      <c r="W127" t="s">
        <v>87</v>
      </c>
      <c r="AE127" s="2"/>
      <c r="AF127" s="2"/>
      <c r="AG127" s="2"/>
      <c r="AH127" s="2"/>
      <c r="AK127" t="s">
        <v>275</v>
      </c>
      <c r="AL127" s="2">
        <v>950000</v>
      </c>
      <c r="AM127" s="2">
        <v>0</v>
      </c>
      <c r="AN127" s="2"/>
      <c r="AO127" s="2">
        <v>0</v>
      </c>
      <c r="AP127" s="2">
        <v>950000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4"/>
      <c r="AX127" t="s">
        <v>75</v>
      </c>
      <c r="AZ127" t="s">
        <v>480</v>
      </c>
      <c r="BA127" t="s">
        <v>67</v>
      </c>
      <c r="BB127" t="s">
        <v>481</v>
      </c>
      <c r="BC127" t="s">
        <v>90</v>
      </c>
      <c r="BD127" t="s">
        <v>79</v>
      </c>
      <c r="BE127" t="s">
        <v>482</v>
      </c>
      <c r="BF127" s="5">
        <v>46773</v>
      </c>
      <c r="BG127" t="s">
        <v>67</v>
      </c>
      <c r="BH127">
        <v>1</v>
      </c>
      <c r="BI127" s="6">
        <v>1800000</v>
      </c>
      <c r="BJ127" s="6">
        <v>0</v>
      </c>
      <c r="BK127" s="6">
        <v>850000</v>
      </c>
      <c r="BL127" s="6">
        <v>950000</v>
      </c>
      <c r="BM127" s="2">
        <v>950000</v>
      </c>
      <c r="BN127">
        <f>InvoiceTable[[#This Row],[Giảm giá]]*InvoiceTable[[#This Row],[Số lượng]]</f>
        <v>850000</v>
      </c>
    </row>
    <row r="128" spans="1:66" x14ac:dyDescent="0.25">
      <c r="A128" t="s">
        <v>65</v>
      </c>
      <c r="B128" t="s">
        <v>687</v>
      </c>
      <c r="F128" s="2"/>
      <c r="G128" s="3">
        <v>46015.636963657409</v>
      </c>
      <c r="H128" s="3">
        <v>46015.636963773148</v>
      </c>
      <c r="I128" s="4" t="s">
        <v>67</v>
      </c>
      <c r="J128" t="s">
        <v>67</v>
      </c>
      <c r="K128" t="s">
        <v>67</v>
      </c>
      <c r="L128" t="s">
        <v>615</v>
      </c>
      <c r="M128" t="s">
        <v>616</v>
      </c>
      <c r="N128" t="s">
        <v>617</v>
      </c>
      <c r="O128" t="s">
        <v>618</v>
      </c>
      <c r="P128" t="s">
        <v>619</v>
      </c>
      <c r="S128" s="5"/>
      <c r="T128" t="s">
        <v>72</v>
      </c>
      <c r="U128" t="s">
        <v>87</v>
      </c>
      <c r="V128" t="s">
        <v>74</v>
      </c>
      <c r="W128" t="s">
        <v>87</v>
      </c>
      <c r="AE128" s="2"/>
      <c r="AF128" s="2"/>
      <c r="AG128" s="2"/>
      <c r="AH128" s="2"/>
      <c r="AK128" t="s">
        <v>275</v>
      </c>
      <c r="AL128" s="2">
        <v>3151350</v>
      </c>
      <c r="AM128" s="2">
        <v>0</v>
      </c>
      <c r="AN128" s="2"/>
      <c r="AO128" s="2">
        <v>0</v>
      </c>
      <c r="AP128" s="2">
        <v>3151350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4"/>
      <c r="AX128" t="s">
        <v>75</v>
      </c>
      <c r="AZ128" t="s">
        <v>688</v>
      </c>
      <c r="BA128" t="s">
        <v>67</v>
      </c>
      <c r="BB128" t="s">
        <v>689</v>
      </c>
      <c r="BC128" t="s">
        <v>215</v>
      </c>
      <c r="BD128" t="s">
        <v>79</v>
      </c>
      <c r="BE128" t="s">
        <v>690</v>
      </c>
      <c r="BF128" s="5">
        <v>46807</v>
      </c>
      <c r="BG128" t="s">
        <v>67</v>
      </c>
      <c r="BH128">
        <v>1</v>
      </c>
      <c r="BI128" s="6">
        <v>2400000</v>
      </c>
      <c r="BJ128" s="6">
        <v>53</v>
      </c>
      <c r="BK128" s="6">
        <v>1272000</v>
      </c>
      <c r="BL128" s="6">
        <v>1128000</v>
      </c>
      <c r="BM128" s="2">
        <v>1128000</v>
      </c>
      <c r="BN128">
        <f>InvoiceTable[[#This Row],[Giảm giá]]*InvoiceTable[[#This Row],[Số lượng]]</f>
        <v>1272000</v>
      </c>
    </row>
    <row r="129" spans="1:66" x14ac:dyDescent="0.25">
      <c r="A129" t="s">
        <v>65</v>
      </c>
      <c r="B129" t="s">
        <v>687</v>
      </c>
      <c r="F129" s="2"/>
      <c r="G129" s="3">
        <v>46015.636963657409</v>
      </c>
      <c r="H129" s="3">
        <v>46015.636963773148</v>
      </c>
      <c r="I129" s="4" t="s">
        <v>67</v>
      </c>
      <c r="J129" t="s">
        <v>67</v>
      </c>
      <c r="K129" t="s">
        <v>67</v>
      </c>
      <c r="L129" t="s">
        <v>615</v>
      </c>
      <c r="M129" t="s">
        <v>616</v>
      </c>
      <c r="N129" t="s">
        <v>617</v>
      </c>
      <c r="O129" t="s">
        <v>618</v>
      </c>
      <c r="P129" t="s">
        <v>619</v>
      </c>
      <c r="S129" s="5"/>
      <c r="T129" t="s">
        <v>72</v>
      </c>
      <c r="U129" t="s">
        <v>87</v>
      </c>
      <c r="V129" t="s">
        <v>74</v>
      </c>
      <c r="W129" t="s">
        <v>87</v>
      </c>
      <c r="AE129" s="2"/>
      <c r="AF129" s="2"/>
      <c r="AG129" s="2"/>
      <c r="AH129" s="2"/>
      <c r="AK129" t="s">
        <v>275</v>
      </c>
      <c r="AL129" s="2">
        <v>3151350</v>
      </c>
      <c r="AM129" s="2">
        <v>0</v>
      </c>
      <c r="AN129" s="2"/>
      <c r="AO129" s="2">
        <v>0</v>
      </c>
      <c r="AP129" s="2">
        <v>3151350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4"/>
      <c r="AX129" t="s">
        <v>75</v>
      </c>
      <c r="AZ129" t="s">
        <v>691</v>
      </c>
      <c r="BA129" t="s">
        <v>67</v>
      </c>
      <c r="BB129" t="s">
        <v>692</v>
      </c>
      <c r="BC129" t="s">
        <v>215</v>
      </c>
      <c r="BD129" t="s">
        <v>79</v>
      </c>
      <c r="BE129" t="s">
        <v>216</v>
      </c>
      <c r="BF129" s="5">
        <v>46784</v>
      </c>
      <c r="BH129">
        <v>3</v>
      </c>
      <c r="BI129" s="6">
        <v>760000</v>
      </c>
      <c r="BJ129" s="6">
        <v>53</v>
      </c>
      <c r="BK129" s="6">
        <v>402800</v>
      </c>
      <c r="BL129" s="6">
        <v>357200</v>
      </c>
      <c r="BM129" s="2">
        <v>1071600</v>
      </c>
      <c r="BN129">
        <f>InvoiceTable[[#This Row],[Giảm giá]]*InvoiceTable[[#This Row],[Số lượng]]</f>
        <v>1208400</v>
      </c>
    </row>
    <row r="130" spans="1:66" x14ac:dyDescent="0.25">
      <c r="A130" t="s">
        <v>65</v>
      </c>
      <c r="B130" t="s">
        <v>687</v>
      </c>
      <c r="F130" s="2"/>
      <c r="G130" s="3">
        <v>46015.636963657409</v>
      </c>
      <c r="H130" s="3">
        <v>46015.636963773148</v>
      </c>
      <c r="I130" s="4" t="s">
        <v>67</v>
      </c>
      <c r="J130" t="s">
        <v>67</v>
      </c>
      <c r="K130" t="s">
        <v>67</v>
      </c>
      <c r="L130" t="s">
        <v>615</v>
      </c>
      <c r="M130" t="s">
        <v>616</v>
      </c>
      <c r="N130" t="s">
        <v>617</v>
      </c>
      <c r="O130" t="s">
        <v>618</v>
      </c>
      <c r="P130" t="s">
        <v>619</v>
      </c>
      <c r="S130" s="5"/>
      <c r="T130" t="s">
        <v>72</v>
      </c>
      <c r="U130" t="s">
        <v>87</v>
      </c>
      <c r="V130" t="s">
        <v>74</v>
      </c>
      <c r="W130" t="s">
        <v>87</v>
      </c>
      <c r="AE130" s="2"/>
      <c r="AF130" s="2"/>
      <c r="AG130" s="2"/>
      <c r="AH130" s="2"/>
      <c r="AK130" t="s">
        <v>275</v>
      </c>
      <c r="AL130" s="2">
        <v>3151350</v>
      </c>
      <c r="AM130" s="2">
        <v>0</v>
      </c>
      <c r="AN130" s="2"/>
      <c r="AO130" s="2">
        <v>0</v>
      </c>
      <c r="AP130" s="2">
        <v>3151350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4"/>
      <c r="AX130" t="s">
        <v>75</v>
      </c>
      <c r="AZ130" t="s">
        <v>693</v>
      </c>
      <c r="BA130" t="s">
        <v>67</v>
      </c>
      <c r="BB130" t="s">
        <v>694</v>
      </c>
      <c r="BC130" t="s">
        <v>215</v>
      </c>
      <c r="BD130" t="s">
        <v>79</v>
      </c>
      <c r="BE130" t="s">
        <v>695</v>
      </c>
      <c r="BF130" s="5">
        <v>46836</v>
      </c>
      <c r="BG130" t="s">
        <v>67</v>
      </c>
      <c r="BH130">
        <v>1</v>
      </c>
      <c r="BI130" s="6">
        <v>2025000</v>
      </c>
      <c r="BJ130" s="6">
        <v>53</v>
      </c>
      <c r="BK130" s="6">
        <v>1073250</v>
      </c>
      <c r="BL130" s="6">
        <v>951750</v>
      </c>
      <c r="BM130" s="2">
        <v>951750</v>
      </c>
      <c r="BN130">
        <f>InvoiceTable[[#This Row],[Giảm giá]]*InvoiceTable[[#This Row],[Số lượng]]</f>
        <v>1073250</v>
      </c>
    </row>
    <row r="131" spans="1:66" x14ac:dyDescent="0.25">
      <c r="A131" t="s">
        <v>65</v>
      </c>
      <c r="B131" t="s">
        <v>696</v>
      </c>
      <c r="F131" s="2"/>
      <c r="G131" s="3">
        <v>46015.635204398146</v>
      </c>
      <c r="H131" s="3">
        <v>46015.63520459491</v>
      </c>
      <c r="I131" s="4" t="s">
        <v>67</v>
      </c>
      <c r="J131" t="s">
        <v>67</v>
      </c>
      <c r="K131" t="s">
        <v>67</v>
      </c>
      <c r="L131" t="s">
        <v>697</v>
      </c>
      <c r="M131" t="s">
        <v>698</v>
      </c>
      <c r="N131" t="s">
        <v>67</v>
      </c>
      <c r="O131" t="s">
        <v>699</v>
      </c>
      <c r="P131" t="s">
        <v>700</v>
      </c>
      <c r="Q131" t="s">
        <v>67</v>
      </c>
      <c r="R131" t="s">
        <v>67</v>
      </c>
      <c r="S131" s="5"/>
      <c r="T131" t="s">
        <v>72</v>
      </c>
      <c r="U131" t="s">
        <v>87</v>
      </c>
      <c r="V131" t="s">
        <v>74</v>
      </c>
      <c r="W131" t="s">
        <v>87</v>
      </c>
      <c r="AE131" s="2"/>
      <c r="AF131" s="2"/>
      <c r="AG131" s="2"/>
      <c r="AH131" s="2"/>
      <c r="AL131" s="2">
        <v>1977610</v>
      </c>
      <c r="AM131" s="2">
        <v>0</v>
      </c>
      <c r="AN131" s="2"/>
      <c r="AO131" s="2">
        <v>0</v>
      </c>
      <c r="AP131" s="2">
        <v>1977610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4"/>
      <c r="AX131" t="s">
        <v>75</v>
      </c>
      <c r="AZ131" t="s">
        <v>701</v>
      </c>
      <c r="BA131" t="s">
        <v>67</v>
      </c>
      <c r="BB131" t="s">
        <v>702</v>
      </c>
      <c r="BC131" t="s">
        <v>703</v>
      </c>
      <c r="BD131" t="s">
        <v>79</v>
      </c>
      <c r="BE131" t="s">
        <v>334</v>
      </c>
      <c r="BF131" s="5">
        <v>47209</v>
      </c>
      <c r="BH131">
        <v>1</v>
      </c>
      <c r="BI131" s="6">
        <v>380000</v>
      </c>
      <c r="BJ131" s="6">
        <v>47</v>
      </c>
      <c r="BK131" s="6">
        <v>178600</v>
      </c>
      <c r="BL131" s="6">
        <v>201400</v>
      </c>
      <c r="BM131" s="2">
        <v>201400</v>
      </c>
      <c r="BN131">
        <f>InvoiceTable[[#This Row],[Giảm giá]]*InvoiceTable[[#This Row],[Số lượng]]</f>
        <v>178600</v>
      </c>
    </row>
    <row r="132" spans="1:66" x14ac:dyDescent="0.25">
      <c r="A132" t="s">
        <v>65</v>
      </c>
      <c r="B132" t="s">
        <v>696</v>
      </c>
      <c r="F132" s="2"/>
      <c r="G132" s="3">
        <v>46015.635204398146</v>
      </c>
      <c r="H132" s="3">
        <v>46015.63520459491</v>
      </c>
      <c r="I132" s="4" t="s">
        <v>67</v>
      </c>
      <c r="J132" t="s">
        <v>67</v>
      </c>
      <c r="K132" t="s">
        <v>67</v>
      </c>
      <c r="L132" t="s">
        <v>697</v>
      </c>
      <c r="M132" t="s">
        <v>698</v>
      </c>
      <c r="N132" t="s">
        <v>67</v>
      </c>
      <c r="O132" t="s">
        <v>699</v>
      </c>
      <c r="P132" t="s">
        <v>700</v>
      </c>
      <c r="Q132" t="s">
        <v>67</v>
      </c>
      <c r="R132" t="s">
        <v>67</v>
      </c>
      <c r="S132" s="5"/>
      <c r="T132" t="s">
        <v>72</v>
      </c>
      <c r="U132" t="s">
        <v>87</v>
      </c>
      <c r="V132" t="s">
        <v>74</v>
      </c>
      <c r="W132" t="s">
        <v>87</v>
      </c>
      <c r="AE132" s="2"/>
      <c r="AF132" s="2"/>
      <c r="AG132" s="2"/>
      <c r="AH132" s="2"/>
      <c r="AL132" s="2">
        <v>1977610</v>
      </c>
      <c r="AM132" s="2">
        <v>0</v>
      </c>
      <c r="AN132" s="2"/>
      <c r="AO132" s="2">
        <v>0</v>
      </c>
      <c r="AP132" s="2">
        <v>1977610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4"/>
      <c r="AX132" t="s">
        <v>75</v>
      </c>
      <c r="AZ132" t="s">
        <v>704</v>
      </c>
      <c r="BA132" t="s">
        <v>67</v>
      </c>
      <c r="BB132" t="s">
        <v>705</v>
      </c>
      <c r="BC132" t="s">
        <v>706</v>
      </c>
      <c r="BD132" t="s">
        <v>79</v>
      </c>
      <c r="BE132" t="s">
        <v>378</v>
      </c>
      <c r="BF132" s="5">
        <v>46997</v>
      </c>
      <c r="BH132">
        <v>3</v>
      </c>
      <c r="BI132" s="6">
        <v>860000</v>
      </c>
      <c r="BJ132" s="6">
        <v>45</v>
      </c>
      <c r="BK132" s="6">
        <v>387000</v>
      </c>
      <c r="BL132" s="6">
        <v>473000</v>
      </c>
      <c r="BM132" s="2">
        <v>1419000</v>
      </c>
      <c r="BN132">
        <f>InvoiceTable[[#This Row],[Giảm giá]]*InvoiceTable[[#This Row],[Số lượng]]</f>
        <v>1161000</v>
      </c>
    </row>
    <row r="133" spans="1:66" x14ac:dyDescent="0.25">
      <c r="A133" t="s">
        <v>65</v>
      </c>
      <c r="B133" t="s">
        <v>696</v>
      </c>
      <c r="F133" s="2"/>
      <c r="G133" s="3">
        <v>46015.635204398146</v>
      </c>
      <c r="H133" s="3">
        <v>46015.63520459491</v>
      </c>
      <c r="I133" s="4" t="s">
        <v>67</v>
      </c>
      <c r="J133" t="s">
        <v>67</v>
      </c>
      <c r="K133" t="s">
        <v>67</v>
      </c>
      <c r="L133" t="s">
        <v>697</v>
      </c>
      <c r="M133" t="s">
        <v>698</v>
      </c>
      <c r="N133" t="s">
        <v>67</v>
      </c>
      <c r="O133" t="s">
        <v>699</v>
      </c>
      <c r="P133" t="s">
        <v>700</v>
      </c>
      <c r="Q133" t="s">
        <v>67</v>
      </c>
      <c r="R133" t="s">
        <v>67</v>
      </c>
      <c r="S133" s="5"/>
      <c r="T133" t="s">
        <v>72</v>
      </c>
      <c r="U133" t="s">
        <v>87</v>
      </c>
      <c r="V133" t="s">
        <v>74</v>
      </c>
      <c r="W133" t="s">
        <v>87</v>
      </c>
      <c r="AE133" s="2"/>
      <c r="AF133" s="2"/>
      <c r="AG133" s="2"/>
      <c r="AH133" s="2"/>
      <c r="AL133" s="2">
        <v>1977610</v>
      </c>
      <c r="AM133" s="2">
        <v>0</v>
      </c>
      <c r="AN133" s="2"/>
      <c r="AO133" s="2">
        <v>0</v>
      </c>
      <c r="AP133" s="2">
        <v>1977610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4"/>
      <c r="AX133" t="s">
        <v>75</v>
      </c>
      <c r="AZ133" t="s">
        <v>420</v>
      </c>
      <c r="BA133" t="s">
        <v>67</v>
      </c>
      <c r="BB133" t="s">
        <v>421</v>
      </c>
      <c r="BC133" t="s">
        <v>422</v>
      </c>
      <c r="BD133" t="s">
        <v>79</v>
      </c>
      <c r="BE133" t="s">
        <v>423</v>
      </c>
      <c r="BF133" s="5">
        <v>47543</v>
      </c>
      <c r="BH133">
        <v>1</v>
      </c>
      <c r="BI133" s="6">
        <v>567000</v>
      </c>
      <c r="BJ133" s="6">
        <v>37</v>
      </c>
      <c r="BK133" s="6">
        <v>209790</v>
      </c>
      <c r="BL133" s="6">
        <v>357210</v>
      </c>
      <c r="BM133" s="2">
        <v>357210</v>
      </c>
      <c r="BN133">
        <f>InvoiceTable[[#This Row],[Giảm giá]]*InvoiceTable[[#This Row],[Số lượng]]</f>
        <v>209790</v>
      </c>
    </row>
    <row r="134" spans="1:66" x14ac:dyDescent="0.25">
      <c r="A134" t="s">
        <v>65</v>
      </c>
      <c r="B134" t="s">
        <v>707</v>
      </c>
      <c r="F134" s="2"/>
      <c r="G134" s="3">
        <v>46015.597654016201</v>
      </c>
      <c r="H134" s="3">
        <v>46015.597654166668</v>
      </c>
      <c r="I134" s="4" t="s">
        <v>67</v>
      </c>
      <c r="J134" t="s">
        <v>708</v>
      </c>
      <c r="K134" t="s">
        <v>67</v>
      </c>
      <c r="L134" t="s">
        <v>231</v>
      </c>
      <c r="M134" t="s">
        <v>232</v>
      </c>
      <c r="N134" t="s">
        <v>67</v>
      </c>
      <c r="O134" t="s">
        <v>233</v>
      </c>
      <c r="P134" t="s">
        <v>234</v>
      </c>
      <c r="S134" s="5"/>
      <c r="T134" t="s">
        <v>72</v>
      </c>
      <c r="U134" t="s">
        <v>73</v>
      </c>
      <c r="V134" t="s">
        <v>74</v>
      </c>
      <c r="W134" t="s">
        <v>87</v>
      </c>
      <c r="AE134" s="2"/>
      <c r="AF134" s="2"/>
      <c r="AG134" s="2"/>
      <c r="AH134" s="2"/>
      <c r="AK134" t="s">
        <v>709</v>
      </c>
      <c r="AL134" s="2">
        <v>2700000</v>
      </c>
      <c r="AM134" s="2">
        <v>0</v>
      </c>
      <c r="AN134" s="2"/>
      <c r="AO134" s="2">
        <v>0</v>
      </c>
      <c r="AP134" s="2">
        <v>2700000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4"/>
      <c r="AX134" t="s">
        <v>75</v>
      </c>
      <c r="AZ134" t="s">
        <v>710</v>
      </c>
      <c r="BA134" t="s">
        <v>67</v>
      </c>
      <c r="BB134" t="s">
        <v>711</v>
      </c>
      <c r="BC134" t="s">
        <v>204</v>
      </c>
      <c r="BD134" t="s">
        <v>79</v>
      </c>
      <c r="BE134" t="s">
        <v>273</v>
      </c>
      <c r="BF134" s="5">
        <v>46266</v>
      </c>
      <c r="BH134">
        <v>10</v>
      </c>
      <c r="BI134" s="6">
        <v>850000</v>
      </c>
      <c r="BJ134" s="6">
        <v>0</v>
      </c>
      <c r="BK134" s="6">
        <v>580000</v>
      </c>
      <c r="BL134" s="6">
        <v>270000</v>
      </c>
      <c r="BM134" s="2">
        <v>2700000</v>
      </c>
      <c r="BN134">
        <f>InvoiceTable[[#This Row],[Giảm giá]]*InvoiceTable[[#This Row],[Số lượng]]</f>
        <v>5800000</v>
      </c>
    </row>
    <row r="135" spans="1:66" x14ac:dyDescent="0.25">
      <c r="A135" t="s">
        <v>65</v>
      </c>
      <c r="B135" t="s">
        <v>712</v>
      </c>
      <c r="F135" s="2"/>
      <c r="G135" s="3">
        <v>46015.593186655089</v>
      </c>
      <c r="H135" s="3">
        <v>46015.593186724538</v>
      </c>
      <c r="I135" s="4" t="s">
        <v>67</v>
      </c>
      <c r="J135" t="s">
        <v>67</v>
      </c>
      <c r="K135" t="s">
        <v>67</v>
      </c>
      <c r="L135" t="s">
        <v>398</v>
      </c>
      <c r="M135" t="s">
        <v>399</v>
      </c>
      <c r="N135" t="s">
        <v>400</v>
      </c>
      <c r="O135" t="s">
        <v>401</v>
      </c>
      <c r="P135" t="s">
        <v>402</v>
      </c>
      <c r="S135" s="5"/>
      <c r="T135" t="s">
        <v>72</v>
      </c>
      <c r="U135" t="s">
        <v>102</v>
      </c>
      <c r="V135" t="s">
        <v>74</v>
      </c>
      <c r="W135" t="s">
        <v>87</v>
      </c>
      <c r="AE135" s="2"/>
      <c r="AF135" s="2"/>
      <c r="AG135" s="2"/>
      <c r="AH135" s="2"/>
      <c r="AL135" s="2">
        <v>1041600</v>
      </c>
      <c r="AM135" s="2">
        <v>0</v>
      </c>
      <c r="AN135" s="2"/>
      <c r="AO135" s="2">
        <v>0</v>
      </c>
      <c r="AP135" s="2">
        <v>1041600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4"/>
      <c r="AX135" t="s">
        <v>75</v>
      </c>
      <c r="AZ135" t="s">
        <v>713</v>
      </c>
      <c r="BA135" t="s">
        <v>67</v>
      </c>
      <c r="BB135" t="s">
        <v>714</v>
      </c>
      <c r="BC135" t="s">
        <v>251</v>
      </c>
      <c r="BD135" t="s">
        <v>79</v>
      </c>
      <c r="BE135" t="s">
        <v>715</v>
      </c>
      <c r="BF135" s="5">
        <v>46631</v>
      </c>
      <c r="BG135" t="s">
        <v>67</v>
      </c>
      <c r="BH135">
        <v>1</v>
      </c>
      <c r="BI135" s="6">
        <v>1860000</v>
      </c>
      <c r="BJ135" s="6">
        <v>44</v>
      </c>
      <c r="BK135" s="6">
        <v>818400</v>
      </c>
      <c r="BL135" s="6">
        <v>1041600</v>
      </c>
      <c r="BM135" s="2">
        <v>1041600</v>
      </c>
      <c r="BN135">
        <f>InvoiceTable[[#This Row],[Giảm giá]]*InvoiceTable[[#This Row],[Số lượng]]</f>
        <v>818400</v>
      </c>
    </row>
    <row r="136" spans="1:66" x14ac:dyDescent="0.25">
      <c r="A136" t="s">
        <v>65</v>
      </c>
      <c r="B136" t="s">
        <v>716</v>
      </c>
      <c r="F136" s="2"/>
      <c r="G136" s="3">
        <v>46015.592784375003</v>
      </c>
      <c r="H136" s="3">
        <v>46015.592761377316</v>
      </c>
      <c r="I136" s="4" t="s">
        <v>96</v>
      </c>
      <c r="J136" t="s">
        <v>717</v>
      </c>
      <c r="K136" t="s">
        <v>67</v>
      </c>
      <c r="L136" t="s">
        <v>398</v>
      </c>
      <c r="M136" t="s">
        <v>399</v>
      </c>
      <c r="N136" t="s">
        <v>400</v>
      </c>
      <c r="O136" t="s">
        <v>401</v>
      </c>
      <c r="P136" t="s">
        <v>402</v>
      </c>
      <c r="S136" s="5"/>
      <c r="T136" t="s">
        <v>72</v>
      </c>
      <c r="U136" t="s">
        <v>102</v>
      </c>
      <c r="V136" t="s">
        <v>74</v>
      </c>
      <c r="W136" t="s">
        <v>87</v>
      </c>
      <c r="AE136" s="2"/>
      <c r="AF136" s="2"/>
      <c r="AG136" s="2"/>
      <c r="AH136" s="2"/>
      <c r="AK136" t="s">
        <v>718</v>
      </c>
      <c r="AL136" s="2">
        <v>3344000</v>
      </c>
      <c r="AM136" s="2">
        <v>0</v>
      </c>
      <c r="AN136" s="2"/>
      <c r="AO136" s="2">
        <v>0</v>
      </c>
      <c r="AP136" s="2">
        <v>3344000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4"/>
      <c r="AX136" t="s">
        <v>75</v>
      </c>
      <c r="AZ136" t="s">
        <v>486</v>
      </c>
      <c r="BA136" t="s">
        <v>67</v>
      </c>
      <c r="BB136" t="s">
        <v>487</v>
      </c>
      <c r="BC136" t="s">
        <v>485</v>
      </c>
      <c r="BD136" t="s">
        <v>79</v>
      </c>
      <c r="BE136" t="s">
        <v>488</v>
      </c>
      <c r="BF136" s="5">
        <v>46647</v>
      </c>
      <c r="BH136">
        <v>2</v>
      </c>
      <c r="BI136" s="6">
        <v>600000</v>
      </c>
      <c r="BJ136" s="6">
        <v>38</v>
      </c>
      <c r="BK136" s="6">
        <v>228000</v>
      </c>
      <c r="BL136" s="6">
        <v>372000</v>
      </c>
      <c r="BM136" s="2">
        <v>744000</v>
      </c>
      <c r="BN136">
        <f>InvoiceTable[[#This Row],[Giảm giá]]*InvoiceTable[[#This Row],[Số lượng]]</f>
        <v>456000</v>
      </c>
    </row>
    <row r="137" spans="1:66" x14ac:dyDescent="0.25">
      <c r="A137" t="s">
        <v>65</v>
      </c>
      <c r="B137" t="s">
        <v>716</v>
      </c>
      <c r="F137" s="2"/>
      <c r="G137" s="3">
        <v>46015.592784375003</v>
      </c>
      <c r="H137" s="3">
        <v>46015.592761377316</v>
      </c>
      <c r="I137" s="4" t="s">
        <v>96</v>
      </c>
      <c r="J137" t="s">
        <v>717</v>
      </c>
      <c r="K137" t="s">
        <v>67</v>
      </c>
      <c r="L137" t="s">
        <v>398</v>
      </c>
      <c r="M137" t="s">
        <v>399</v>
      </c>
      <c r="N137" t="s">
        <v>400</v>
      </c>
      <c r="O137" t="s">
        <v>401</v>
      </c>
      <c r="P137" t="s">
        <v>402</v>
      </c>
      <c r="S137" s="5"/>
      <c r="T137" t="s">
        <v>72</v>
      </c>
      <c r="U137" t="s">
        <v>102</v>
      </c>
      <c r="V137" t="s">
        <v>74</v>
      </c>
      <c r="W137" t="s">
        <v>87</v>
      </c>
      <c r="AE137" s="2"/>
      <c r="AF137" s="2"/>
      <c r="AG137" s="2"/>
      <c r="AH137" s="2"/>
      <c r="AK137" t="s">
        <v>718</v>
      </c>
      <c r="AL137" s="2">
        <v>3344000</v>
      </c>
      <c r="AM137" s="2">
        <v>0</v>
      </c>
      <c r="AN137" s="2"/>
      <c r="AO137" s="2">
        <v>0</v>
      </c>
      <c r="AP137" s="2">
        <v>3344000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4"/>
      <c r="AX137" t="s">
        <v>75</v>
      </c>
      <c r="AZ137" t="s">
        <v>719</v>
      </c>
      <c r="BA137" t="s">
        <v>67</v>
      </c>
      <c r="BB137" t="s">
        <v>720</v>
      </c>
      <c r="BC137" t="s">
        <v>721</v>
      </c>
      <c r="BD137" t="s">
        <v>79</v>
      </c>
      <c r="BE137" t="s">
        <v>722</v>
      </c>
      <c r="BF137" s="5">
        <v>46782</v>
      </c>
      <c r="BG137" t="s">
        <v>67</v>
      </c>
      <c r="BH137">
        <v>2</v>
      </c>
      <c r="BI137" s="6">
        <v>1100000</v>
      </c>
      <c r="BJ137" s="6">
        <v>44</v>
      </c>
      <c r="BK137" s="6">
        <v>484000</v>
      </c>
      <c r="BL137" s="6">
        <v>616000</v>
      </c>
      <c r="BM137" s="2">
        <v>1232000</v>
      </c>
      <c r="BN137">
        <f>InvoiceTable[[#This Row],[Giảm giá]]*InvoiceTable[[#This Row],[Số lượng]]</f>
        <v>968000</v>
      </c>
    </row>
    <row r="138" spans="1:66" x14ac:dyDescent="0.25">
      <c r="A138" t="s">
        <v>65</v>
      </c>
      <c r="B138" t="s">
        <v>716</v>
      </c>
      <c r="F138" s="2"/>
      <c r="G138" s="3">
        <v>46015.592784375003</v>
      </c>
      <c r="H138" s="3">
        <v>46015.592761377316</v>
      </c>
      <c r="I138" s="4" t="s">
        <v>96</v>
      </c>
      <c r="J138" t="s">
        <v>717</v>
      </c>
      <c r="K138" t="s">
        <v>67</v>
      </c>
      <c r="L138" t="s">
        <v>398</v>
      </c>
      <c r="M138" t="s">
        <v>399</v>
      </c>
      <c r="N138" t="s">
        <v>400</v>
      </c>
      <c r="O138" t="s">
        <v>401</v>
      </c>
      <c r="P138" t="s">
        <v>402</v>
      </c>
      <c r="S138" s="5"/>
      <c r="T138" t="s">
        <v>72</v>
      </c>
      <c r="U138" t="s">
        <v>102</v>
      </c>
      <c r="V138" t="s">
        <v>74</v>
      </c>
      <c r="W138" t="s">
        <v>87</v>
      </c>
      <c r="AE138" s="2"/>
      <c r="AF138" s="2"/>
      <c r="AG138" s="2"/>
      <c r="AH138" s="2"/>
      <c r="AK138" t="s">
        <v>718</v>
      </c>
      <c r="AL138" s="2">
        <v>3344000</v>
      </c>
      <c r="AM138" s="2">
        <v>0</v>
      </c>
      <c r="AN138" s="2"/>
      <c r="AO138" s="2">
        <v>0</v>
      </c>
      <c r="AP138" s="2">
        <v>3344000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4"/>
      <c r="AX138" t="s">
        <v>75</v>
      </c>
      <c r="AZ138" t="s">
        <v>723</v>
      </c>
      <c r="BA138" t="s">
        <v>67</v>
      </c>
      <c r="BB138" t="s">
        <v>724</v>
      </c>
      <c r="BC138" t="s">
        <v>285</v>
      </c>
      <c r="BD138" t="s">
        <v>79</v>
      </c>
      <c r="BE138" t="s">
        <v>117</v>
      </c>
      <c r="BF138" s="5">
        <v>46569</v>
      </c>
      <c r="BH138">
        <v>2</v>
      </c>
      <c r="BI138" s="6">
        <v>1200000</v>
      </c>
      <c r="BJ138" s="6">
        <v>43</v>
      </c>
      <c r="BK138" s="6">
        <v>516000</v>
      </c>
      <c r="BL138" s="6">
        <v>684000</v>
      </c>
      <c r="BM138" s="2">
        <v>1368000</v>
      </c>
      <c r="BN138">
        <f>InvoiceTable[[#This Row],[Giảm giá]]*InvoiceTable[[#This Row],[Số lượng]]</f>
        <v>1032000</v>
      </c>
    </row>
    <row r="139" spans="1:66" x14ac:dyDescent="0.25">
      <c r="A139" t="s">
        <v>65</v>
      </c>
      <c r="B139" t="s">
        <v>725</v>
      </c>
      <c r="F139" s="2"/>
      <c r="G139" s="3">
        <v>46015.591008067131</v>
      </c>
      <c r="H139" s="3">
        <v>46015.591008136573</v>
      </c>
      <c r="I139" s="4" t="s">
        <v>67</v>
      </c>
      <c r="J139" t="s">
        <v>67</v>
      </c>
      <c r="K139" t="s">
        <v>67</v>
      </c>
      <c r="L139" t="s">
        <v>726</v>
      </c>
      <c r="M139" t="s">
        <v>727</v>
      </c>
      <c r="N139" t="s">
        <v>67</v>
      </c>
      <c r="O139" t="s">
        <v>728</v>
      </c>
      <c r="P139" t="s">
        <v>729</v>
      </c>
      <c r="S139" s="5"/>
      <c r="T139" t="s">
        <v>72</v>
      </c>
      <c r="U139" t="s">
        <v>87</v>
      </c>
      <c r="V139" t="s">
        <v>74</v>
      </c>
      <c r="W139" t="s">
        <v>87</v>
      </c>
      <c r="AE139" s="2"/>
      <c r="AF139" s="2"/>
      <c r="AG139" s="2"/>
      <c r="AH139" s="2"/>
      <c r="AK139" t="s">
        <v>275</v>
      </c>
      <c r="AL139" s="2">
        <v>650000</v>
      </c>
      <c r="AM139" s="2">
        <v>0</v>
      </c>
      <c r="AN139" s="2"/>
      <c r="AO139" s="2">
        <v>0</v>
      </c>
      <c r="AP139" s="2">
        <v>650000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4"/>
      <c r="AX139" t="s">
        <v>75</v>
      </c>
      <c r="AZ139" t="s">
        <v>291</v>
      </c>
      <c r="BA139" t="s">
        <v>67</v>
      </c>
      <c r="BB139" t="s">
        <v>292</v>
      </c>
      <c r="BC139" t="s">
        <v>126</v>
      </c>
      <c r="BD139" t="s">
        <v>79</v>
      </c>
      <c r="BE139" t="s">
        <v>293</v>
      </c>
      <c r="BF139" s="5">
        <v>46722</v>
      </c>
      <c r="BG139" t="s">
        <v>67</v>
      </c>
      <c r="BH139">
        <v>10</v>
      </c>
      <c r="BI139" s="6">
        <v>250000</v>
      </c>
      <c r="BJ139" s="6">
        <v>0</v>
      </c>
      <c r="BK139" s="6">
        <v>185000</v>
      </c>
      <c r="BL139" s="6">
        <v>65000</v>
      </c>
      <c r="BM139" s="2">
        <v>650000</v>
      </c>
      <c r="BN139">
        <f>InvoiceTable[[#This Row],[Giảm giá]]*InvoiceTable[[#This Row],[Số lượng]]</f>
        <v>1850000</v>
      </c>
    </row>
    <row r="140" spans="1:66" x14ac:dyDescent="0.25">
      <c r="A140" t="s">
        <v>65</v>
      </c>
      <c r="B140" t="s">
        <v>730</v>
      </c>
      <c r="F140" s="2"/>
      <c r="G140" s="3">
        <v>46015.589430439817</v>
      </c>
      <c r="H140" s="3">
        <v>46015.589430555556</v>
      </c>
      <c r="I140" s="4" t="s">
        <v>67</v>
      </c>
      <c r="J140" t="s">
        <v>731</v>
      </c>
      <c r="K140" t="s">
        <v>67</v>
      </c>
      <c r="L140" t="s">
        <v>732</v>
      </c>
      <c r="M140" t="s">
        <v>733</v>
      </c>
      <c r="N140" t="s">
        <v>67</v>
      </c>
      <c r="O140" t="s">
        <v>734</v>
      </c>
      <c r="P140" t="s">
        <v>735</v>
      </c>
      <c r="Q140" t="s">
        <v>736</v>
      </c>
      <c r="R140" t="s">
        <v>737</v>
      </c>
      <c r="S140" s="5"/>
      <c r="T140" t="s">
        <v>72</v>
      </c>
      <c r="U140" t="s">
        <v>102</v>
      </c>
      <c r="V140" t="s">
        <v>74</v>
      </c>
      <c r="W140" t="s">
        <v>87</v>
      </c>
      <c r="AE140" s="2"/>
      <c r="AF140" s="2"/>
      <c r="AG140" s="2"/>
      <c r="AH140" s="2"/>
      <c r="AK140" t="s">
        <v>738</v>
      </c>
      <c r="AL140" s="2">
        <v>1752400</v>
      </c>
      <c r="AM140" s="2">
        <v>0</v>
      </c>
      <c r="AN140" s="2"/>
      <c r="AO140" s="2">
        <v>0</v>
      </c>
      <c r="AP140" s="2">
        <v>1752400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4"/>
      <c r="AX140" t="s">
        <v>75</v>
      </c>
      <c r="AZ140" t="s">
        <v>739</v>
      </c>
      <c r="BA140" t="s">
        <v>67</v>
      </c>
      <c r="BB140" t="s">
        <v>740</v>
      </c>
      <c r="BC140" t="s">
        <v>223</v>
      </c>
      <c r="BD140" t="s">
        <v>79</v>
      </c>
      <c r="BE140" t="s">
        <v>741</v>
      </c>
      <c r="BF140" s="5">
        <v>46963</v>
      </c>
      <c r="BH140">
        <v>2</v>
      </c>
      <c r="BI140" s="6">
        <v>1685000</v>
      </c>
      <c r="BJ140" s="6">
        <v>48</v>
      </c>
      <c r="BK140" s="6">
        <v>808800</v>
      </c>
      <c r="BL140" s="6">
        <v>876200</v>
      </c>
      <c r="BM140" s="2">
        <v>1752400</v>
      </c>
      <c r="BN140">
        <f>InvoiceTable[[#This Row],[Giảm giá]]*InvoiceTable[[#This Row],[Số lượng]]</f>
        <v>1617600</v>
      </c>
    </row>
    <row r="141" spans="1:66" x14ac:dyDescent="0.25">
      <c r="A141" t="s">
        <v>65</v>
      </c>
      <c r="B141" t="s">
        <v>742</v>
      </c>
      <c r="F141" s="2"/>
      <c r="G141" s="3">
        <v>46015.580913506943</v>
      </c>
      <c r="H141" s="3">
        <v>46015.580913622682</v>
      </c>
      <c r="I141" s="4" t="s">
        <v>743</v>
      </c>
      <c r="J141" t="s">
        <v>67</v>
      </c>
      <c r="K141" t="s">
        <v>67</v>
      </c>
      <c r="L141" t="s">
        <v>630</v>
      </c>
      <c r="M141" t="s">
        <v>631</v>
      </c>
      <c r="N141" t="s">
        <v>632</v>
      </c>
      <c r="O141" t="s">
        <v>633</v>
      </c>
      <c r="P141" t="s">
        <v>634</v>
      </c>
      <c r="S141" s="5"/>
      <c r="T141" t="s">
        <v>72</v>
      </c>
      <c r="U141" t="s">
        <v>87</v>
      </c>
      <c r="V141" t="s">
        <v>74</v>
      </c>
      <c r="W141" t="s">
        <v>87</v>
      </c>
      <c r="AE141" s="2"/>
      <c r="AF141" s="2"/>
      <c r="AG141" s="2"/>
      <c r="AH141" s="2"/>
      <c r="AK141" t="s">
        <v>744</v>
      </c>
      <c r="AL141" s="2">
        <v>294500</v>
      </c>
      <c r="AM141" s="2">
        <v>0</v>
      </c>
      <c r="AN141" s="2"/>
      <c r="AO141" s="2">
        <v>0</v>
      </c>
      <c r="AP141" s="2">
        <v>294500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4"/>
      <c r="AX141" t="s">
        <v>75</v>
      </c>
      <c r="AZ141" t="s">
        <v>745</v>
      </c>
      <c r="BA141" t="s">
        <v>67</v>
      </c>
      <c r="BB141" t="s">
        <v>746</v>
      </c>
      <c r="BC141" t="s">
        <v>204</v>
      </c>
      <c r="BD141" t="s">
        <v>79</v>
      </c>
      <c r="BE141" t="s">
        <v>142</v>
      </c>
      <c r="BF141" s="5">
        <v>46844</v>
      </c>
      <c r="BH141">
        <v>1</v>
      </c>
      <c r="BI141" s="6">
        <v>475000</v>
      </c>
      <c r="BJ141" s="6">
        <v>38</v>
      </c>
      <c r="BK141" s="6">
        <v>180500</v>
      </c>
      <c r="BL141" s="6">
        <v>294500</v>
      </c>
      <c r="BM141" s="2">
        <v>294500</v>
      </c>
      <c r="BN141">
        <f>InvoiceTable[[#This Row],[Giảm giá]]*InvoiceTable[[#This Row],[Số lượng]]</f>
        <v>180500</v>
      </c>
    </row>
    <row r="142" spans="1:66" x14ac:dyDescent="0.25">
      <c r="A142" t="s">
        <v>65</v>
      </c>
      <c r="B142" t="s">
        <v>747</v>
      </c>
      <c r="F142" s="2"/>
      <c r="G142" s="3">
        <v>46015.580480208337</v>
      </c>
      <c r="H142" s="3">
        <v>46015.580457175929</v>
      </c>
      <c r="I142" s="4" t="s">
        <v>96</v>
      </c>
      <c r="J142" t="s">
        <v>67</v>
      </c>
      <c r="K142" t="s">
        <v>67</v>
      </c>
      <c r="L142" t="s">
        <v>630</v>
      </c>
      <c r="M142" t="s">
        <v>631</v>
      </c>
      <c r="N142" t="s">
        <v>632</v>
      </c>
      <c r="O142" t="s">
        <v>633</v>
      </c>
      <c r="P142" t="s">
        <v>634</v>
      </c>
      <c r="S142" s="5"/>
      <c r="T142" t="s">
        <v>72</v>
      </c>
      <c r="U142" t="s">
        <v>87</v>
      </c>
      <c r="V142" t="s">
        <v>74</v>
      </c>
      <c r="W142" t="s">
        <v>87</v>
      </c>
      <c r="AE142" s="2"/>
      <c r="AF142" s="2"/>
      <c r="AG142" s="2"/>
      <c r="AH142" s="2"/>
      <c r="AK142" t="s">
        <v>744</v>
      </c>
      <c r="AL142" s="2">
        <v>2670000</v>
      </c>
      <c r="AM142" s="2">
        <v>0</v>
      </c>
      <c r="AN142" s="2"/>
      <c r="AO142" s="2">
        <v>0</v>
      </c>
      <c r="AP142" s="2">
        <v>2670000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4"/>
      <c r="AX142" t="s">
        <v>75</v>
      </c>
      <c r="AZ142" t="s">
        <v>748</v>
      </c>
      <c r="BA142" t="s">
        <v>67</v>
      </c>
      <c r="BB142" t="s">
        <v>749</v>
      </c>
      <c r="BC142" t="s">
        <v>750</v>
      </c>
      <c r="BD142" t="s">
        <v>79</v>
      </c>
      <c r="BE142" t="s">
        <v>751</v>
      </c>
      <c r="BF142" s="5">
        <v>46625</v>
      </c>
      <c r="BH142">
        <v>1</v>
      </c>
      <c r="BI142" s="6">
        <v>1500000</v>
      </c>
      <c r="BJ142" s="6">
        <v>0</v>
      </c>
      <c r="BK142" s="6">
        <v>450000</v>
      </c>
      <c r="BL142" s="6">
        <v>1050000</v>
      </c>
      <c r="BM142" s="2">
        <v>1050000</v>
      </c>
      <c r="BN142">
        <f>InvoiceTable[[#This Row],[Giảm giá]]*InvoiceTable[[#This Row],[Số lượng]]</f>
        <v>450000</v>
      </c>
    </row>
    <row r="143" spans="1:66" x14ac:dyDescent="0.25">
      <c r="A143" t="s">
        <v>65</v>
      </c>
      <c r="B143" t="s">
        <v>747</v>
      </c>
      <c r="F143" s="2"/>
      <c r="G143" s="3">
        <v>46015.580480208337</v>
      </c>
      <c r="H143" s="3">
        <v>46015.580457175929</v>
      </c>
      <c r="I143" s="4" t="s">
        <v>96</v>
      </c>
      <c r="J143" t="s">
        <v>67</v>
      </c>
      <c r="K143" t="s">
        <v>67</v>
      </c>
      <c r="L143" t="s">
        <v>630</v>
      </c>
      <c r="M143" t="s">
        <v>631</v>
      </c>
      <c r="N143" t="s">
        <v>632</v>
      </c>
      <c r="O143" t="s">
        <v>633</v>
      </c>
      <c r="P143" t="s">
        <v>634</v>
      </c>
      <c r="S143" s="5"/>
      <c r="T143" t="s">
        <v>72</v>
      </c>
      <c r="U143" t="s">
        <v>87</v>
      </c>
      <c r="V143" t="s">
        <v>74</v>
      </c>
      <c r="W143" t="s">
        <v>87</v>
      </c>
      <c r="AE143" s="2"/>
      <c r="AF143" s="2"/>
      <c r="AG143" s="2"/>
      <c r="AH143" s="2"/>
      <c r="AK143" t="s">
        <v>744</v>
      </c>
      <c r="AL143" s="2">
        <v>2670000</v>
      </c>
      <c r="AM143" s="2">
        <v>0</v>
      </c>
      <c r="AN143" s="2"/>
      <c r="AO143" s="2">
        <v>0</v>
      </c>
      <c r="AP143" s="2">
        <v>2670000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4"/>
      <c r="AX143" t="s">
        <v>75</v>
      </c>
      <c r="AZ143" t="s">
        <v>752</v>
      </c>
      <c r="BA143" t="s">
        <v>67</v>
      </c>
      <c r="BB143" t="s">
        <v>753</v>
      </c>
      <c r="BC143" t="s">
        <v>754</v>
      </c>
      <c r="BD143" t="s">
        <v>79</v>
      </c>
      <c r="BE143" t="s">
        <v>378</v>
      </c>
      <c r="BF143" s="5">
        <v>46966</v>
      </c>
      <c r="BH143">
        <v>1</v>
      </c>
      <c r="BI143" s="6">
        <v>2590000</v>
      </c>
      <c r="BJ143" s="6">
        <v>37.450000000000003</v>
      </c>
      <c r="BK143" s="6">
        <v>970000</v>
      </c>
      <c r="BL143" s="6">
        <v>1620000</v>
      </c>
      <c r="BM143" s="2">
        <v>1620000</v>
      </c>
      <c r="BN143">
        <f>InvoiceTable[[#This Row],[Giảm giá]]*InvoiceTable[[#This Row],[Số lượng]]</f>
        <v>970000</v>
      </c>
    </row>
    <row r="144" spans="1:66" x14ac:dyDescent="0.25">
      <c r="A144" t="s">
        <v>65</v>
      </c>
      <c r="B144" t="s">
        <v>755</v>
      </c>
      <c r="F144" s="2"/>
      <c r="G144" s="3">
        <v>46015.577438506945</v>
      </c>
      <c r="H144" s="3">
        <v>46015.577438692133</v>
      </c>
      <c r="I144" s="4" t="s">
        <v>67</v>
      </c>
      <c r="J144" t="s">
        <v>67</v>
      </c>
      <c r="K144" t="s">
        <v>67</v>
      </c>
      <c r="L144" t="s">
        <v>726</v>
      </c>
      <c r="M144" t="s">
        <v>727</v>
      </c>
      <c r="N144" t="s">
        <v>67</v>
      </c>
      <c r="O144" t="s">
        <v>728</v>
      </c>
      <c r="P144" t="s">
        <v>729</v>
      </c>
      <c r="S144" s="5"/>
      <c r="T144" t="s">
        <v>72</v>
      </c>
      <c r="U144" t="s">
        <v>87</v>
      </c>
      <c r="V144" t="s">
        <v>74</v>
      </c>
      <c r="W144" t="s">
        <v>87</v>
      </c>
      <c r="AE144" s="2"/>
      <c r="AF144" s="2"/>
      <c r="AG144" s="2"/>
      <c r="AH144" s="2"/>
      <c r="AK144" t="s">
        <v>756</v>
      </c>
      <c r="AL144" s="2">
        <v>19507400</v>
      </c>
      <c r="AM144" s="2">
        <v>0</v>
      </c>
      <c r="AN144" s="2"/>
      <c r="AO144" s="2">
        <v>0</v>
      </c>
      <c r="AP144" s="2">
        <v>19507400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4"/>
      <c r="AX144" t="s">
        <v>75</v>
      </c>
      <c r="AZ144" t="s">
        <v>757</v>
      </c>
      <c r="BA144" t="s">
        <v>67</v>
      </c>
      <c r="BB144" t="s">
        <v>758</v>
      </c>
      <c r="BC144" t="s">
        <v>759</v>
      </c>
      <c r="BD144" t="s">
        <v>79</v>
      </c>
      <c r="BE144" t="s">
        <v>760</v>
      </c>
      <c r="BF144" s="5">
        <v>46913</v>
      </c>
      <c r="BG144" t="s">
        <v>67</v>
      </c>
      <c r="BH144">
        <v>20</v>
      </c>
      <c r="BI144" s="6">
        <v>864000</v>
      </c>
      <c r="BJ144" s="6">
        <v>47</v>
      </c>
      <c r="BK144" s="6">
        <v>406080</v>
      </c>
      <c r="BL144" s="6">
        <v>457920</v>
      </c>
      <c r="BM144" s="2">
        <v>9158400</v>
      </c>
      <c r="BN144">
        <f>InvoiceTable[[#This Row],[Giảm giá]]*InvoiceTable[[#This Row],[Số lượng]]</f>
        <v>8121600</v>
      </c>
    </row>
    <row r="145" spans="1:66" x14ac:dyDescent="0.25">
      <c r="A145" t="s">
        <v>65</v>
      </c>
      <c r="B145" t="s">
        <v>755</v>
      </c>
      <c r="F145" s="2"/>
      <c r="G145" s="3">
        <v>46015.577438506945</v>
      </c>
      <c r="H145" s="3">
        <v>46015.577438692133</v>
      </c>
      <c r="I145" s="4" t="s">
        <v>67</v>
      </c>
      <c r="J145" t="s">
        <v>67</v>
      </c>
      <c r="K145" t="s">
        <v>67</v>
      </c>
      <c r="L145" t="s">
        <v>726</v>
      </c>
      <c r="M145" t="s">
        <v>727</v>
      </c>
      <c r="N145" t="s">
        <v>67</v>
      </c>
      <c r="O145" t="s">
        <v>728</v>
      </c>
      <c r="P145" t="s">
        <v>729</v>
      </c>
      <c r="S145" s="5"/>
      <c r="T145" t="s">
        <v>72</v>
      </c>
      <c r="U145" t="s">
        <v>87</v>
      </c>
      <c r="V145" t="s">
        <v>74</v>
      </c>
      <c r="W145" t="s">
        <v>87</v>
      </c>
      <c r="AE145" s="2"/>
      <c r="AF145" s="2"/>
      <c r="AG145" s="2"/>
      <c r="AH145" s="2"/>
      <c r="AK145" t="s">
        <v>756</v>
      </c>
      <c r="AL145" s="2">
        <v>19507400</v>
      </c>
      <c r="AM145" s="2">
        <v>0</v>
      </c>
      <c r="AN145" s="2"/>
      <c r="AO145" s="2">
        <v>0</v>
      </c>
      <c r="AP145" s="2">
        <v>19507400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4"/>
      <c r="AX145" t="s">
        <v>75</v>
      </c>
      <c r="AZ145" t="s">
        <v>761</v>
      </c>
      <c r="BB145" t="s">
        <v>762</v>
      </c>
      <c r="BC145" t="s">
        <v>251</v>
      </c>
      <c r="BD145" t="s">
        <v>79</v>
      </c>
      <c r="BE145" t="s">
        <v>715</v>
      </c>
      <c r="BF145" s="5">
        <v>46631</v>
      </c>
      <c r="BH145">
        <v>25</v>
      </c>
      <c r="BI145" s="6">
        <v>385000</v>
      </c>
      <c r="BJ145" s="6">
        <v>44</v>
      </c>
      <c r="BK145" s="6">
        <v>169400</v>
      </c>
      <c r="BL145" s="6">
        <v>215600</v>
      </c>
      <c r="BM145" s="2">
        <v>5390000</v>
      </c>
      <c r="BN145">
        <f>InvoiceTable[[#This Row],[Giảm giá]]*InvoiceTable[[#This Row],[Số lượng]]</f>
        <v>4235000</v>
      </c>
    </row>
    <row r="146" spans="1:66" x14ac:dyDescent="0.25">
      <c r="A146" t="s">
        <v>65</v>
      </c>
      <c r="B146" t="s">
        <v>755</v>
      </c>
      <c r="F146" s="2"/>
      <c r="G146" s="3">
        <v>46015.577438506945</v>
      </c>
      <c r="H146" s="3">
        <v>46015.577438692133</v>
      </c>
      <c r="I146" s="4" t="s">
        <v>67</v>
      </c>
      <c r="J146" t="s">
        <v>67</v>
      </c>
      <c r="K146" t="s">
        <v>67</v>
      </c>
      <c r="L146" t="s">
        <v>726</v>
      </c>
      <c r="M146" t="s">
        <v>727</v>
      </c>
      <c r="N146" t="s">
        <v>67</v>
      </c>
      <c r="O146" t="s">
        <v>728</v>
      </c>
      <c r="P146" t="s">
        <v>729</v>
      </c>
      <c r="S146" s="5"/>
      <c r="T146" t="s">
        <v>72</v>
      </c>
      <c r="U146" t="s">
        <v>87</v>
      </c>
      <c r="V146" t="s">
        <v>74</v>
      </c>
      <c r="W146" t="s">
        <v>87</v>
      </c>
      <c r="AE146" s="2"/>
      <c r="AF146" s="2"/>
      <c r="AG146" s="2"/>
      <c r="AH146" s="2"/>
      <c r="AK146" t="s">
        <v>756</v>
      </c>
      <c r="AL146" s="2">
        <v>19507400</v>
      </c>
      <c r="AM146" s="2">
        <v>0</v>
      </c>
      <c r="AN146" s="2"/>
      <c r="AO146" s="2">
        <v>0</v>
      </c>
      <c r="AP146" s="2">
        <v>19507400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4"/>
      <c r="AX146" t="s">
        <v>75</v>
      </c>
      <c r="AZ146" t="s">
        <v>763</v>
      </c>
      <c r="BA146" t="s">
        <v>67</v>
      </c>
      <c r="BB146" t="s">
        <v>764</v>
      </c>
      <c r="BC146" t="s">
        <v>251</v>
      </c>
      <c r="BD146" t="s">
        <v>79</v>
      </c>
      <c r="BE146" t="s">
        <v>142</v>
      </c>
      <c r="BF146" s="5">
        <v>46844</v>
      </c>
      <c r="BG146" t="s">
        <v>67</v>
      </c>
      <c r="BH146">
        <v>15</v>
      </c>
      <c r="BI146" s="6">
        <v>435000</v>
      </c>
      <c r="BJ146" s="6">
        <v>44</v>
      </c>
      <c r="BK146" s="6">
        <v>191400</v>
      </c>
      <c r="BL146" s="6">
        <v>243600</v>
      </c>
      <c r="BM146" s="2">
        <v>3654000</v>
      </c>
      <c r="BN146">
        <f>InvoiceTable[[#This Row],[Giảm giá]]*InvoiceTable[[#This Row],[Số lượng]]</f>
        <v>2871000</v>
      </c>
    </row>
    <row r="147" spans="1:66" x14ac:dyDescent="0.25">
      <c r="A147" t="s">
        <v>65</v>
      </c>
      <c r="B147" t="s">
        <v>755</v>
      </c>
      <c r="F147" s="2"/>
      <c r="G147" s="3">
        <v>46015.577438506945</v>
      </c>
      <c r="H147" s="3">
        <v>46015.577438692133</v>
      </c>
      <c r="I147" s="4" t="s">
        <v>67</v>
      </c>
      <c r="J147" t="s">
        <v>67</v>
      </c>
      <c r="K147" t="s">
        <v>67</v>
      </c>
      <c r="L147" t="s">
        <v>726</v>
      </c>
      <c r="M147" t="s">
        <v>727</v>
      </c>
      <c r="N147" t="s">
        <v>67</v>
      </c>
      <c r="O147" t="s">
        <v>728</v>
      </c>
      <c r="P147" t="s">
        <v>729</v>
      </c>
      <c r="S147" s="5"/>
      <c r="T147" t="s">
        <v>72</v>
      </c>
      <c r="U147" t="s">
        <v>87</v>
      </c>
      <c r="V147" t="s">
        <v>74</v>
      </c>
      <c r="W147" t="s">
        <v>87</v>
      </c>
      <c r="AE147" s="2"/>
      <c r="AF147" s="2"/>
      <c r="AG147" s="2"/>
      <c r="AH147" s="2"/>
      <c r="AK147" t="s">
        <v>756</v>
      </c>
      <c r="AL147" s="2">
        <v>19507400</v>
      </c>
      <c r="AM147" s="2">
        <v>0</v>
      </c>
      <c r="AN147" s="2"/>
      <c r="AO147" s="2">
        <v>0</v>
      </c>
      <c r="AP147" s="2">
        <v>19507400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4"/>
      <c r="AX147" t="s">
        <v>75</v>
      </c>
      <c r="AZ147" t="s">
        <v>763</v>
      </c>
      <c r="BA147" t="s">
        <v>67</v>
      </c>
      <c r="BB147" t="s">
        <v>764</v>
      </c>
      <c r="BC147" t="s">
        <v>251</v>
      </c>
      <c r="BD147" t="s">
        <v>79</v>
      </c>
      <c r="BE147" t="s">
        <v>142</v>
      </c>
      <c r="BF147" s="5">
        <v>46844</v>
      </c>
      <c r="BG147" t="s">
        <v>67</v>
      </c>
      <c r="BH147">
        <v>3</v>
      </c>
      <c r="BI147" s="6">
        <v>435000</v>
      </c>
      <c r="BJ147" s="6">
        <v>0</v>
      </c>
      <c r="BK147" s="6">
        <v>0</v>
      </c>
      <c r="BL147" s="6">
        <v>435000</v>
      </c>
      <c r="BM147" s="2">
        <v>1305000</v>
      </c>
      <c r="BN147">
        <f>InvoiceTable[[#This Row],[Giảm giá]]*InvoiceTable[[#This Row],[Số lượng]]</f>
        <v>0</v>
      </c>
    </row>
    <row r="148" spans="1:66" x14ac:dyDescent="0.25">
      <c r="A148" t="s">
        <v>65</v>
      </c>
      <c r="B148" t="s">
        <v>765</v>
      </c>
      <c r="F148" s="2"/>
      <c r="G148" s="3">
        <v>46015.552700729168</v>
      </c>
      <c r="H148" s="3">
        <v>46015.552701076391</v>
      </c>
      <c r="I148" s="4" t="s">
        <v>67</v>
      </c>
      <c r="J148" t="s">
        <v>67</v>
      </c>
      <c r="K148" t="s">
        <v>67</v>
      </c>
      <c r="L148" t="s">
        <v>766</v>
      </c>
      <c r="M148" t="s">
        <v>767</v>
      </c>
      <c r="N148" t="s">
        <v>67</v>
      </c>
      <c r="Q148" t="s">
        <v>67</v>
      </c>
      <c r="R148" t="s">
        <v>67</v>
      </c>
      <c r="S148" s="5"/>
      <c r="T148" t="s">
        <v>72</v>
      </c>
      <c r="U148" t="s">
        <v>87</v>
      </c>
      <c r="V148" t="s">
        <v>74</v>
      </c>
      <c r="W148" t="s">
        <v>87</v>
      </c>
      <c r="AE148" s="2"/>
      <c r="AF148" s="2"/>
      <c r="AG148" s="2"/>
      <c r="AH148" s="2"/>
      <c r="AL148" s="2">
        <v>425150</v>
      </c>
      <c r="AM148" s="2">
        <v>0</v>
      </c>
      <c r="AN148" s="2"/>
      <c r="AO148" s="2">
        <v>0</v>
      </c>
      <c r="AP148" s="2">
        <v>425150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4"/>
      <c r="AX148" t="s">
        <v>75</v>
      </c>
      <c r="AZ148" t="s">
        <v>768</v>
      </c>
      <c r="BA148" t="s">
        <v>67</v>
      </c>
      <c r="BB148" t="s">
        <v>769</v>
      </c>
      <c r="BC148" t="s">
        <v>770</v>
      </c>
      <c r="BD148" t="s">
        <v>79</v>
      </c>
      <c r="BE148" t="s">
        <v>80</v>
      </c>
      <c r="BF148" s="5">
        <v>47300</v>
      </c>
      <c r="BH148">
        <v>1</v>
      </c>
      <c r="BI148" s="6">
        <v>374000</v>
      </c>
      <c r="BJ148" s="6">
        <v>45</v>
      </c>
      <c r="BK148" s="6">
        <v>168300</v>
      </c>
      <c r="BL148" s="6">
        <v>205700</v>
      </c>
      <c r="BM148" s="2">
        <v>205700</v>
      </c>
      <c r="BN148">
        <f>InvoiceTable[[#This Row],[Giảm giá]]*InvoiceTable[[#This Row],[Số lượng]]</f>
        <v>168300</v>
      </c>
    </row>
    <row r="149" spans="1:66" x14ac:dyDescent="0.25">
      <c r="A149" t="s">
        <v>65</v>
      </c>
      <c r="B149" t="s">
        <v>765</v>
      </c>
      <c r="F149" s="2"/>
      <c r="G149" s="3">
        <v>46015.552700729168</v>
      </c>
      <c r="H149" s="3">
        <v>46015.552701076391</v>
      </c>
      <c r="I149" s="4" t="s">
        <v>67</v>
      </c>
      <c r="J149" t="s">
        <v>67</v>
      </c>
      <c r="K149" t="s">
        <v>67</v>
      </c>
      <c r="L149" t="s">
        <v>766</v>
      </c>
      <c r="M149" t="s">
        <v>767</v>
      </c>
      <c r="N149" t="s">
        <v>67</v>
      </c>
      <c r="Q149" t="s">
        <v>67</v>
      </c>
      <c r="R149" t="s">
        <v>67</v>
      </c>
      <c r="S149" s="5"/>
      <c r="T149" t="s">
        <v>72</v>
      </c>
      <c r="U149" t="s">
        <v>87</v>
      </c>
      <c r="V149" t="s">
        <v>74</v>
      </c>
      <c r="W149" t="s">
        <v>87</v>
      </c>
      <c r="AE149" s="2"/>
      <c r="AF149" s="2"/>
      <c r="AG149" s="2"/>
      <c r="AH149" s="2"/>
      <c r="AL149" s="2">
        <v>425150</v>
      </c>
      <c r="AM149" s="2">
        <v>0</v>
      </c>
      <c r="AN149" s="2"/>
      <c r="AO149" s="2">
        <v>0</v>
      </c>
      <c r="AP149" s="2">
        <v>425150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4"/>
      <c r="AX149" t="s">
        <v>75</v>
      </c>
      <c r="AZ149" t="s">
        <v>771</v>
      </c>
      <c r="BA149" t="s">
        <v>67</v>
      </c>
      <c r="BB149" t="s">
        <v>772</v>
      </c>
      <c r="BC149" t="s">
        <v>770</v>
      </c>
      <c r="BD149" t="s">
        <v>79</v>
      </c>
      <c r="BE149" t="s">
        <v>773</v>
      </c>
      <c r="BF149" s="5">
        <v>47360</v>
      </c>
      <c r="BH149">
        <v>1</v>
      </c>
      <c r="BI149" s="6">
        <v>399000</v>
      </c>
      <c r="BJ149" s="6">
        <v>45</v>
      </c>
      <c r="BK149" s="6">
        <v>179550</v>
      </c>
      <c r="BL149" s="6">
        <v>219450</v>
      </c>
      <c r="BM149" s="2">
        <v>219450</v>
      </c>
      <c r="BN149">
        <f>InvoiceTable[[#This Row],[Giảm giá]]*InvoiceTable[[#This Row],[Số lượng]]</f>
        <v>179550</v>
      </c>
    </row>
    <row r="150" spans="1:66" x14ac:dyDescent="0.25">
      <c r="A150" t="s">
        <v>65</v>
      </c>
      <c r="B150" t="s">
        <v>774</v>
      </c>
      <c r="F150" s="2"/>
      <c r="G150" s="3">
        <v>46015.551869479168</v>
      </c>
      <c r="H150" s="3">
        <v>46015.55184641204</v>
      </c>
      <c r="I150" s="4" t="s">
        <v>96</v>
      </c>
      <c r="J150" t="s">
        <v>67</v>
      </c>
      <c r="K150" t="s">
        <v>67</v>
      </c>
      <c r="L150" t="s">
        <v>766</v>
      </c>
      <c r="M150" t="s">
        <v>767</v>
      </c>
      <c r="N150" t="s">
        <v>67</v>
      </c>
      <c r="Q150" t="s">
        <v>67</v>
      </c>
      <c r="R150" t="s">
        <v>67</v>
      </c>
      <c r="S150" s="5"/>
      <c r="T150" t="s">
        <v>72</v>
      </c>
      <c r="U150" t="s">
        <v>87</v>
      </c>
      <c r="V150" t="s">
        <v>74</v>
      </c>
      <c r="W150" t="s">
        <v>87</v>
      </c>
      <c r="AE150" s="2"/>
      <c r="AF150" s="2"/>
      <c r="AG150" s="2"/>
      <c r="AH150" s="2"/>
      <c r="AL150" s="2">
        <v>2162560</v>
      </c>
      <c r="AM150" s="2">
        <v>0</v>
      </c>
      <c r="AN150" s="2"/>
      <c r="AO150" s="2">
        <v>0</v>
      </c>
      <c r="AP150" s="2">
        <v>2162560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4"/>
      <c r="AX150" t="s">
        <v>75</v>
      </c>
      <c r="AZ150" t="s">
        <v>775</v>
      </c>
      <c r="BA150" t="s">
        <v>67</v>
      </c>
      <c r="BB150" t="s">
        <v>776</v>
      </c>
      <c r="BC150" t="s">
        <v>327</v>
      </c>
      <c r="BD150" t="s">
        <v>79</v>
      </c>
      <c r="BE150" t="s">
        <v>142</v>
      </c>
      <c r="BF150" s="5">
        <v>46844</v>
      </c>
      <c r="BH150">
        <v>1</v>
      </c>
      <c r="BI150" s="6">
        <v>1200000</v>
      </c>
      <c r="BJ150" s="6">
        <v>0</v>
      </c>
      <c r="BK150" s="6">
        <v>800000</v>
      </c>
      <c r="BL150" s="6">
        <v>400000</v>
      </c>
      <c r="BM150" s="2">
        <v>400000</v>
      </c>
      <c r="BN150">
        <f>InvoiceTable[[#This Row],[Giảm giá]]*InvoiceTable[[#This Row],[Số lượng]]</f>
        <v>800000</v>
      </c>
    </row>
    <row r="151" spans="1:66" x14ac:dyDescent="0.25">
      <c r="A151" t="s">
        <v>65</v>
      </c>
      <c r="B151" t="s">
        <v>774</v>
      </c>
      <c r="F151" s="2"/>
      <c r="G151" s="3">
        <v>46015.551869479168</v>
      </c>
      <c r="H151" s="3">
        <v>46015.55184641204</v>
      </c>
      <c r="I151" s="4" t="s">
        <v>96</v>
      </c>
      <c r="J151" t="s">
        <v>67</v>
      </c>
      <c r="K151" t="s">
        <v>67</v>
      </c>
      <c r="L151" t="s">
        <v>766</v>
      </c>
      <c r="M151" t="s">
        <v>767</v>
      </c>
      <c r="N151" t="s">
        <v>67</v>
      </c>
      <c r="Q151" t="s">
        <v>67</v>
      </c>
      <c r="R151" t="s">
        <v>67</v>
      </c>
      <c r="S151" s="5"/>
      <c r="T151" t="s">
        <v>72</v>
      </c>
      <c r="U151" t="s">
        <v>87</v>
      </c>
      <c r="V151" t="s">
        <v>74</v>
      </c>
      <c r="W151" t="s">
        <v>87</v>
      </c>
      <c r="AE151" s="2"/>
      <c r="AF151" s="2"/>
      <c r="AG151" s="2"/>
      <c r="AH151" s="2"/>
      <c r="AL151" s="2">
        <v>2162560</v>
      </c>
      <c r="AM151" s="2">
        <v>0</v>
      </c>
      <c r="AN151" s="2"/>
      <c r="AO151" s="2">
        <v>0</v>
      </c>
      <c r="AP151" s="2">
        <v>2162560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4"/>
      <c r="AX151" t="s">
        <v>75</v>
      </c>
      <c r="AZ151" t="s">
        <v>777</v>
      </c>
      <c r="BA151" t="s">
        <v>67</v>
      </c>
      <c r="BB151" t="s">
        <v>778</v>
      </c>
      <c r="BC151" t="s">
        <v>779</v>
      </c>
      <c r="BD151" t="s">
        <v>79</v>
      </c>
      <c r="BE151" t="s">
        <v>117</v>
      </c>
      <c r="BF151" s="5">
        <v>46569</v>
      </c>
      <c r="BH151">
        <v>1</v>
      </c>
      <c r="BI151" s="6">
        <v>2937600</v>
      </c>
      <c r="BJ151" s="6">
        <v>40</v>
      </c>
      <c r="BK151" s="6">
        <v>1175040</v>
      </c>
      <c r="BL151" s="6">
        <v>1762560</v>
      </c>
      <c r="BM151" s="2">
        <v>1762560</v>
      </c>
      <c r="BN151">
        <f>InvoiceTable[[#This Row],[Giảm giá]]*InvoiceTable[[#This Row],[Số lượng]]</f>
        <v>1175040</v>
      </c>
    </row>
    <row r="152" spans="1:66" x14ac:dyDescent="0.25">
      <c r="A152" t="s">
        <v>65</v>
      </c>
      <c r="B152" t="s">
        <v>780</v>
      </c>
      <c r="F152" s="2"/>
      <c r="G152" s="3">
        <v>46015.494769444442</v>
      </c>
      <c r="H152" s="3">
        <v>46015.494746446762</v>
      </c>
      <c r="I152" s="4" t="s">
        <v>96</v>
      </c>
      <c r="J152" t="s">
        <v>781</v>
      </c>
      <c r="K152" t="s">
        <v>67</v>
      </c>
      <c r="L152" t="s">
        <v>766</v>
      </c>
      <c r="M152" t="s">
        <v>767</v>
      </c>
      <c r="N152" t="s">
        <v>67</v>
      </c>
      <c r="Q152" t="s">
        <v>67</v>
      </c>
      <c r="R152" t="s">
        <v>67</v>
      </c>
      <c r="S152" s="5"/>
      <c r="T152" t="s">
        <v>72</v>
      </c>
      <c r="U152" t="s">
        <v>87</v>
      </c>
      <c r="V152" t="s">
        <v>74</v>
      </c>
      <c r="W152" t="s">
        <v>87</v>
      </c>
      <c r="AE152" s="2"/>
      <c r="AF152" s="2"/>
      <c r="AG152" s="2"/>
      <c r="AH152" s="2"/>
      <c r="AK152" t="s">
        <v>67</v>
      </c>
      <c r="AL152" s="2">
        <v>2750000</v>
      </c>
      <c r="AM152" s="2">
        <v>0</v>
      </c>
      <c r="AN152" s="2"/>
      <c r="AO152" s="2">
        <v>0</v>
      </c>
      <c r="AP152" s="2">
        <v>2750000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4"/>
      <c r="AX152" t="s">
        <v>75</v>
      </c>
      <c r="AZ152" t="s">
        <v>782</v>
      </c>
      <c r="BA152" t="s">
        <v>67</v>
      </c>
      <c r="BB152" t="s">
        <v>783</v>
      </c>
      <c r="BC152" t="s">
        <v>784</v>
      </c>
      <c r="BD152" t="s">
        <v>79</v>
      </c>
      <c r="BE152" t="s">
        <v>785</v>
      </c>
      <c r="BF152" s="5">
        <v>46507</v>
      </c>
      <c r="BG152" t="s">
        <v>67</v>
      </c>
      <c r="BH152">
        <v>1</v>
      </c>
      <c r="BI152" s="6">
        <v>3550000</v>
      </c>
      <c r="BJ152" s="6">
        <v>0</v>
      </c>
      <c r="BK152" s="6">
        <v>800000</v>
      </c>
      <c r="BL152" s="6">
        <v>2750000</v>
      </c>
      <c r="BM152" s="2">
        <v>2750000</v>
      </c>
      <c r="BN152">
        <f>InvoiceTable[[#This Row],[Giảm giá]]*InvoiceTable[[#This Row],[Số lượng]]</f>
        <v>800000</v>
      </c>
    </row>
    <row r="153" spans="1:66" x14ac:dyDescent="0.25">
      <c r="A153" t="s">
        <v>65</v>
      </c>
      <c r="B153" t="s">
        <v>786</v>
      </c>
      <c r="F153" s="2"/>
      <c r="G153" s="3">
        <v>46015.47764409722</v>
      </c>
      <c r="H153" s="3">
        <v>46015.477644641207</v>
      </c>
      <c r="I153" s="4" t="s">
        <v>67</v>
      </c>
      <c r="J153" t="s">
        <v>67</v>
      </c>
      <c r="K153" t="s">
        <v>67</v>
      </c>
      <c r="L153" t="s">
        <v>647</v>
      </c>
      <c r="M153" t="s">
        <v>648</v>
      </c>
      <c r="N153" t="s">
        <v>67</v>
      </c>
      <c r="O153" t="s">
        <v>649</v>
      </c>
      <c r="P153" t="s">
        <v>650</v>
      </c>
      <c r="S153" s="5"/>
      <c r="T153" t="s">
        <v>72</v>
      </c>
      <c r="U153" t="s">
        <v>87</v>
      </c>
      <c r="V153" t="s">
        <v>74</v>
      </c>
      <c r="W153" t="s">
        <v>87</v>
      </c>
      <c r="AE153" s="2"/>
      <c r="AF153" s="2"/>
      <c r="AG153" s="2"/>
      <c r="AH153" s="2"/>
      <c r="AL153" s="2">
        <v>9540000</v>
      </c>
      <c r="AM153" s="2">
        <v>0</v>
      </c>
      <c r="AN153" s="2"/>
      <c r="AO153" s="2">
        <v>0</v>
      </c>
      <c r="AP153" s="2">
        <v>9540000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4"/>
      <c r="AX153" t="s">
        <v>75</v>
      </c>
      <c r="AZ153" t="s">
        <v>486</v>
      </c>
      <c r="BA153" t="s">
        <v>67</v>
      </c>
      <c r="BB153" t="s">
        <v>487</v>
      </c>
      <c r="BC153" t="s">
        <v>485</v>
      </c>
      <c r="BD153" t="s">
        <v>79</v>
      </c>
      <c r="BE153" t="s">
        <v>488</v>
      </c>
      <c r="BF153" s="5">
        <v>46647</v>
      </c>
      <c r="BH153">
        <v>30</v>
      </c>
      <c r="BI153" s="6">
        <v>600000</v>
      </c>
      <c r="BJ153" s="6">
        <v>47</v>
      </c>
      <c r="BK153" s="6">
        <v>282000</v>
      </c>
      <c r="BL153" s="6">
        <v>318000</v>
      </c>
      <c r="BM153" s="2">
        <v>9540000</v>
      </c>
      <c r="BN153">
        <f>InvoiceTable[[#This Row],[Giảm giá]]*InvoiceTable[[#This Row],[Số lượng]]</f>
        <v>8460000</v>
      </c>
    </row>
    <row r="154" spans="1:66" x14ac:dyDescent="0.25">
      <c r="A154" t="s">
        <v>65</v>
      </c>
      <c r="B154" t="s">
        <v>787</v>
      </c>
      <c r="F154" s="2"/>
      <c r="G154" s="3">
        <v>46015.475466631942</v>
      </c>
      <c r="H154" s="3">
        <v>46015.475455208332</v>
      </c>
      <c r="I154" s="4" t="s">
        <v>686</v>
      </c>
      <c r="J154" t="s">
        <v>788</v>
      </c>
      <c r="K154" t="s">
        <v>67</v>
      </c>
      <c r="L154" t="s">
        <v>789</v>
      </c>
      <c r="M154" t="s">
        <v>790</v>
      </c>
      <c r="N154" t="s">
        <v>67</v>
      </c>
      <c r="O154" t="s">
        <v>791</v>
      </c>
      <c r="P154" t="s">
        <v>792</v>
      </c>
      <c r="Q154" t="s">
        <v>67</v>
      </c>
      <c r="R154" t="s">
        <v>67</v>
      </c>
      <c r="S154" s="5"/>
      <c r="T154" t="s">
        <v>72</v>
      </c>
      <c r="U154" t="s">
        <v>102</v>
      </c>
      <c r="V154" t="s">
        <v>74</v>
      </c>
      <c r="W154" t="s">
        <v>87</v>
      </c>
      <c r="AE154" s="2"/>
      <c r="AF154" s="2"/>
      <c r="AG154" s="2"/>
      <c r="AH154" s="2"/>
      <c r="AK154" t="s">
        <v>793</v>
      </c>
      <c r="AL154" s="2">
        <v>2004000</v>
      </c>
      <c r="AM154" s="2">
        <v>0</v>
      </c>
      <c r="AN154" s="2"/>
      <c r="AO154" s="2">
        <v>0</v>
      </c>
      <c r="AP154" s="2">
        <v>2004000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4"/>
      <c r="AX154" t="s">
        <v>75</v>
      </c>
      <c r="AZ154" t="s">
        <v>483</v>
      </c>
      <c r="BA154" t="s">
        <v>67</v>
      </c>
      <c r="BB154" t="s">
        <v>484</v>
      </c>
      <c r="BC154" t="s">
        <v>485</v>
      </c>
      <c r="BD154" t="s">
        <v>79</v>
      </c>
      <c r="BE154" t="s">
        <v>117</v>
      </c>
      <c r="BF154" s="5">
        <v>46569</v>
      </c>
      <c r="BG154" t="s">
        <v>67</v>
      </c>
      <c r="BH154">
        <v>2</v>
      </c>
      <c r="BI154" s="6">
        <v>600000</v>
      </c>
      <c r="BJ154" s="6">
        <v>38</v>
      </c>
      <c r="BK154" s="6">
        <v>228000</v>
      </c>
      <c r="BL154" s="6">
        <v>372000</v>
      </c>
      <c r="BM154" s="2">
        <v>744000</v>
      </c>
      <c r="BN154">
        <f>InvoiceTable[[#This Row],[Giảm giá]]*InvoiceTable[[#This Row],[Số lượng]]</f>
        <v>456000</v>
      </c>
    </row>
    <row r="155" spans="1:66" x14ac:dyDescent="0.25">
      <c r="A155" t="s">
        <v>65</v>
      </c>
      <c r="B155" t="s">
        <v>787</v>
      </c>
      <c r="F155" s="2"/>
      <c r="G155" s="3">
        <v>46015.475466631942</v>
      </c>
      <c r="H155" s="3">
        <v>46015.475455208332</v>
      </c>
      <c r="I155" s="4" t="s">
        <v>686</v>
      </c>
      <c r="J155" t="s">
        <v>788</v>
      </c>
      <c r="K155" t="s">
        <v>67</v>
      </c>
      <c r="L155" t="s">
        <v>789</v>
      </c>
      <c r="M155" t="s">
        <v>790</v>
      </c>
      <c r="N155" t="s">
        <v>67</v>
      </c>
      <c r="O155" t="s">
        <v>791</v>
      </c>
      <c r="P155" t="s">
        <v>792</v>
      </c>
      <c r="Q155" t="s">
        <v>67</v>
      </c>
      <c r="R155" t="s">
        <v>67</v>
      </c>
      <c r="S155" s="5"/>
      <c r="T155" t="s">
        <v>72</v>
      </c>
      <c r="U155" t="s">
        <v>102</v>
      </c>
      <c r="V155" t="s">
        <v>74</v>
      </c>
      <c r="W155" t="s">
        <v>87</v>
      </c>
      <c r="AE155" s="2"/>
      <c r="AF155" s="2"/>
      <c r="AG155" s="2"/>
      <c r="AH155" s="2"/>
      <c r="AK155" t="s">
        <v>793</v>
      </c>
      <c r="AL155" s="2">
        <v>2004000</v>
      </c>
      <c r="AM155" s="2">
        <v>0</v>
      </c>
      <c r="AN155" s="2"/>
      <c r="AO155" s="2">
        <v>0</v>
      </c>
      <c r="AP155" s="2">
        <v>2004000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4"/>
      <c r="AX155" t="s">
        <v>75</v>
      </c>
      <c r="AZ155" t="s">
        <v>124</v>
      </c>
      <c r="BA155" t="s">
        <v>67</v>
      </c>
      <c r="BB155" t="s">
        <v>125</v>
      </c>
      <c r="BC155" t="s">
        <v>126</v>
      </c>
      <c r="BD155" t="s">
        <v>79</v>
      </c>
      <c r="BE155" t="s">
        <v>127</v>
      </c>
      <c r="BF155" s="5">
        <v>46683</v>
      </c>
      <c r="BG155" t="s">
        <v>67</v>
      </c>
      <c r="BH155">
        <v>2</v>
      </c>
      <c r="BI155" s="6">
        <v>1200000</v>
      </c>
      <c r="BJ155" s="6">
        <v>0</v>
      </c>
      <c r="BK155" s="6">
        <v>570000</v>
      </c>
      <c r="BL155" s="6">
        <v>630000</v>
      </c>
      <c r="BM155" s="2">
        <v>1260000</v>
      </c>
      <c r="BN155">
        <f>InvoiceTable[[#This Row],[Giảm giá]]*InvoiceTable[[#This Row],[Số lượng]]</f>
        <v>1140000</v>
      </c>
    </row>
    <row r="156" spans="1:66" x14ac:dyDescent="0.25">
      <c r="A156" t="s">
        <v>65</v>
      </c>
      <c r="B156" t="s">
        <v>794</v>
      </c>
      <c r="F156" s="2"/>
      <c r="G156" s="3">
        <v>46015.455576423614</v>
      </c>
      <c r="H156" s="3">
        <v>46015.455576585649</v>
      </c>
      <c r="I156" s="4" t="s">
        <v>67</v>
      </c>
      <c r="J156" t="s">
        <v>795</v>
      </c>
      <c r="K156" t="s">
        <v>67</v>
      </c>
      <c r="L156" t="s">
        <v>796</v>
      </c>
      <c r="M156" t="s">
        <v>797</v>
      </c>
      <c r="N156" t="s">
        <v>67</v>
      </c>
      <c r="O156" t="s">
        <v>798</v>
      </c>
      <c r="P156" t="s">
        <v>799</v>
      </c>
      <c r="Q156" t="s">
        <v>800</v>
      </c>
      <c r="R156" t="s">
        <v>801</v>
      </c>
      <c r="S156" s="5"/>
      <c r="T156" t="s">
        <v>72</v>
      </c>
      <c r="U156" t="s">
        <v>73</v>
      </c>
      <c r="V156" t="s">
        <v>74</v>
      </c>
      <c r="W156" t="s">
        <v>87</v>
      </c>
      <c r="AE156" s="2"/>
      <c r="AF156" s="2"/>
      <c r="AG156" s="2"/>
      <c r="AH156" s="2"/>
      <c r="AK156" t="s">
        <v>258</v>
      </c>
      <c r="AL156" s="2">
        <v>680400</v>
      </c>
      <c r="AM156" s="2">
        <v>0</v>
      </c>
      <c r="AN156" s="2"/>
      <c r="AO156" s="2">
        <v>0</v>
      </c>
      <c r="AP156" s="2">
        <v>680400</v>
      </c>
      <c r="AQ156" s="2">
        <v>680400</v>
      </c>
      <c r="AR156" s="2">
        <v>0</v>
      </c>
      <c r="AS156" s="2">
        <v>0</v>
      </c>
      <c r="AT156" s="2">
        <v>0</v>
      </c>
      <c r="AU156" s="2">
        <v>680400</v>
      </c>
      <c r="AV156" s="2">
        <v>0</v>
      </c>
      <c r="AW156" s="4"/>
      <c r="AX156" t="s">
        <v>75</v>
      </c>
      <c r="AZ156" t="s">
        <v>802</v>
      </c>
      <c r="BA156" t="s">
        <v>67</v>
      </c>
      <c r="BB156" t="s">
        <v>803</v>
      </c>
      <c r="BC156" t="s">
        <v>804</v>
      </c>
      <c r="BD156" t="s">
        <v>79</v>
      </c>
      <c r="BE156" t="s">
        <v>159</v>
      </c>
      <c r="BF156" s="5">
        <v>46478</v>
      </c>
      <c r="BH156">
        <v>2</v>
      </c>
      <c r="BI156" s="6">
        <v>486000</v>
      </c>
      <c r="BJ156" s="6">
        <v>30</v>
      </c>
      <c r="BK156" s="6">
        <v>145800</v>
      </c>
      <c r="BL156" s="6">
        <v>340200</v>
      </c>
      <c r="BM156" s="2">
        <v>680400</v>
      </c>
      <c r="BN156">
        <f>InvoiceTable[[#This Row],[Giảm giá]]*InvoiceTable[[#This Row],[Số lượng]]</f>
        <v>291600</v>
      </c>
    </row>
    <row r="157" spans="1:66" x14ac:dyDescent="0.25">
      <c r="A157" t="s">
        <v>65</v>
      </c>
      <c r="B157" t="s">
        <v>805</v>
      </c>
      <c r="F157" s="2"/>
      <c r="G157" s="3">
        <v>46015.454927164355</v>
      </c>
      <c r="H157" s="3">
        <v>46015.454927511571</v>
      </c>
      <c r="I157" s="4" t="s">
        <v>67</v>
      </c>
      <c r="J157" t="s">
        <v>67</v>
      </c>
      <c r="K157" t="s">
        <v>67</v>
      </c>
      <c r="L157" t="s">
        <v>647</v>
      </c>
      <c r="M157" t="s">
        <v>648</v>
      </c>
      <c r="N157" t="s">
        <v>67</v>
      </c>
      <c r="O157" t="s">
        <v>649</v>
      </c>
      <c r="P157" t="s">
        <v>650</v>
      </c>
      <c r="S157" s="5"/>
      <c r="T157" t="s">
        <v>72</v>
      </c>
      <c r="U157" t="s">
        <v>87</v>
      </c>
      <c r="V157" t="s">
        <v>74</v>
      </c>
      <c r="W157" t="s">
        <v>87</v>
      </c>
      <c r="AE157" s="2"/>
      <c r="AF157" s="2"/>
      <c r="AG157" s="2"/>
      <c r="AH157" s="2"/>
      <c r="AL157" s="2">
        <v>29000000</v>
      </c>
      <c r="AM157" s="2">
        <v>14500000</v>
      </c>
      <c r="AN157" s="2"/>
      <c r="AO157" s="2">
        <v>0</v>
      </c>
      <c r="AP157" s="2">
        <v>14500000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4"/>
      <c r="AX157" t="s">
        <v>75</v>
      </c>
      <c r="AZ157" t="s">
        <v>806</v>
      </c>
      <c r="BA157" t="s">
        <v>67</v>
      </c>
      <c r="BB157" t="s">
        <v>807</v>
      </c>
      <c r="BC157" t="s">
        <v>78</v>
      </c>
      <c r="BD157" t="s">
        <v>79</v>
      </c>
      <c r="BE157" t="s">
        <v>188</v>
      </c>
      <c r="BF157" s="5">
        <v>46905</v>
      </c>
      <c r="BH157">
        <v>1</v>
      </c>
      <c r="BI157" s="6">
        <v>5300000</v>
      </c>
      <c r="BJ157" s="6">
        <v>0</v>
      </c>
      <c r="BK157" s="6">
        <v>0</v>
      </c>
      <c r="BL157" s="6">
        <v>5300000</v>
      </c>
      <c r="BM157" s="2">
        <v>5300000</v>
      </c>
      <c r="BN157">
        <f>InvoiceTable[[#This Row],[Giảm giá]]*InvoiceTable[[#This Row],[Số lượng]]</f>
        <v>0</v>
      </c>
    </row>
    <row r="158" spans="1:66" x14ac:dyDescent="0.25">
      <c r="A158" t="s">
        <v>65</v>
      </c>
      <c r="B158" t="s">
        <v>805</v>
      </c>
      <c r="F158" s="2"/>
      <c r="G158" s="3">
        <v>46015.454927164355</v>
      </c>
      <c r="H158" s="3">
        <v>46015.454927511571</v>
      </c>
      <c r="I158" s="4" t="s">
        <v>67</v>
      </c>
      <c r="J158" t="s">
        <v>67</v>
      </c>
      <c r="K158" t="s">
        <v>67</v>
      </c>
      <c r="L158" t="s">
        <v>647</v>
      </c>
      <c r="M158" t="s">
        <v>648</v>
      </c>
      <c r="N158" t="s">
        <v>67</v>
      </c>
      <c r="O158" t="s">
        <v>649</v>
      </c>
      <c r="P158" t="s">
        <v>650</v>
      </c>
      <c r="S158" s="5"/>
      <c r="T158" t="s">
        <v>72</v>
      </c>
      <c r="U158" t="s">
        <v>87</v>
      </c>
      <c r="V158" t="s">
        <v>74</v>
      </c>
      <c r="W158" t="s">
        <v>87</v>
      </c>
      <c r="AE158" s="2"/>
      <c r="AF158" s="2"/>
      <c r="AG158" s="2"/>
      <c r="AH158" s="2"/>
      <c r="AL158" s="2">
        <v>29000000</v>
      </c>
      <c r="AM158" s="2">
        <v>14500000</v>
      </c>
      <c r="AN158" s="2"/>
      <c r="AO158" s="2">
        <v>0</v>
      </c>
      <c r="AP158" s="2">
        <v>14500000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4"/>
      <c r="AX158" t="s">
        <v>75</v>
      </c>
      <c r="AZ158" t="s">
        <v>808</v>
      </c>
      <c r="BA158" t="s">
        <v>67</v>
      </c>
      <c r="BB158" t="s">
        <v>809</v>
      </c>
      <c r="BC158" t="s">
        <v>78</v>
      </c>
      <c r="BD158" t="s">
        <v>79</v>
      </c>
      <c r="BE158" t="s">
        <v>810</v>
      </c>
      <c r="BF158" s="5">
        <v>46539</v>
      </c>
      <c r="BH158">
        <v>1</v>
      </c>
      <c r="BI158" s="6">
        <v>3750000</v>
      </c>
      <c r="BJ158" s="6">
        <v>0</v>
      </c>
      <c r="BK158" s="6">
        <v>0</v>
      </c>
      <c r="BL158" s="6">
        <v>3750000</v>
      </c>
      <c r="BM158" s="2">
        <v>3750000</v>
      </c>
      <c r="BN158">
        <f>InvoiceTable[[#This Row],[Giảm giá]]*InvoiceTable[[#This Row],[Số lượng]]</f>
        <v>0</v>
      </c>
    </row>
    <row r="159" spans="1:66" x14ac:dyDescent="0.25">
      <c r="A159" t="s">
        <v>65</v>
      </c>
      <c r="B159" t="s">
        <v>805</v>
      </c>
      <c r="F159" s="2"/>
      <c r="G159" s="3">
        <v>46015.454927164355</v>
      </c>
      <c r="H159" s="3">
        <v>46015.454927511571</v>
      </c>
      <c r="I159" s="4" t="s">
        <v>67</v>
      </c>
      <c r="J159" t="s">
        <v>67</v>
      </c>
      <c r="K159" t="s">
        <v>67</v>
      </c>
      <c r="L159" t="s">
        <v>647</v>
      </c>
      <c r="M159" t="s">
        <v>648</v>
      </c>
      <c r="N159" t="s">
        <v>67</v>
      </c>
      <c r="O159" t="s">
        <v>649</v>
      </c>
      <c r="P159" t="s">
        <v>650</v>
      </c>
      <c r="S159" s="5"/>
      <c r="T159" t="s">
        <v>72</v>
      </c>
      <c r="U159" t="s">
        <v>87</v>
      </c>
      <c r="V159" t="s">
        <v>74</v>
      </c>
      <c r="W159" t="s">
        <v>87</v>
      </c>
      <c r="AE159" s="2"/>
      <c r="AF159" s="2"/>
      <c r="AG159" s="2"/>
      <c r="AH159" s="2"/>
      <c r="AL159" s="2">
        <v>29000000</v>
      </c>
      <c r="AM159" s="2">
        <v>14500000</v>
      </c>
      <c r="AN159" s="2"/>
      <c r="AO159" s="2">
        <v>0</v>
      </c>
      <c r="AP159" s="2">
        <v>14500000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4"/>
      <c r="AX159" t="s">
        <v>75</v>
      </c>
      <c r="AZ159" t="s">
        <v>518</v>
      </c>
      <c r="BA159" t="s">
        <v>67</v>
      </c>
      <c r="BB159" t="s">
        <v>519</v>
      </c>
      <c r="BC159" t="s">
        <v>78</v>
      </c>
      <c r="BD159" t="s">
        <v>79</v>
      </c>
      <c r="BE159" t="s">
        <v>517</v>
      </c>
      <c r="BF159" s="5">
        <v>47665</v>
      </c>
      <c r="BH159">
        <v>1</v>
      </c>
      <c r="BI159" s="6">
        <v>3500000</v>
      </c>
      <c r="BJ159" s="6">
        <v>0</v>
      </c>
      <c r="BK159" s="6">
        <v>0</v>
      </c>
      <c r="BL159" s="6">
        <v>3500000</v>
      </c>
      <c r="BM159" s="2">
        <v>3500000</v>
      </c>
      <c r="BN159">
        <f>InvoiceTable[[#This Row],[Giảm giá]]*InvoiceTable[[#This Row],[Số lượng]]</f>
        <v>0</v>
      </c>
    </row>
    <row r="160" spans="1:66" x14ac:dyDescent="0.25">
      <c r="A160" t="s">
        <v>65</v>
      </c>
      <c r="B160" t="s">
        <v>805</v>
      </c>
      <c r="F160" s="2"/>
      <c r="G160" s="3">
        <v>46015.454927164355</v>
      </c>
      <c r="H160" s="3">
        <v>46015.454927511571</v>
      </c>
      <c r="I160" s="4" t="s">
        <v>67</v>
      </c>
      <c r="J160" t="s">
        <v>67</v>
      </c>
      <c r="K160" t="s">
        <v>67</v>
      </c>
      <c r="L160" t="s">
        <v>647</v>
      </c>
      <c r="M160" t="s">
        <v>648</v>
      </c>
      <c r="N160" t="s">
        <v>67</v>
      </c>
      <c r="O160" t="s">
        <v>649</v>
      </c>
      <c r="P160" t="s">
        <v>650</v>
      </c>
      <c r="S160" s="5"/>
      <c r="T160" t="s">
        <v>72</v>
      </c>
      <c r="U160" t="s">
        <v>87</v>
      </c>
      <c r="V160" t="s">
        <v>74</v>
      </c>
      <c r="W160" t="s">
        <v>87</v>
      </c>
      <c r="AE160" s="2"/>
      <c r="AF160" s="2"/>
      <c r="AG160" s="2"/>
      <c r="AH160" s="2"/>
      <c r="AL160" s="2">
        <v>29000000</v>
      </c>
      <c r="AM160" s="2">
        <v>14500000</v>
      </c>
      <c r="AN160" s="2"/>
      <c r="AO160" s="2">
        <v>0</v>
      </c>
      <c r="AP160" s="2">
        <v>14500000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4"/>
      <c r="AX160" t="s">
        <v>75</v>
      </c>
      <c r="AZ160" t="s">
        <v>504</v>
      </c>
      <c r="BA160" t="s">
        <v>67</v>
      </c>
      <c r="BB160" t="s">
        <v>505</v>
      </c>
      <c r="BC160" t="s">
        <v>78</v>
      </c>
      <c r="BD160" t="s">
        <v>79</v>
      </c>
      <c r="BE160" t="s">
        <v>506</v>
      </c>
      <c r="BF160" s="5">
        <v>47604</v>
      </c>
      <c r="BH160">
        <v>5</v>
      </c>
      <c r="BI160" s="6">
        <v>1990000</v>
      </c>
      <c r="BJ160" s="6">
        <v>0</v>
      </c>
      <c r="BK160" s="6">
        <v>0</v>
      </c>
      <c r="BL160" s="6">
        <v>1990000</v>
      </c>
      <c r="BM160" s="2">
        <v>9950000</v>
      </c>
      <c r="BN160">
        <f>InvoiceTable[[#This Row],[Giảm giá]]*InvoiceTable[[#This Row],[Số lượng]]</f>
        <v>0</v>
      </c>
    </row>
    <row r="161" spans="1:66" x14ac:dyDescent="0.25">
      <c r="A161" t="s">
        <v>65</v>
      </c>
      <c r="B161" t="s">
        <v>805</v>
      </c>
      <c r="F161" s="2"/>
      <c r="G161" s="3">
        <v>46015.454927164355</v>
      </c>
      <c r="H161" s="3">
        <v>46015.454927511571</v>
      </c>
      <c r="I161" s="4" t="s">
        <v>67</v>
      </c>
      <c r="J161" t="s">
        <v>67</v>
      </c>
      <c r="K161" t="s">
        <v>67</v>
      </c>
      <c r="L161" t="s">
        <v>647</v>
      </c>
      <c r="M161" t="s">
        <v>648</v>
      </c>
      <c r="N161" t="s">
        <v>67</v>
      </c>
      <c r="O161" t="s">
        <v>649</v>
      </c>
      <c r="P161" t="s">
        <v>650</v>
      </c>
      <c r="S161" s="5"/>
      <c r="T161" t="s">
        <v>72</v>
      </c>
      <c r="U161" t="s">
        <v>87</v>
      </c>
      <c r="V161" t="s">
        <v>74</v>
      </c>
      <c r="W161" t="s">
        <v>87</v>
      </c>
      <c r="AE161" s="2"/>
      <c r="AF161" s="2"/>
      <c r="AG161" s="2"/>
      <c r="AH161" s="2"/>
      <c r="AL161" s="2">
        <v>29000000</v>
      </c>
      <c r="AM161" s="2">
        <v>14500000</v>
      </c>
      <c r="AN161" s="2"/>
      <c r="AO161" s="2">
        <v>0</v>
      </c>
      <c r="AP161" s="2">
        <v>14500000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4"/>
      <c r="AX161" t="s">
        <v>75</v>
      </c>
      <c r="AZ161" t="s">
        <v>811</v>
      </c>
      <c r="BA161" t="s">
        <v>67</v>
      </c>
      <c r="BB161" t="s">
        <v>812</v>
      </c>
      <c r="BC161" t="s">
        <v>78</v>
      </c>
      <c r="BD161" t="s">
        <v>79</v>
      </c>
      <c r="BE161" t="s">
        <v>810</v>
      </c>
      <c r="BF161" s="5">
        <v>46539</v>
      </c>
      <c r="BG161" t="s">
        <v>67</v>
      </c>
      <c r="BH161">
        <v>2</v>
      </c>
      <c r="BI161" s="6">
        <v>3250000</v>
      </c>
      <c r="BJ161" s="6">
        <v>0</v>
      </c>
      <c r="BK161" s="6">
        <v>0</v>
      </c>
      <c r="BL161" s="6">
        <v>3250000</v>
      </c>
      <c r="BM161" s="2">
        <v>6500000</v>
      </c>
      <c r="BN161">
        <f>InvoiceTable[[#This Row],[Giảm giá]]*InvoiceTable[[#This Row],[Số lượng]]</f>
        <v>0</v>
      </c>
    </row>
    <row r="162" spans="1:66" x14ac:dyDescent="0.25">
      <c r="A162" t="s">
        <v>65</v>
      </c>
      <c r="B162" t="s">
        <v>813</v>
      </c>
      <c r="F162" s="2"/>
      <c r="G162" s="3">
        <v>46015.441075960647</v>
      </c>
      <c r="H162" s="3">
        <v>46015.441076192132</v>
      </c>
      <c r="I162" s="4" t="s">
        <v>67</v>
      </c>
      <c r="J162" t="s">
        <v>67</v>
      </c>
      <c r="K162" t="s">
        <v>67</v>
      </c>
      <c r="L162" t="s">
        <v>814</v>
      </c>
      <c r="M162" t="s">
        <v>815</v>
      </c>
      <c r="N162" t="s">
        <v>67</v>
      </c>
      <c r="O162" t="s">
        <v>816</v>
      </c>
      <c r="Q162" t="s">
        <v>67</v>
      </c>
      <c r="R162" t="s">
        <v>67</v>
      </c>
      <c r="S162" s="5"/>
      <c r="T162" t="s">
        <v>72</v>
      </c>
      <c r="U162" t="s">
        <v>87</v>
      </c>
      <c r="V162" t="s">
        <v>74</v>
      </c>
      <c r="W162" t="s">
        <v>87</v>
      </c>
      <c r="AE162" s="2"/>
      <c r="AF162" s="2"/>
      <c r="AG162" s="2"/>
      <c r="AH162" s="2"/>
      <c r="AL162" s="2">
        <v>900000</v>
      </c>
      <c r="AM162" s="2">
        <v>0</v>
      </c>
      <c r="AN162" s="2"/>
      <c r="AO162" s="2">
        <v>0</v>
      </c>
      <c r="AP162" s="2">
        <v>900000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4"/>
      <c r="AX162" t="s">
        <v>75</v>
      </c>
      <c r="AZ162" t="s">
        <v>817</v>
      </c>
      <c r="BA162" t="s">
        <v>67</v>
      </c>
      <c r="BB162" t="s">
        <v>818</v>
      </c>
      <c r="BC162" t="s">
        <v>90</v>
      </c>
      <c r="BD162" t="s">
        <v>79</v>
      </c>
      <c r="BE162" t="s">
        <v>168</v>
      </c>
      <c r="BF162" s="5">
        <v>46388</v>
      </c>
      <c r="BH162">
        <v>1</v>
      </c>
      <c r="BI162" s="6">
        <v>900000</v>
      </c>
      <c r="BJ162" s="6">
        <v>0</v>
      </c>
      <c r="BK162" s="6">
        <v>0</v>
      </c>
      <c r="BL162" s="6">
        <v>900000</v>
      </c>
      <c r="BM162" s="2">
        <v>900000</v>
      </c>
      <c r="BN162">
        <f>InvoiceTable[[#This Row],[Giảm giá]]*InvoiceTable[[#This Row],[Số lượng]]</f>
        <v>0</v>
      </c>
    </row>
    <row r="163" spans="1:66" x14ac:dyDescent="0.25">
      <c r="A163" t="s">
        <v>65</v>
      </c>
      <c r="B163" t="s">
        <v>819</v>
      </c>
      <c r="F163" s="2"/>
      <c r="G163" s="3">
        <v>46015.407403506943</v>
      </c>
      <c r="H163" s="3">
        <v>46015.40740358796</v>
      </c>
      <c r="I163" s="4" t="s">
        <v>67</v>
      </c>
      <c r="J163" t="s">
        <v>67</v>
      </c>
      <c r="K163" t="s">
        <v>67</v>
      </c>
      <c r="L163" t="s">
        <v>119</v>
      </c>
      <c r="M163" t="s">
        <v>120</v>
      </c>
      <c r="N163" t="s">
        <v>67</v>
      </c>
      <c r="O163" t="s">
        <v>121</v>
      </c>
      <c r="Q163" t="s">
        <v>122</v>
      </c>
      <c r="R163" t="s">
        <v>123</v>
      </c>
      <c r="S163" s="5"/>
      <c r="T163" t="s">
        <v>72</v>
      </c>
      <c r="U163" t="s">
        <v>102</v>
      </c>
      <c r="V163" t="s">
        <v>74</v>
      </c>
      <c r="W163" t="s">
        <v>102</v>
      </c>
      <c r="AE163" s="2"/>
      <c r="AF163" s="2"/>
      <c r="AG163" s="2"/>
      <c r="AH163" s="2"/>
      <c r="AL163" s="2">
        <v>522524</v>
      </c>
      <c r="AM163" s="2">
        <v>0</v>
      </c>
      <c r="AN163" s="2"/>
      <c r="AO163" s="2">
        <v>0</v>
      </c>
      <c r="AP163" s="2">
        <v>522524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4"/>
      <c r="AX163" t="s">
        <v>75</v>
      </c>
      <c r="AZ163" t="s">
        <v>820</v>
      </c>
      <c r="BA163" t="s">
        <v>67</v>
      </c>
      <c r="BB163" t="s">
        <v>821</v>
      </c>
      <c r="BC163" t="s">
        <v>822</v>
      </c>
      <c r="BD163" t="s">
        <v>79</v>
      </c>
      <c r="BE163" t="s">
        <v>823</v>
      </c>
      <c r="BF163" s="5">
        <v>47574</v>
      </c>
      <c r="BH163">
        <v>1</v>
      </c>
      <c r="BI163" s="6">
        <v>1045047.2</v>
      </c>
      <c r="BJ163" s="6">
        <v>50</v>
      </c>
      <c r="BK163" s="6">
        <v>522523.6</v>
      </c>
      <c r="BL163" s="6">
        <v>522523.6</v>
      </c>
      <c r="BM163" s="2">
        <v>522524</v>
      </c>
      <c r="BN163">
        <f>InvoiceTable[[#This Row],[Giảm giá]]*InvoiceTable[[#This Row],[Số lượng]]</f>
        <v>522523.6</v>
      </c>
    </row>
    <row r="164" spans="1:66" x14ac:dyDescent="0.25">
      <c r="A164" t="s">
        <v>65</v>
      </c>
      <c r="B164" t="s">
        <v>824</v>
      </c>
      <c r="F164" s="2"/>
      <c r="G164" s="3">
        <v>46015.40629082176</v>
      </c>
      <c r="H164" s="3">
        <v>46015.40629097222</v>
      </c>
      <c r="I164" s="4" t="s">
        <v>67</v>
      </c>
      <c r="J164" t="s">
        <v>67</v>
      </c>
      <c r="K164" t="s">
        <v>67</v>
      </c>
      <c r="L164" t="s">
        <v>119</v>
      </c>
      <c r="M164" t="s">
        <v>120</v>
      </c>
      <c r="N164" t="s">
        <v>67</v>
      </c>
      <c r="O164" t="s">
        <v>121</v>
      </c>
      <c r="Q164" t="s">
        <v>122</v>
      </c>
      <c r="R164" t="s">
        <v>123</v>
      </c>
      <c r="S164" s="5"/>
      <c r="T164" t="s">
        <v>72</v>
      </c>
      <c r="U164" t="s">
        <v>102</v>
      </c>
      <c r="V164" t="s">
        <v>74</v>
      </c>
      <c r="W164" t="s">
        <v>102</v>
      </c>
      <c r="AE164" s="2"/>
      <c r="AF164" s="2"/>
      <c r="AG164" s="2"/>
      <c r="AH164" s="2"/>
      <c r="AL164" s="2">
        <v>3060000</v>
      </c>
      <c r="AM164" s="2">
        <v>0</v>
      </c>
      <c r="AN164" s="2"/>
      <c r="AO164" s="2">
        <v>0</v>
      </c>
      <c r="AP164" s="2">
        <v>3060000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4"/>
      <c r="AX164" t="s">
        <v>75</v>
      </c>
      <c r="AZ164" t="s">
        <v>748</v>
      </c>
      <c r="BA164" t="s">
        <v>67</v>
      </c>
      <c r="BB164" t="s">
        <v>749</v>
      </c>
      <c r="BC164" t="s">
        <v>750</v>
      </c>
      <c r="BD164" t="s">
        <v>79</v>
      </c>
      <c r="BE164" t="s">
        <v>751</v>
      </c>
      <c r="BF164" s="5">
        <v>46625</v>
      </c>
      <c r="BH164">
        <v>3</v>
      </c>
      <c r="BI164" s="6">
        <v>1500000</v>
      </c>
      <c r="BJ164" s="6">
        <v>0</v>
      </c>
      <c r="BK164" s="6">
        <v>480000</v>
      </c>
      <c r="BL164" s="6">
        <v>1020000</v>
      </c>
      <c r="BM164" s="2">
        <v>3060000</v>
      </c>
      <c r="BN164">
        <f>InvoiceTable[[#This Row],[Giảm giá]]*InvoiceTable[[#This Row],[Số lượng]]</f>
        <v>1440000</v>
      </c>
    </row>
    <row r="165" spans="1:66" x14ac:dyDescent="0.25">
      <c r="A165" t="s">
        <v>65</v>
      </c>
      <c r="B165" t="s">
        <v>825</v>
      </c>
      <c r="F165" s="2"/>
      <c r="G165" s="3">
        <v>46015.401320567129</v>
      </c>
      <c r="H165" s="3">
        <v>46015.401297569442</v>
      </c>
      <c r="I165" s="4" t="s">
        <v>96</v>
      </c>
      <c r="J165" t="s">
        <v>67</v>
      </c>
      <c r="K165" t="s">
        <v>67</v>
      </c>
      <c r="L165" t="s">
        <v>826</v>
      </c>
      <c r="M165" t="s">
        <v>827</v>
      </c>
      <c r="N165" t="s">
        <v>67</v>
      </c>
      <c r="O165" t="s">
        <v>67</v>
      </c>
      <c r="Q165" t="s">
        <v>67</v>
      </c>
      <c r="R165" t="s">
        <v>67</v>
      </c>
      <c r="S165" s="5"/>
      <c r="T165" t="s">
        <v>72</v>
      </c>
      <c r="U165" t="s">
        <v>87</v>
      </c>
      <c r="V165" t="s">
        <v>74</v>
      </c>
      <c r="W165" t="s">
        <v>87</v>
      </c>
      <c r="AE165" s="2"/>
      <c r="AF165" s="2"/>
      <c r="AG165" s="2"/>
      <c r="AH165" s="2"/>
      <c r="AL165" s="2">
        <v>410000</v>
      </c>
      <c r="AM165" s="2">
        <v>0</v>
      </c>
      <c r="AN165" s="2"/>
      <c r="AO165" s="2">
        <v>0</v>
      </c>
      <c r="AP165" s="2">
        <v>410000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4"/>
      <c r="AX165" t="s">
        <v>75</v>
      </c>
      <c r="AZ165" t="s">
        <v>828</v>
      </c>
      <c r="BA165" t="s">
        <v>67</v>
      </c>
      <c r="BB165" t="s">
        <v>829</v>
      </c>
      <c r="BC165" t="s">
        <v>830</v>
      </c>
      <c r="BD165" t="s">
        <v>79</v>
      </c>
      <c r="BE165" t="s">
        <v>117</v>
      </c>
      <c r="BF165" s="5">
        <v>46569</v>
      </c>
      <c r="BH165">
        <v>1</v>
      </c>
      <c r="BI165" s="6">
        <v>550000</v>
      </c>
      <c r="BJ165" s="6">
        <v>0</v>
      </c>
      <c r="BK165" s="6">
        <v>140000</v>
      </c>
      <c r="BL165" s="6">
        <v>410000</v>
      </c>
      <c r="BM165" s="2">
        <v>410000</v>
      </c>
      <c r="BN165">
        <f>InvoiceTable[[#This Row],[Giảm giá]]*InvoiceTable[[#This Row],[Số lượng]]</f>
        <v>140000</v>
      </c>
    </row>
    <row r="166" spans="1:66" x14ac:dyDescent="0.25">
      <c r="A166" t="s">
        <v>65</v>
      </c>
      <c r="B166" t="s">
        <v>831</v>
      </c>
      <c r="F166" s="2"/>
      <c r="G166" s="3">
        <v>46015.387151076386</v>
      </c>
      <c r="H166" s="3">
        <v>46015.387151157411</v>
      </c>
      <c r="I166" s="4" t="s">
        <v>67</v>
      </c>
      <c r="J166" t="s">
        <v>67</v>
      </c>
      <c r="K166" t="s">
        <v>67</v>
      </c>
      <c r="L166" t="s">
        <v>832</v>
      </c>
      <c r="M166" t="s">
        <v>833</v>
      </c>
      <c r="N166" t="s">
        <v>67</v>
      </c>
      <c r="O166" t="s">
        <v>834</v>
      </c>
      <c r="P166" t="s">
        <v>835</v>
      </c>
      <c r="S166" s="5"/>
      <c r="T166" t="s">
        <v>72</v>
      </c>
      <c r="U166" t="s">
        <v>87</v>
      </c>
      <c r="V166" t="s">
        <v>74</v>
      </c>
      <c r="W166" t="s">
        <v>87</v>
      </c>
      <c r="AE166" s="2"/>
      <c r="AF166" s="2"/>
      <c r="AG166" s="2"/>
      <c r="AH166" s="2"/>
      <c r="AL166" s="2">
        <v>1677000</v>
      </c>
      <c r="AM166" s="2">
        <v>0</v>
      </c>
      <c r="AN166" s="2"/>
      <c r="AO166" s="2">
        <v>0</v>
      </c>
      <c r="AP166" s="2">
        <v>1677000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4"/>
      <c r="AX166" t="s">
        <v>75</v>
      </c>
      <c r="AZ166" t="s">
        <v>573</v>
      </c>
      <c r="BA166" t="s">
        <v>67</v>
      </c>
      <c r="BB166" t="s">
        <v>89</v>
      </c>
      <c r="BC166" t="s">
        <v>90</v>
      </c>
      <c r="BF166" s="5"/>
      <c r="BG166" t="s">
        <v>67</v>
      </c>
      <c r="BH166">
        <v>1</v>
      </c>
      <c r="BI166" s="6">
        <v>27000</v>
      </c>
      <c r="BJ166" s="6">
        <v>0</v>
      </c>
      <c r="BK166" s="6">
        <v>0</v>
      </c>
      <c r="BL166" s="6">
        <v>27000</v>
      </c>
      <c r="BM166" s="2">
        <v>27000</v>
      </c>
      <c r="BN166">
        <f>InvoiceTable[[#This Row],[Giảm giá]]*InvoiceTable[[#This Row],[Số lượng]]</f>
        <v>0</v>
      </c>
    </row>
    <row r="167" spans="1:66" x14ac:dyDescent="0.25">
      <c r="A167" t="s">
        <v>65</v>
      </c>
      <c r="B167" t="s">
        <v>831</v>
      </c>
      <c r="F167" s="2"/>
      <c r="G167" s="3">
        <v>46015.387151076386</v>
      </c>
      <c r="H167" s="3">
        <v>46015.387151157411</v>
      </c>
      <c r="I167" s="4" t="s">
        <v>67</v>
      </c>
      <c r="J167" t="s">
        <v>67</v>
      </c>
      <c r="K167" t="s">
        <v>67</v>
      </c>
      <c r="L167" t="s">
        <v>832</v>
      </c>
      <c r="M167" t="s">
        <v>833</v>
      </c>
      <c r="N167" t="s">
        <v>67</v>
      </c>
      <c r="O167" t="s">
        <v>834</v>
      </c>
      <c r="P167" t="s">
        <v>835</v>
      </c>
      <c r="S167" s="5"/>
      <c r="T167" t="s">
        <v>72</v>
      </c>
      <c r="U167" t="s">
        <v>87</v>
      </c>
      <c r="V167" t="s">
        <v>74</v>
      </c>
      <c r="W167" t="s">
        <v>87</v>
      </c>
      <c r="AE167" s="2"/>
      <c r="AF167" s="2"/>
      <c r="AG167" s="2"/>
      <c r="AH167" s="2"/>
      <c r="AL167" s="2">
        <v>1677000</v>
      </c>
      <c r="AM167" s="2">
        <v>0</v>
      </c>
      <c r="AN167" s="2"/>
      <c r="AO167" s="2">
        <v>0</v>
      </c>
      <c r="AP167" s="2">
        <v>1677000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4"/>
      <c r="AX167" t="s">
        <v>75</v>
      </c>
      <c r="AZ167" t="s">
        <v>604</v>
      </c>
      <c r="BA167" t="s">
        <v>67</v>
      </c>
      <c r="BB167" t="s">
        <v>605</v>
      </c>
      <c r="BC167" t="s">
        <v>606</v>
      </c>
      <c r="BD167" t="s">
        <v>79</v>
      </c>
      <c r="BE167" t="s">
        <v>168</v>
      </c>
      <c r="BF167" s="5">
        <v>46388</v>
      </c>
      <c r="BH167">
        <v>3</v>
      </c>
      <c r="BI167" s="6">
        <v>1100000</v>
      </c>
      <c r="BJ167" s="6">
        <v>50</v>
      </c>
      <c r="BK167" s="6">
        <v>550000</v>
      </c>
      <c r="BL167" s="6">
        <v>550000</v>
      </c>
      <c r="BM167" s="2">
        <v>1650000</v>
      </c>
      <c r="BN167">
        <f>InvoiceTable[[#This Row],[Giảm giá]]*InvoiceTable[[#This Row],[Số lượng]]</f>
        <v>1650000</v>
      </c>
    </row>
    <row r="168" spans="1:66" x14ac:dyDescent="0.25">
      <c r="A168" t="s">
        <v>65</v>
      </c>
      <c r="B168" t="s">
        <v>836</v>
      </c>
      <c r="F168" s="2"/>
      <c r="G168" s="3">
        <v>46014.693275196762</v>
      </c>
      <c r="H168" s="3">
        <v>46014.6932753125</v>
      </c>
      <c r="I168" s="4" t="s">
        <v>67</v>
      </c>
      <c r="J168" t="s">
        <v>67</v>
      </c>
      <c r="K168" t="s">
        <v>67</v>
      </c>
      <c r="L168" t="s">
        <v>111</v>
      </c>
      <c r="M168" t="s">
        <v>112</v>
      </c>
      <c r="N168" t="s">
        <v>67</v>
      </c>
      <c r="O168" t="s">
        <v>113</v>
      </c>
      <c r="P168" t="s">
        <v>114</v>
      </c>
      <c r="Q168" t="s">
        <v>67</v>
      </c>
      <c r="R168" t="s">
        <v>67</v>
      </c>
      <c r="S168" s="5"/>
      <c r="T168" t="s">
        <v>72</v>
      </c>
      <c r="U168" t="s">
        <v>87</v>
      </c>
      <c r="V168" t="s">
        <v>74</v>
      </c>
      <c r="W168" t="s">
        <v>87</v>
      </c>
      <c r="AE168" s="2"/>
      <c r="AF168" s="2"/>
      <c r="AG168" s="2"/>
      <c r="AH168" s="2"/>
      <c r="AL168" s="2">
        <v>6850000</v>
      </c>
      <c r="AM168" s="2">
        <v>3425000</v>
      </c>
      <c r="AN168" s="2"/>
      <c r="AO168" s="2">
        <v>0</v>
      </c>
      <c r="AP168" s="2">
        <v>3425000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4"/>
      <c r="AX168" t="s">
        <v>75</v>
      </c>
      <c r="AZ168" t="s">
        <v>522</v>
      </c>
      <c r="BA168" t="s">
        <v>67</v>
      </c>
      <c r="BB168" t="s">
        <v>523</v>
      </c>
      <c r="BC168" t="s">
        <v>78</v>
      </c>
      <c r="BD168" t="s">
        <v>79</v>
      </c>
      <c r="BE168" t="s">
        <v>142</v>
      </c>
      <c r="BF168" s="5">
        <v>46844</v>
      </c>
      <c r="BH168">
        <v>1</v>
      </c>
      <c r="BI168" s="6">
        <v>3050000</v>
      </c>
      <c r="BJ168" s="6">
        <v>0</v>
      </c>
      <c r="BK168" s="6">
        <v>0</v>
      </c>
      <c r="BL168" s="6">
        <v>3050000</v>
      </c>
      <c r="BM168" s="2">
        <v>3050000</v>
      </c>
      <c r="BN168">
        <f>InvoiceTable[[#This Row],[Giảm giá]]*InvoiceTable[[#This Row],[Số lượng]]</f>
        <v>0</v>
      </c>
    </row>
    <row r="169" spans="1:66" x14ac:dyDescent="0.25">
      <c r="A169" t="s">
        <v>65</v>
      </c>
      <c r="B169" t="s">
        <v>836</v>
      </c>
      <c r="F169" s="2"/>
      <c r="G169" s="3">
        <v>46014.693275196762</v>
      </c>
      <c r="H169" s="3">
        <v>46014.6932753125</v>
      </c>
      <c r="I169" s="4" t="s">
        <v>67</v>
      </c>
      <c r="J169" t="s">
        <v>67</v>
      </c>
      <c r="K169" t="s">
        <v>67</v>
      </c>
      <c r="L169" t="s">
        <v>111</v>
      </c>
      <c r="M169" t="s">
        <v>112</v>
      </c>
      <c r="N169" t="s">
        <v>67</v>
      </c>
      <c r="O169" t="s">
        <v>113</v>
      </c>
      <c r="P169" t="s">
        <v>114</v>
      </c>
      <c r="Q169" t="s">
        <v>67</v>
      </c>
      <c r="R169" t="s">
        <v>67</v>
      </c>
      <c r="S169" s="5"/>
      <c r="T169" t="s">
        <v>72</v>
      </c>
      <c r="U169" t="s">
        <v>87</v>
      </c>
      <c r="V169" t="s">
        <v>74</v>
      </c>
      <c r="W169" t="s">
        <v>87</v>
      </c>
      <c r="AE169" s="2"/>
      <c r="AF169" s="2"/>
      <c r="AG169" s="2"/>
      <c r="AH169" s="2"/>
      <c r="AL169" s="2">
        <v>6850000</v>
      </c>
      <c r="AM169" s="2">
        <v>3425000</v>
      </c>
      <c r="AN169" s="2"/>
      <c r="AO169" s="2">
        <v>0</v>
      </c>
      <c r="AP169" s="2">
        <v>3425000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4"/>
      <c r="AX169" t="s">
        <v>75</v>
      </c>
      <c r="AZ169" t="s">
        <v>651</v>
      </c>
      <c r="BA169" t="s">
        <v>67</v>
      </c>
      <c r="BB169" t="s">
        <v>652</v>
      </c>
      <c r="BC169" t="s">
        <v>78</v>
      </c>
      <c r="BD169" t="s">
        <v>79</v>
      </c>
      <c r="BE169" t="s">
        <v>131</v>
      </c>
      <c r="BF169" s="5">
        <v>46874</v>
      </c>
      <c r="BH169">
        <v>1</v>
      </c>
      <c r="BI169" s="6">
        <v>3800000</v>
      </c>
      <c r="BJ169" s="6">
        <v>0</v>
      </c>
      <c r="BK169" s="6">
        <v>0</v>
      </c>
      <c r="BL169" s="6">
        <v>3800000</v>
      </c>
      <c r="BM169" s="2">
        <v>3800000</v>
      </c>
      <c r="BN169">
        <f>InvoiceTable[[#This Row],[Giảm giá]]*InvoiceTable[[#This Row],[Số lượng]]</f>
        <v>0</v>
      </c>
    </row>
    <row r="170" spans="1:66" x14ac:dyDescent="0.25">
      <c r="A170" t="s">
        <v>65</v>
      </c>
      <c r="B170" t="s">
        <v>837</v>
      </c>
      <c r="F170" s="2"/>
      <c r="G170" s="3">
        <v>46014.683921145835</v>
      </c>
      <c r="H170" s="3">
        <v>46014.68392152778</v>
      </c>
      <c r="I170" s="4" t="s">
        <v>67</v>
      </c>
      <c r="J170" t="s">
        <v>67</v>
      </c>
      <c r="K170" t="s">
        <v>67</v>
      </c>
      <c r="L170" t="s">
        <v>111</v>
      </c>
      <c r="M170" t="s">
        <v>112</v>
      </c>
      <c r="N170" t="s">
        <v>67</v>
      </c>
      <c r="O170" t="s">
        <v>113</v>
      </c>
      <c r="P170" t="s">
        <v>114</v>
      </c>
      <c r="Q170" t="s">
        <v>67</v>
      </c>
      <c r="R170" t="s">
        <v>67</v>
      </c>
      <c r="S170" s="5"/>
      <c r="T170" t="s">
        <v>72</v>
      </c>
      <c r="U170" t="s">
        <v>87</v>
      </c>
      <c r="V170" t="s">
        <v>74</v>
      </c>
      <c r="W170" t="s">
        <v>87</v>
      </c>
      <c r="AE170" s="2"/>
      <c r="AF170" s="2"/>
      <c r="AG170" s="2"/>
      <c r="AH170" s="2"/>
      <c r="AK170" t="s">
        <v>838</v>
      </c>
      <c r="AL170" s="2">
        <v>7350000</v>
      </c>
      <c r="AM170" s="2">
        <v>3675000</v>
      </c>
      <c r="AN170" s="2"/>
      <c r="AO170" s="2">
        <v>0</v>
      </c>
      <c r="AP170" s="2">
        <v>3675000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4"/>
      <c r="AX170" t="s">
        <v>75</v>
      </c>
      <c r="AZ170" t="s">
        <v>651</v>
      </c>
      <c r="BA170" t="s">
        <v>67</v>
      </c>
      <c r="BB170" t="s">
        <v>652</v>
      </c>
      <c r="BC170" t="s">
        <v>78</v>
      </c>
      <c r="BD170" t="s">
        <v>79</v>
      </c>
      <c r="BE170" t="s">
        <v>131</v>
      </c>
      <c r="BF170" s="5">
        <v>46874</v>
      </c>
      <c r="BH170">
        <v>1</v>
      </c>
      <c r="BI170" s="6">
        <v>3800000</v>
      </c>
      <c r="BJ170" s="6">
        <v>0</v>
      </c>
      <c r="BK170" s="6">
        <v>0</v>
      </c>
      <c r="BL170" s="6">
        <v>3800000</v>
      </c>
      <c r="BM170" s="2">
        <v>3800000</v>
      </c>
      <c r="BN170">
        <f>InvoiceTable[[#This Row],[Giảm giá]]*InvoiceTable[[#This Row],[Số lượng]]</f>
        <v>0</v>
      </c>
    </row>
    <row r="171" spans="1:66" x14ac:dyDescent="0.25">
      <c r="A171" t="s">
        <v>65</v>
      </c>
      <c r="B171" t="s">
        <v>837</v>
      </c>
      <c r="F171" s="2"/>
      <c r="G171" s="3">
        <v>46014.683921145835</v>
      </c>
      <c r="H171" s="3">
        <v>46014.68392152778</v>
      </c>
      <c r="I171" s="4" t="s">
        <v>67</v>
      </c>
      <c r="J171" t="s">
        <v>67</v>
      </c>
      <c r="K171" t="s">
        <v>67</v>
      </c>
      <c r="L171" t="s">
        <v>111</v>
      </c>
      <c r="M171" t="s">
        <v>112</v>
      </c>
      <c r="N171" t="s">
        <v>67</v>
      </c>
      <c r="O171" t="s">
        <v>113</v>
      </c>
      <c r="P171" t="s">
        <v>114</v>
      </c>
      <c r="Q171" t="s">
        <v>67</v>
      </c>
      <c r="R171" t="s">
        <v>67</v>
      </c>
      <c r="S171" s="5"/>
      <c r="T171" t="s">
        <v>72</v>
      </c>
      <c r="U171" t="s">
        <v>87</v>
      </c>
      <c r="V171" t="s">
        <v>74</v>
      </c>
      <c r="W171" t="s">
        <v>87</v>
      </c>
      <c r="AE171" s="2"/>
      <c r="AF171" s="2"/>
      <c r="AG171" s="2"/>
      <c r="AH171" s="2"/>
      <c r="AK171" t="s">
        <v>838</v>
      </c>
      <c r="AL171" s="2">
        <v>7350000</v>
      </c>
      <c r="AM171" s="2">
        <v>3675000</v>
      </c>
      <c r="AN171" s="2"/>
      <c r="AO171" s="2">
        <v>0</v>
      </c>
      <c r="AP171" s="2">
        <v>3675000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4"/>
      <c r="AX171" t="s">
        <v>75</v>
      </c>
      <c r="AZ171" t="s">
        <v>839</v>
      </c>
      <c r="BA171" t="s">
        <v>67</v>
      </c>
      <c r="BB171" t="s">
        <v>840</v>
      </c>
      <c r="BC171" t="s">
        <v>134</v>
      </c>
      <c r="BD171" t="s">
        <v>79</v>
      </c>
      <c r="BE171" t="s">
        <v>317</v>
      </c>
      <c r="BF171" s="5">
        <v>46935</v>
      </c>
      <c r="BG171" t="s">
        <v>67</v>
      </c>
      <c r="BH171">
        <v>1</v>
      </c>
      <c r="BI171" s="6">
        <v>3550000</v>
      </c>
      <c r="BJ171" s="6">
        <v>0</v>
      </c>
      <c r="BK171" s="6">
        <v>0</v>
      </c>
      <c r="BL171" s="6">
        <v>3550000</v>
      </c>
      <c r="BM171" s="2">
        <v>3550000</v>
      </c>
      <c r="BN171">
        <f>InvoiceTable[[#This Row],[Giảm giá]]*InvoiceTable[[#This Row],[Số lượng]]</f>
        <v>0</v>
      </c>
    </row>
    <row r="172" spans="1:66" x14ac:dyDescent="0.25">
      <c r="A172" t="s">
        <v>65</v>
      </c>
      <c r="B172" t="s">
        <v>841</v>
      </c>
      <c r="F172" s="2"/>
      <c r="G172" s="3">
        <v>46014.66364791667</v>
      </c>
      <c r="H172" s="3">
        <v>46014.663649270835</v>
      </c>
      <c r="I172" s="4" t="s">
        <v>67</v>
      </c>
      <c r="J172" t="s">
        <v>67</v>
      </c>
      <c r="K172" t="s">
        <v>67</v>
      </c>
      <c r="L172" t="s">
        <v>111</v>
      </c>
      <c r="M172" t="s">
        <v>112</v>
      </c>
      <c r="N172" t="s">
        <v>67</v>
      </c>
      <c r="O172" t="s">
        <v>113</v>
      </c>
      <c r="P172" t="s">
        <v>114</v>
      </c>
      <c r="Q172" t="s">
        <v>67</v>
      </c>
      <c r="R172" t="s">
        <v>67</v>
      </c>
      <c r="S172" s="5"/>
      <c r="T172" t="s">
        <v>72</v>
      </c>
      <c r="U172" t="s">
        <v>87</v>
      </c>
      <c r="V172" t="s">
        <v>74</v>
      </c>
      <c r="W172" t="s">
        <v>87</v>
      </c>
      <c r="AE172" s="2"/>
      <c r="AF172" s="2"/>
      <c r="AG172" s="2"/>
      <c r="AH172" s="2"/>
      <c r="AK172" t="s">
        <v>842</v>
      </c>
      <c r="AL172" s="2">
        <v>1025000</v>
      </c>
      <c r="AM172" s="2">
        <v>0</v>
      </c>
      <c r="AN172" s="2"/>
      <c r="AO172" s="2">
        <v>0</v>
      </c>
      <c r="AP172" s="2">
        <v>1025000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4"/>
      <c r="AX172" t="s">
        <v>75</v>
      </c>
      <c r="AZ172" t="s">
        <v>88</v>
      </c>
      <c r="BB172" t="s">
        <v>89</v>
      </c>
      <c r="BC172" t="s">
        <v>90</v>
      </c>
      <c r="BF172" s="5"/>
      <c r="BG172" t="s">
        <v>67</v>
      </c>
      <c r="BH172">
        <v>1</v>
      </c>
      <c r="BI172" s="6">
        <v>30000</v>
      </c>
      <c r="BJ172" s="6">
        <v>0</v>
      </c>
      <c r="BK172" s="6">
        <v>0</v>
      </c>
      <c r="BL172" s="6">
        <v>30000</v>
      </c>
      <c r="BM172" s="2">
        <v>30000</v>
      </c>
      <c r="BN172">
        <f>InvoiceTable[[#This Row],[Giảm giá]]*InvoiceTable[[#This Row],[Số lượng]]</f>
        <v>0</v>
      </c>
    </row>
    <row r="173" spans="1:66" x14ac:dyDescent="0.25">
      <c r="A173" t="s">
        <v>65</v>
      </c>
      <c r="B173" t="s">
        <v>841</v>
      </c>
      <c r="F173" s="2"/>
      <c r="G173" s="3">
        <v>46014.66364791667</v>
      </c>
      <c r="H173" s="3">
        <v>46014.663649270835</v>
      </c>
      <c r="I173" s="4" t="s">
        <v>67</v>
      </c>
      <c r="J173" t="s">
        <v>67</v>
      </c>
      <c r="K173" t="s">
        <v>67</v>
      </c>
      <c r="L173" t="s">
        <v>111</v>
      </c>
      <c r="M173" t="s">
        <v>112</v>
      </c>
      <c r="N173" t="s">
        <v>67</v>
      </c>
      <c r="O173" t="s">
        <v>113</v>
      </c>
      <c r="P173" t="s">
        <v>114</v>
      </c>
      <c r="Q173" t="s">
        <v>67</v>
      </c>
      <c r="R173" t="s">
        <v>67</v>
      </c>
      <c r="S173" s="5"/>
      <c r="T173" t="s">
        <v>72</v>
      </c>
      <c r="U173" t="s">
        <v>87</v>
      </c>
      <c r="V173" t="s">
        <v>74</v>
      </c>
      <c r="W173" t="s">
        <v>87</v>
      </c>
      <c r="AE173" s="2"/>
      <c r="AF173" s="2"/>
      <c r="AG173" s="2"/>
      <c r="AH173" s="2"/>
      <c r="AK173" t="s">
        <v>842</v>
      </c>
      <c r="AL173" s="2">
        <v>1025000</v>
      </c>
      <c r="AM173" s="2">
        <v>0</v>
      </c>
      <c r="AN173" s="2"/>
      <c r="AO173" s="2">
        <v>0</v>
      </c>
      <c r="AP173" s="2">
        <v>1025000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4"/>
      <c r="AX173" t="s">
        <v>75</v>
      </c>
      <c r="AZ173" t="s">
        <v>504</v>
      </c>
      <c r="BA173" t="s">
        <v>67</v>
      </c>
      <c r="BB173" t="s">
        <v>505</v>
      </c>
      <c r="BC173" t="s">
        <v>78</v>
      </c>
      <c r="BD173" t="s">
        <v>79</v>
      </c>
      <c r="BE173" t="s">
        <v>506</v>
      </c>
      <c r="BF173" s="5">
        <v>47604</v>
      </c>
      <c r="BH173">
        <v>1</v>
      </c>
      <c r="BI173" s="6">
        <v>1990000</v>
      </c>
      <c r="BJ173" s="6">
        <v>50</v>
      </c>
      <c r="BK173" s="6">
        <v>995000</v>
      </c>
      <c r="BL173" s="6">
        <v>995000</v>
      </c>
      <c r="BM173" s="2">
        <v>995000</v>
      </c>
      <c r="BN173">
        <f>InvoiceTable[[#This Row],[Giảm giá]]*InvoiceTable[[#This Row],[Số lượng]]</f>
        <v>995000</v>
      </c>
    </row>
    <row r="174" spans="1:66" x14ac:dyDescent="0.25">
      <c r="A174" t="s">
        <v>65</v>
      </c>
      <c r="B174" t="s">
        <v>843</v>
      </c>
      <c r="F174" s="2"/>
      <c r="G174" s="3">
        <v>46014.662006168983</v>
      </c>
      <c r="H174" s="3">
        <v>46014.661994756942</v>
      </c>
      <c r="I174" s="4" t="s">
        <v>844</v>
      </c>
      <c r="J174" t="s">
        <v>67</v>
      </c>
      <c r="K174" t="s">
        <v>67</v>
      </c>
      <c r="L174" t="s">
        <v>845</v>
      </c>
      <c r="M174" t="s">
        <v>846</v>
      </c>
      <c r="N174" t="s">
        <v>67</v>
      </c>
      <c r="O174" t="s">
        <v>847</v>
      </c>
      <c r="P174" t="s">
        <v>848</v>
      </c>
      <c r="S174" s="5"/>
      <c r="T174" t="s">
        <v>72</v>
      </c>
      <c r="U174" t="s">
        <v>87</v>
      </c>
      <c r="V174" t="s">
        <v>74</v>
      </c>
      <c r="W174" t="s">
        <v>87</v>
      </c>
      <c r="AE174" s="2"/>
      <c r="AF174" s="2"/>
      <c r="AG174" s="2"/>
      <c r="AH174" s="2"/>
      <c r="AL174" s="2">
        <v>8000000</v>
      </c>
      <c r="AM174" s="2">
        <v>0</v>
      </c>
      <c r="AN174" s="2"/>
      <c r="AO174" s="2">
        <v>0</v>
      </c>
      <c r="AP174" s="2">
        <v>8000000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4"/>
      <c r="AX174" t="s">
        <v>75</v>
      </c>
      <c r="AZ174" t="s">
        <v>581</v>
      </c>
      <c r="BA174" t="s">
        <v>67</v>
      </c>
      <c r="BB174" t="s">
        <v>582</v>
      </c>
      <c r="BC174" t="s">
        <v>583</v>
      </c>
      <c r="BD174" t="s">
        <v>79</v>
      </c>
      <c r="BE174" t="s">
        <v>584</v>
      </c>
      <c r="BF174" s="5">
        <v>46672</v>
      </c>
      <c r="BH174">
        <v>4</v>
      </c>
      <c r="BI174" s="6">
        <v>2600000</v>
      </c>
      <c r="BJ174" s="6">
        <v>0</v>
      </c>
      <c r="BK174" s="6">
        <v>600000</v>
      </c>
      <c r="BL174" s="6">
        <v>2000000</v>
      </c>
      <c r="BM174" s="2">
        <v>8000000</v>
      </c>
      <c r="BN174">
        <f>InvoiceTable[[#This Row],[Giảm giá]]*InvoiceTable[[#This Row],[Số lượng]]</f>
        <v>2400000</v>
      </c>
    </row>
    <row r="175" spans="1:66" x14ac:dyDescent="0.25">
      <c r="A175" t="s">
        <v>65</v>
      </c>
      <c r="B175" t="s">
        <v>849</v>
      </c>
      <c r="F175" s="2"/>
      <c r="G175" s="3">
        <v>46014.661122766207</v>
      </c>
      <c r="H175" s="3">
        <v>46014.661122951387</v>
      </c>
      <c r="I175" s="4" t="s">
        <v>67</v>
      </c>
      <c r="J175" t="s">
        <v>67</v>
      </c>
      <c r="K175" t="s">
        <v>67</v>
      </c>
      <c r="L175" t="s">
        <v>394</v>
      </c>
      <c r="M175" t="s">
        <v>395</v>
      </c>
      <c r="N175" t="s">
        <v>67</v>
      </c>
      <c r="Q175" t="s">
        <v>67</v>
      </c>
      <c r="R175" t="s">
        <v>67</v>
      </c>
      <c r="S175" s="5"/>
      <c r="T175" t="s">
        <v>72</v>
      </c>
      <c r="U175" t="s">
        <v>87</v>
      </c>
      <c r="V175" t="s">
        <v>74</v>
      </c>
      <c r="W175" t="s">
        <v>87</v>
      </c>
      <c r="AE175" s="2"/>
      <c r="AF175" s="2"/>
      <c r="AG175" s="2"/>
      <c r="AH175" s="2"/>
      <c r="AL175" s="2">
        <v>2850000</v>
      </c>
      <c r="AM175" s="2">
        <v>0</v>
      </c>
      <c r="AN175" s="2"/>
      <c r="AO175" s="2">
        <v>0</v>
      </c>
      <c r="AP175" s="2">
        <v>2850000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4"/>
      <c r="AX175" t="s">
        <v>75</v>
      </c>
      <c r="AZ175" t="s">
        <v>850</v>
      </c>
      <c r="BA175" t="s">
        <v>67</v>
      </c>
      <c r="BB175" t="s">
        <v>851</v>
      </c>
      <c r="BC175" t="s">
        <v>391</v>
      </c>
      <c r="BD175" t="s">
        <v>79</v>
      </c>
      <c r="BE175" t="s">
        <v>852</v>
      </c>
      <c r="BF175" s="5">
        <v>46113</v>
      </c>
      <c r="BG175" t="s">
        <v>67</v>
      </c>
      <c r="BH175">
        <v>1</v>
      </c>
      <c r="BI175" s="6">
        <v>4500000</v>
      </c>
      <c r="BJ175" s="6">
        <v>0</v>
      </c>
      <c r="BK175" s="6">
        <v>1650000</v>
      </c>
      <c r="BL175" s="6">
        <v>2850000</v>
      </c>
      <c r="BM175" s="2">
        <v>2850000</v>
      </c>
      <c r="BN175">
        <f>InvoiceTable[[#This Row],[Giảm giá]]*InvoiceTable[[#This Row],[Số lượng]]</f>
        <v>1650000</v>
      </c>
    </row>
    <row r="176" spans="1:66" x14ac:dyDescent="0.25">
      <c r="A176" t="s">
        <v>65</v>
      </c>
      <c r="B176" t="s">
        <v>853</v>
      </c>
      <c r="F176" s="2"/>
      <c r="G176" s="3">
        <v>46014.659319131948</v>
      </c>
      <c r="H176" s="3">
        <v>46014.659319247687</v>
      </c>
      <c r="I176" s="4" t="s">
        <v>67</v>
      </c>
      <c r="J176" t="s">
        <v>854</v>
      </c>
      <c r="K176" t="s">
        <v>67</v>
      </c>
      <c r="L176" t="s">
        <v>855</v>
      </c>
      <c r="M176" t="s">
        <v>856</v>
      </c>
      <c r="N176" t="s">
        <v>857</v>
      </c>
      <c r="O176" t="s">
        <v>858</v>
      </c>
      <c r="P176" t="s">
        <v>859</v>
      </c>
      <c r="S176" s="5"/>
      <c r="T176" t="s">
        <v>72</v>
      </c>
      <c r="U176" t="s">
        <v>73</v>
      </c>
      <c r="V176" t="s">
        <v>74</v>
      </c>
      <c r="W176" t="s">
        <v>87</v>
      </c>
      <c r="AE176" s="2"/>
      <c r="AF176" s="2"/>
      <c r="AG176" s="2"/>
      <c r="AH176" s="2"/>
      <c r="AK176" t="s">
        <v>613</v>
      </c>
      <c r="AL176" s="2">
        <v>545538</v>
      </c>
      <c r="AM176" s="2">
        <v>0</v>
      </c>
      <c r="AN176" s="2"/>
      <c r="AO176" s="2">
        <v>0</v>
      </c>
      <c r="AP176" s="2">
        <v>545538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4"/>
      <c r="AX176" t="s">
        <v>75</v>
      </c>
      <c r="AZ176" t="s">
        <v>860</v>
      </c>
      <c r="BA176" t="s">
        <v>67</v>
      </c>
      <c r="BB176" t="s">
        <v>861</v>
      </c>
      <c r="BC176" t="s">
        <v>191</v>
      </c>
      <c r="BD176" t="s">
        <v>79</v>
      </c>
      <c r="BE176" t="s">
        <v>862</v>
      </c>
      <c r="BF176" s="5">
        <v>47515</v>
      </c>
      <c r="BG176" t="s">
        <v>67</v>
      </c>
      <c r="BH176">
        <v>2</v>
      </c>
      <c r="BI176" s="6">
        <v>470291</v>
      </c>
      <c r="BJ176" s="6">
        <v>42</v>
      </c>
      <c r="BK176" s="6">
        <v>197522.22</v>
      </c>
      <c r="BL176" s="6">
        <v>272768.78000000003</v>
      </c>
      <c r="BM176" s="2">
        <v>545538</v>
      </c>
      <c r="BN176">
        <f>InvoiceTable[[#This Row],[Giảm giá]]*InvoiceTable[[#This Row],[Số lượng]]</f>
        <v>395044.44</v>
      </c>
    </row>
    <row r="177" spans="1:66" x14ac:dyDescent="0.25">
      <c r="A177" t="s">
        <v>65</v>
      </c>
      <c r="B177" t="s">
        <v>863</v>
      </c>
      <c r="F177" s="2"/>
      <c r="G177" s="3">
        <v>46014.658771099537</v>
      </c>
      <c r="H177" s="3">
        <v>46014.65874806713</v>
      </c>
      <c r="I177" s="4" t="s">
        <v>686</v>
      </c>
      <c r="J177" t="s">
        <v>864</v>
      </c>
      <c r="K177" t="s">
        <v>67</v>
      </c>
      <c r="L177" t="s">
        <v>855</v>
      </c>
      <c r="M177" t="s">
        <v>856</v>
      </c>
      <c r="N177" t="s">
        <v>857</v>
      </c>
      <c r="O177" t="s">
        <v>858</v>
      </c>
      <c r="P177" t="s">
        <v>859</v>
      </c>
      <c r="S177" s="5"/>
      <c r="T177" t="s">
        <v>72</v>
      </c>
      <c r="U177" t="s">
        <v>73</v>
      </c>
      <c r="V177" t="s">
        <v>74</v>
      </c>
      <c r="W177" t="s">
        <v>87</v>
      </c>
      <c r="AE177" s="2"/>
      <c r="AF177" s="2"/>
      <c r="AG177" s="2"/>
      <c r="AH177" s="2"/>
      <c r="AK177" t="s">
        <v>613</v>
      </c>
      <c r="AL177" s="2">
        <v>1008000</v>
      </c>
      <c r="AM177" s="2">
        <v>0</v>
      </c>
      <c r="AN177" s="2"/>
      <c r="AO177" s="2">
        <v>0</v>
      </c>
      <c r="AP177" s="2">
        <v>1008000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4"/>
      <c r="AX177" t="s">
        <v>75</v>
      </c>
      <c r="AZ177" t="s">
        <v>283</v>
      </c>
      <c r="BA177" t="s">
        <v>67</v>
      </c>
      <c r="BB177" t="s">
        <v>284</v>
      </c>
      <c r="BC177" t="s">
        <v>285</v>
      </c>
      <c r="BD177" t="s">
        <v>79</v>
      </c>
      <c r="BE177" t="s">
        <v>117</v>
      </c>
      <c r="BF177" s="5">
        <v>46569</v>
      </c>
      <c r="BG177" t="s">
        <v>67</v>
      </c>
      <c r="BH177">
        <v>1</v>
      </c>
      <c r="BI177" s="6">
        <v>1680000</v>
      </c>
      <c r="BJ177" s="6">
        <v>40</v>
      </c>
      <c r="BK177" s="6">
        <v>672000</v>
      </c>
      <c r="BL177" s="6">
        <v>1008000</v>
      </c>
      <c r="BM177" s="2">
        <v>1008000</v>
      </c>
      <c r="BN177">
        <f>InvoiceTable[[#This Row],[Giảm giá]]*InvoiceTable[[#This Row],[Số lượng]]</f>
        <v>672000</v>
      </c>
    </row>
    <row r="178" spans="1:66" x14ac:dyDescent="0.25">
      <c r="A178" t="s">
        <v>65</v>
      </c>
      <c r="B178" t="s">
        <v>865</v>
      </c>
      <c r="F178" s="2"/>
      <c r="G178" s="3">
        <v>46014.650557210647</v>
      </c>
      <c r="H178" s="3">
        <v>46014.650522488424</v>
      </c>
      <c r="I178" s="4" t="s">
        <v>96</v>
      </c>
      <c r="J178" t="s">
        <v>67</v>
      </c>
      <c r="K178" t="s">
        <v>67</v>
      </c>
      <c r="L178" t="s">
        <v>866</v>
      </c>
      <c r="M178" t="s">
        <v>867</v>
      </c>
      <c r="N178" t="s">
        <v>868</v>
      </c>
      <c r="O178" t="s">
        <v>869</v>
      </c>
      <c r="P178" t="s">
        <v>870</v>
      </c>
      <c r="S178" s="5"/>
      <c r="T178" t="s">
        <v>72</v>
      </c>
      <c r="U178" t="s">
        <v>87</v>
      </c>
      <c r="V178" t="s">
        <v>74</v>
      </c>
      <c r="W178" t="s">
        <v>87</v>
      </c>
      <c r="AE178" s="2"/>
      <c r="AF178" s="2"/>
      <c r="AG178" s="2"/>
      <c r="AH178" s="2"/>
      <c r="AK178" t="s">
        <v>871</v>
      </c>
      <c r="AL178" s="2">
        <v>3460000</v>
      </c>
      <c r="AM178" s="2">
        <v>0</v>
      </c>
      <c r="AN178" s="2"/>
      <c r="AO178" s="2">
        <v>0</v>
      </c>
      <c r="AP178" s="2">
        <v>3460000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4"/>
      <c r="AX178" t="s">
        <v>75</v>
      </c>
      <c r="AZ178" t="s">
        <v>872</v>
      </c>
      <c r="BA178" t="s">
        <v>67</v>
      </c>
      <c r="BB178" t="s">
        <v>873</v>
      </c>
      <c r="BC178" t="s">
        <v>874</v>
      </c>
      <c r="BD178" t="s">
        <v>79</v>
      </c>
      <c r="BE178" t="s">
        <v>155</v>
      </c>
      <c r="BF178" s="5">
        <v>46600</v>
      </c>
      <c r="BH178">
        <v>2</v>
      </c>
      <c r="BI178" s="6">
        <v>2750000</v>
      </c>
      <c r="BJ178" s="6">
        <v>0</v>
      </c>
      <c r="BK178" s="6">
        <v>1020000</v>
      </c>
      <c r="BL178" s="6">
        <v>1730000</v>
      </c>
      <c r="BM178" s="2">
        <v>3460000</v>
      </c>
      <c r="BN178">
        <f>InvoiceTable[[#This Row],[Giảm giá]]*InvoiceTable[[#This Row],[Số lượng]]</f>
        <v>2040000</v>
      </c>
    </row>
    <row r="179" spans="1:66" x14ac:dyDescent="0.25">
      <c r="A179" t="s">
        <v>65</v>
      </c>
      <c r="B179" t="s">
        <v>875</v>
      </c>
      <c r="F179" s="2"/>
      <c r="G179" s="3">
        <v>46014.644329166666</v>
      </c>
      <c r="H179" s="3">
        <v>46014.644329317132</v>
      </c>
      <c r="I179" s="4" t="s">
        <v>67</v>
      </c>
      <c r="J179" t="s">
        <v>67</v>
      </c>
      <c r="K179" t="s">
        <v>67</v>
      </c>
      <c r="L179" t="s">
        <v>876</v>
      </c>
      <c r="M179" t="s">
        <v>877</v>
      </c>
      <c r="N179" t="s">
        <v>67</v>
      </c>
      <c r="O179" t="s">
        <v>878</v>
      </c>
      <c r="P179" t="s">
        <v>879</v>
      </c>
      <c r="Q179" t="s">
        <v>880</v>
      </c>
      <c r="R179" t="s">
        <v>881</v>
      </c>
      <c r="S179" s="5"/>
      <c r="T179" t="s">
        <v>72</v>
      </c>
      <c r="U179" t="s">
        <v>87</v>
      </c>
      <c r="V179" t="s">
        <v>74</v>
      </c>
      <c r="W179" t="s">
        <v>87</v>
      </c>
      <c r="AE179" s="2"/>
      <c r="AF179" s="2"/>
      <c r="AG179" s="2"/>
      <c r="AH179" s="2"/>
      <c r="AL179" s="2">
        <v>8904000</v>
      </c>
      <c r="AM179" s="2">
        <v>0</v>
      </c>
      <c r="AN179" s="2"/>
      <c r="AO179" s="2">
        <v>0</v>
      </c>
      <c r="AP179" s="2">
        <v>8904000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4"/>
      <c r="AX179" t="s">
        <v>75</v>
      </c>
      <c r="AZ179" t="s">
        <v>283</v>
      </c>
      <c r="BA179" t="s">
        <v>67</v>
      </c>
      <c r="BB179" t="s">
        <v>284</v>
      </c>
      <c r="BC179" t="s">
        <v>285</v>
      </c>
      <c r="BD179" t="s">
        <v>79</v>
      </c>
      <c r="BE179" t="s">
        <v>117</v>
      </c>
      <c r="BF179" s="5">
        <v>46569</v>
      </c>
      <c r="BH179">
        <v>10</v>
      </c>
      <c r="BI179" s="6">
        <v>1680000</v>
      </c>
      <c r="BJ179" s="6">
        <v>47</v>
      </c>
      <c r="BK179" s="6">
        <v>789600</v>
      </c>
      <c r="BL179" s="6">
        <v>890400</v>
      </c>
      <c r="BM179" s="2">
        <v>8904000</v>
      </c>
      <c r="BN179">
        <f>InvoiceTable[[#This Row],[Giảm giá]]*InvoiceTable[[#This Row],[Số lượng]]</f>
        <v>7896000</v>
      </c>
    </row>
    <row r="180" spans="1:66" x14ac:dyDescent="0.25">
      <c r="A180" t="s">
        <v>65</v>
      </c>
      <c r="B180" t="s">
        <v>882</v>
      </c>
      <c r="F180" s="2"/>
      <c r="G180" s="3">
        <v>46014.643553784721</v>
      </c>
      <c r="H180" s="3">
        <v>46014.643519212965</v>
      </c>
      <c r="I180" s="4" t="s">
        <v>96</v>
      </c>
      <c r="J180" t="s">
        <v>883</v>
      </c>
      <c r="K180" t="s">
        <v>67</v>
      </c>
      <c r="L180" t="s">
        <v>884</v>
      </c>
      <c r="M180" t="s">
        <v>885</v>
      </c>
      <c r="N180" t="s">
        <v>67</v>
      </c>
      <c r="O180" t="s">
        <v>886</v>
      </c>
      <c r="P180" t="s">
        <v>887</v>
      </c>
      <c r="Q180" t="s">
        <v>67</v>
      </c>
      <c r="R180" t="s">
        <v>67</v>
      </c>
      <c r="S180" s="5"/>
      <c r="T180" t="s">
        <v>72</v>
      </c>
      <c r="U180" t="s">
        <v>102</v>
      </c>
      <c r="V180" t="s">
        <v>74</v>
      </c>
      <c r="W180" t="s">
        <v>87</v>
      </c>
      <c r="AE180" s="2"/>
      <c r="AF180" s="2"/>
      <c r="AG180" s="2"/>
      <c r="AH180" s="2"/>
      <c r="AK180" t="s">
        <v>888</v>
      </c>
      <c r="AL180" s="2">
        <v>1353000</v>
      </c>
      <c r="AM180" s="2">
        <v>0</v>
      </c>
      <c r="AN180" s="2"/>
      <c r="AO180" s="2">
        <v>0</v>
      </c>
      <c r="AP180" s="2">
        <v>1353000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4"/>
      <c r="AX180" t="s">
        <v>75</v>
      </c>
      <c r="AZ180" t="s">
        <v>889</v>
      </c>
      <c r="BA180" t="s">
        <v>67</v>
      </c>
      <c r="BB180" t="s">
        <v>890</v>
      </c>
      <c r="BC180" t="s">
        <v>285</v>
      </c>
      <c r="BD180" t="s">
        <v>79</v>
      </c>
      <c r="BE180" t="s">
        <v>117</v>
      </c>
      <c r="BF180" s="5">
        <v>46569</v>
      </c>
      <c r="BH180">
        <v>1</v>
      </c>
      <c r="BI180" s="6">
        <v>780000</v>
      </c>
      <c r="BJ180" s="6">
        <v>45</v>
      </c>
      <c r="BK180" s="6">
        <v>351000</v>
      </c>
      <c r="BL180" s="6">
        <v>429000</v>
      </c>
      <c r="BM180" s="2">
        <v>429000</v>
      </c>
      <c r="BN180">
        <f>InvoiceTable[[#This Row],[Giảm giá]]*InvoiceTable[[#This Row],[Số lượng]]</f>
        <v>351000</v>
      </c>
    </row>
    <row r="181" spans="1:66" x14ac:dyDescent="0.25">
      <c r="A181" t="s">
        <v>65</v>
      </c>
      <c r="B181" t="s">
        <v>882</v>
      </c>
      <c r="F181" s="2"/>
      <c r="G181" s="3">
        <v>46014.643553784721</v>
      </c>
      <c r="H181" s="3">
        <v>46014.643519212965</v>
      </c>
      <c r="I181" s="4" t="s">
        <v>96</v>
      </c>
      <c r="J181" t="s">
        <v>883</v>
      </c>
      <c r="K181" t="s">
        <v>67</v>
      </c>
      <c r="L181" t="s">
        <v>884</v>
      </c>
      <c r="M181" t="s">
        <v>885</v>
      </c>
      <c r="N181" t="s">
        <v>67</v>
      </c>
      <c r="O181" t="s">
        <v>886</v>
      </c>
      <c r="P181" t="s">
        <v>887</v>
      </c>
      <c r="Q181" t="s">
        <v>67</v>
      </c>
      <c r="R181" t="s">
        <v>67</v>
      </c>
      <c r="S181" s="5"/>
      <c r="T181" t="s">
        <v>72</v>
      </c>
      <c r="U181" t="s">
        <v>102</v>
      </c>
      <c r="V181" t="s">
        <v>74</v>
      </c>
      <c r="W181" t="s">
        <v>87</v>
      </c>
      <c r="AE181" s="2"/>
      <c r="AF181" s="2"/>
      <c r="AG181" s="2"/>
      <c r="AH181" s="2"/>
      <c r="AK181" t="s">
        <v>888</v>
      </c>
      <c r="AL181" s="2">
        <v>1353000</v>
      </c>
      <c r="AM181" s="2">
        <v>0</v>
      </c>
      <c r="AN181" s="2"/>
      <c r="AO181" s="2">
        <v>0</v>
      </c>
      <c r="AP181" s="2">
        <v>1353000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4"/>
      <c r="AX181" t="s">
        <v>75</v>
      </c>
      <c r="AZ181" t="s">
        <v>283</v>
      </c>
      <c r="BA181" t="s">
        <v>67</v>
      </c>
      <c r="BB181" t="s">
        <v>284</v>
      </c>
      <c r="BC181" t="s">
        <v>285</v>
      </c>
      <c r="BD181" t="s">
        <v>79</v>
      </c>
      <c r="BE181" t="s">
        <v>117</v>
      </c>
      <c r="BF181" s="5">
        <v>46569</v>
      </c>
      <c r="BH181">
        <v>1</v>
      </c>
      <c r="BI181" s="6">
        <v>1680000</v>
      </c>
      <c r="BJ181" s="6">
        <v>45</v>
      </c>
      <c r="BK181" s="6">
        <v>756000</v>
      </c>
      <c r="BL181" s="6">
        <v>924000</v>
      </c>
      <c r="BM181" s="2">
        <v>924000</v>
      </c>
      <c r="BN181">
        <f>InvoiceTable[[#This Row],[Giảm giá]]*InvoiceTable[[#This Row],[Số lượng]]</f>
        <v>756000</v>
      </c>
    </row>
    <row r="182" spans="1:66" x14ac:dyDescent="0.25">
      <c r="A182" t="s">
        <v>65</v>
      </c>
      <c r="B182" t="s">
        <v>891</v>
      </c>
      <c r="F182" s="2"/>
      <c r="G182" s="3">
        <v>46014.637716168982</v>
      </c>
      <c r="H182" s="3">
        <v>46014.637693090277</v>
      </c>
      <c r="I182" s="4" t="s">
        <v>686</v>
      </c>
      <c r="J182" t="s">
        <v>67</v>
      </c>
      <c r="K182" t="s">
        <v>67</v>
      </c>
      <c r="L182" t="s">
        <v>303</v>
      </c>
      <c r="M182" t="s">
        <v>304</v>
      </c>
      <c r="N182" t="s">
        <v>67</v>
      </c>
      <c r="O182" t="s">
        <v>305</v>
      </c>
      <c r="P182" t="s">
        <v>306</v>
      </c>
      <c r="Q182" t="s">
        <v>67</v>
      </c>
      <c r="R182" t="s">
        <v>67</v>
      </c>
      <c r="S182" s="5"/>
      <c r="T182" t="s">
        <v>72</v>
      </c>
      <c r="U182" t="s">
        <v>87</v>
      </c>
      <c r="V182" t="s">
        <v>74</v>
      </c>
      <c r="W182" t="s">
        <v>87</v>
      </c>
      <c r="AE182" s="2"/>
      <c r="AF182" s="2"/>
      <c r="AG182" s="2"/>
      <c r="AH182" s="2"/>
      <c r="AL182" s="2">
        <v>77600000</v>
      </c>
      <c r="AM182" s="2">
        <v>0</v>
      </c>
      <c r="AN182" s="2"/>
      <c r="AO182" s="2">
        <v>0</v>
      </c>
      <c r="AP182" s="2">
        <v>77600000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4"/>
      <c r="AX182" t="s">
        <v>75</v>
      </c>
      <c r="AZ182" t="s">
        <v>103</v>
      </c>
      <c r="BB182" t="s">
        <v>104</v>
      </c>
      <c r="BC182" t="s">
        <v>105</v>
      </c>
      <c r="BD182" t="s">
        <v>79</v>
      </c>
      <c r="BE182" t="s">
        <v>106</v>
      </c>
      <c r="BF182" s="5">
        <v>46327</v>
      </c>
      <c r="BH182">
        <v>20</v>
      </c>
      <c r="BI182" s="6">
        <v>6930000</v>
      </c>
      <c r="BJ182" s="6">
        <v>0</v>
      </c>
      <c r="BK182" s="6">
        <v>3050000</v>
      </c>
      <c r="BL182" s="6">
        <v>3880000</v>
      </c>
      <c r="BM182" s="2">
        <v>77600000</v>
      </c>
      <c r="BN182">
        <f>InvoiceTable[[#This Row],[Giảm giá]]*InvoiceTable[[#This Row],[Số lượng]]</f>
        <v>61000000</v>
      </c>
    </row>
    <row r="183" spans="1:66" x14ac:dyDescent="0.25">
      <c r="A183" t="s">
        <v>65</v>
      </c>
      <c r="B183" t="s">
        <v>892</v>
      </c>
      <c r="F183" s="2"/>
      <c r="G183" s="3">
        <v>46014.637429513888</v>
      </c>
      <c r="H183" s="3">
        <v>46014.637406516202</v>
      </c>
      <c r="I183" s="4" t="s">
        <v>686</v>
      </c>
      <c r="J183" t="s">
        <v>893</v>
      </c>
      <c r="K183" t="s">
        <v>67</v>
      </c>
      <c r="L183" t="s">
        <v>894</v>
      </c>
      <c r="M183" t="s">
        <v>895</v>
      </c>
      <c r="N183" t="s">
        <v>67</v>
      </c>
      <c r="O183" t="s">
        <v>896</v>
      </c>
      <c r="P183" t="s">
        <v>897</v>
      </c>
      <c r="Q183" t="s">
        <v>67</v>
      </c>
      <c r="R183" t="s">
        <v>67</v>
      </c>
      <c r="S183" s="5"/>
      <c r="T183" t="s">
        <v>72</v>
      </c>
      <c r="U183" t="s">
        <v>102</v>
      </c>
      <c r="V183" t="s">
        <v>74</v>
      </c>
      <c r="W183" t="s">
        <v>87</v>
      </c>
      <c r="AE183" s="2"/>
      <c r="AF183" s="2"/>
      <c r="AG183" s="2"/>
      <c r="AH183" s="2"/>
      <c r="AK183" t="s">
        <v>898</v>
      </c>
      <c r="AL183" s="2">
        <v>5100000</v>
      </c>
      <c r="AM183" s="2">
        <v>0</v>
      </c>
      <c r="AN183" s="2"/>
      <c r="AO183" s="2">
        <v>0</v>
      </c>
      <c r="AP183" s="2">
        <v>5100000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4"/>
      <c r="AX183" t="s">
        <v>75</v>
      </c>
      <c r="AZ183" t="s">
        <v>107</v>
      </c>
      <c r="BA183" t="s">
        <v>67</v>
      </c>
      <c r="BB183" t="s">
        <v>108</v>
      </c>
      <c r="BC183" t="s">
        <v>109</v>
      </c>
      <c r="BD183" t="s">
        <v>79</v>
      </c>
      <c r="BE183" t="s">
        <v>94</v>
      </c>
      <c r="BF183" s="5">
        <v>46692</v>
      </c>
      <c r="BH183">
        <v>2</v>
      </c>
      <c r="BI183" s="6">
        <v>4500000</v>
      </c>
      <c r="BJ183" s="6">
        <v>0</v>
      </c>
      <c r="BK183" s="6">
        <v>1950000</v>
      </c>
      <c r="BL183" s="6">
        <v>2550000</v>
      </c>
      <c r="BM183" s="2">
        <v>5100000</v>
      </c>
      <c r="BN183">
        <f>InvoiceTable[[#This Row],[Giảm giá]]*InvoiceTable[[#This Row],[Số lượng]]</f>
        <v>3900000</v>
      </c>
    </row>
    <row r="184" spans="1:66" x14ac:dyDescent="0.25">
      <c r="A184" t="s">
        <v>65</v>
      </c>
      <c r="B184" t="s">
        <v>899</v>
      </c>
      <c r="F184" s="2"/>
      <c r="G184" s="3">
        <v>46014.636812881945</v>
      </c>
      <c r="H184" s="3">
        <v>46014.636801504632</v>
      </c>
      <c r="I184" s="4" t="s">
        <v>844</v>
      </c>
      <c r="J184" t="s">
        <v>67</v>
      </c>
      <c r="K184" t="s">
        <v>67</v>
      </c>
      <c r="L184" t="s">
        <v>766</v>
      </c>
      <c r="M184" t="s">
        <v>767</v>
      </c>
      <c r="N184" t="s">
        <v>67</v>
      </c>
      <c r="Q184" t="s">
        <v>67</v>
      </c>
      <c r="R184" t="s">
        <v>67</v>
      </c>
      <c r="S184" s="5"/>
      <c r="T184" t="s">
        <v>72</v>
      </c>
      <c r="U184" t="s">
        <v>87</v>
      </c>
      <c r="V184" t="s">
        <v>74</v>
      </c>
      <c r="W184" t="s">
        <v>87</v>
      </c>
      <c r="AE184" s="2"/>
      <c r="AF184" s="2"/>
      <c r="AG184" s="2"/>
      <c r="AH184" s="2"/>
      <c r="AL184" s="2">
        <v>2950000</v>
      </c>
      <c r="AM184" s="2">
        <v>0</v>
      </c>
      <c r="AN184" s="2"/>
      <c r="AO184" s="2">
        <v>0</v>
      </c>
      <c r="AP184" s="2">
        <v>2950000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4"/>
      <c r="AX184" t="s">
        <v>75</v>
      </c>
      <c r="AZ184" t="s">
        <v>748</v>
      </c>
      <c r="BA184" t="s">
        <v>67</v>
      </c>
      <c r="BB184" t="s">
        <v>749</v>
      </c>
      <c r="BC184" t="s">
        <v>750</v>
      </c>
      <c r="BD184" t="s">
        <v>79</v>
      </c>
      <c r="BE184" t="s">
        <v>751</v>
      </c>
      <c r="BF184" s="5">
        <v>46625</v>
      </c>
      <c r="BH184">
        <v>1</v>
      </c>
      <c r="BI184" s="6">
        <v>1500000</v>
      </c>
      <c r="BJ184" s="6">
        <v>0</v>
      </c>
      <c r="BK184" s="6">
        <v>450000</v>
      </c>
      <c r="BL184" s="6">
        <v>1050000</v>
      </c>
      <c r="BM184" s="2">
        <v>1050000</v>
      </c>
      <c r="BN184">
        <f>InvoiceTable[[#This Row],[Giảm giá]]*InvoiceTable[[#This Row],[Số lượng]]</f>
        <v>450000</v>
      </c>
    </row>
    <row r="185" spans="1:66" x14ac:dyDescent="0.25">
      <c r="A185" t="s">
        <v>65</v>
      </c>
      <c r="B185" t="s">
        <v>899</v>
      </c>
      <c r="F185" s="2"/>
      <c r="G185" s="3">
        <v>46014.636812881945</v>
      </c>
      <c r="H185" s="3">
        <v>46014.636801504632</v>
      </c>
      <c r="I185" s="4" t="s">
        <v>844</v>
      </c>
      <c r="J185" t="s">
        <v>67</v>
      </c>
      <c r="K185" t="s">
        <v>67</v>
      </c>
      <c r="L185" t="s">
        <v>766</v>
      </c>
      <c r="M185" t="s">
        <v>767</v>
      </c>
      <c r="N185" t="s">
        <v>67</v>
      </c>
      <c r="Q185" t="s">
        <v>67</v>
      </c>
      <c r="R185" t="s">
        <v>67</v>
      </c>
      <c r="S185" s="5"/>
      <c r="T185" t="s">
        <v>72</v>
      </c>
      <c r="U185" t="s">
        <v>87</v>
      </c>
      <c r="V185" t="s">
        <v>74</v>
      </c>
      <c r="W185" t="s">
        <v>87</v>
      </c>
      <c r="AE185" s="2"/>
      <c r="AF185" s="2"/>
      <c r="AG185" s="2"/>
      <c r="AH185" s="2"/>
      <c r="AL185" s="2">
        <v>2950000</v>
      </c>
      <c r="AM185" s="2">
        <v>0</v>
      </c>
      <c r="AN185" s="2"/>
      <c r="AO185" s="2">
        <v>0</v>
      </c>
      <c r="AP185" s="2">
        <v>2950000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4"/>
      <c r="AX185" t="s">
        <v>75</v>
      </c>
      <c r="AZ185" t="s">
        <v>900</v>
      </c>
      <c r="BA185" t="s">
        <v>67</v>
      </c>
      <c r="BB185" t="s">
        <v>901</v>
      </c>
      <c r="BC185" t="s">
        <v>902</v>
      </c>
      <c r="BD185" t="s">
        <v>79</v>
      </c>
      <c r="BE185" t="s">
        <v>903</v>
      </c>
      <c r="BF185" s="5">
        <v>47017</v>
      </c>
      <c r="BG185" t="s">
        <v>67</v>
      </c>
      <c r="BH185">
        <v>1</v>
      </c>
      <c r="BI185" s="6">
        <v>2200000</v>
      </c>
      <c r="BJ185" s="6">
        <v>0</v>
      </c>
      <c r="BK185" s="6">
        <v>300000</v>
      </c>
      <c r="BL185" s="6">
        <v>1900000</v>
      </c>
      <c r="BM185" s="2">
        <v>1900000</v>
      </c>
      <c r="BN185">
        <f>InvoiceTable[[#This Row],[Giảm giá]]*InvoiceTable[[#This Row],[Số lượng]]</f>
        <v>300000</v>
      </c>
    </row>
    <row r="186" spans="1:66" x14ac:dyDescent="0.25">
      <c r="A186" t="s">
        <v>65</v>
      </c>
      <c r="B186" t="s">
        <v>904</v>
      </c>
      <c r="F186" s="2"/>
      <c r="G186" s="3">
        <v>46014.623115428243</v>
      </c>
      <c r="H186" s="3">
        <v>46014.623115543982</v>
      </c>
      <c r="I186" s="4" t="s">
        <v>67</v>
      </c>
      <c r="J186" t="s">
        <v>67</v>
      </c>
      <c r="K186" t="s">
        <v>67</v>
      </c>
      <c r="L186" t="s">
        <v>119</v>
      </c>
      <c r="M186" t="s">
        <v>120</v>
      </c>
      <c r="N186" t="s">
        <v>67</v>
      </c>
      <c r="O186" t="s">
        <v>121</v>
      </c>
      <c r="Q186" t="s">
        <v>122</v>
      </c>
      <c r="R186" t="s">
        <v>123</v>
      </c>
      <c r="S186" s="5"/>
      <c r="T186" t="s">
        <v>72</v>
      </c>
      <c r="U186" t="s">
        <v>102</v>
      </c>
      <c r="V186" t="s">
        <v>74</v>
      </c>
      <c r="W186" t="s">
        <v>102</v>
      </c>
      <c r="AE186" s="2"/>
      <c r="AF186" s="2"/>
      <c r="AG186" s="2"/>
      <c r="AH186" s="2"/>
      <c r="AL186" s="2">
        <v>2093500</v>
      </c>
      <c r="AM186" s="2">
        <v>0</v>
      </c>
      <c r="AN186" s="2"/>
      <c r="AO186" s="2">
        <v>0</v>
      </c>
      <c r="AP186" s="2">
        <v>2093500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4"/>
      <c r="AX186" t="s">
        <v>75</v>
      </c>
      <c r="AZ186" t="s">
        <v>905</v>
      </c>
      <c r="BA186" t="s">
        <v>67</v>
      </c>
      <c r="BB186" t="s">
        <v>906</v>
      </c>
      <c r="BC186" t="s">
        <v>285</v>
      </c>
      <c r="BD186" t="s">
        <v>79</v>
      </c>
      <c r="BE186" t="s">
        <v>117</v>
      </c>
      <c r="BF186" s="5">
        <v>46569</v>
      </c>
      <c r="BH186">
        <v>1</v>
      </c>
      <c r="BI186" s="6">
        <v>3950000</v>
      </c>
      <c r="BJ186" s="6">
        <v>47</v>
      </c>
      <c r="BK186" s="6">
        <v>1856500</v>
      </c>
      <c r="BL186" s="6">
        <v>2093500</v>
      </c>
      <c r="BM186" s="2">
        <v>2093500</v>
      </c>
      <c r="BN186">
        <f>InvoiceTable[[#This Row],[Giảm giá]]*InvoiceTable[[#This Row],[Số lượng]]</f>
        <v>1856500</v>
      </c>
    </row>
    <row r="187" spans="1:66" x14ac:dyDescent="0.25">
      <c r="A187" t="s">
        <v>65</v>
      </c>
      <c r="B187" t="s">
        <v>907</v>
      </c>
      <c r="F187" s="2"/>
      <c r="G187" s="3">
        <v>46014.610180173608</v>
      </c>
      <c r="H187" s="3">
        <v>46014.610180243057</v>
      </c>
      <c r="I187" s="4" t="s">
        <v>67</v>
      </c>
      <c r="J187" t="s">
        <v>908</v>
      </c>
      <c r="K187" t="s">
        <v>67</v>
      </c>
      <c r="L187" t="s">
        <v>464</v>
      </c>
      <c r="M187" t="s">
        <v>465</v>
      </c>
      <c r="N187" t="s">
        <v>466</v>
      </c>
      <c r="O187" t="s">
        <v>467</v>
      </c>
      <c r="P187" t="s">
        <v>468</v>
      </c>
      <c r="S187" s="5"/>
      <c r="T187" t="s">
        <v>72</v>
      </c>
      <c r="U187" t="s">
        <v>73</v>
      </c>
      <c r="V187" t="s">
        <v>74</v>
      </c>
      <c r="W187" t="s">
        <v>87</v>
      </c>
      <c r="AE187" s="2"/>
      <c r="AF187" s="2"/>
      <c r="AG187" s="2"/>
      <c r="AH187" s="2"/>
      <c r="AK187" t="s">
        <v>909</v>
      </c>
      <c r="AL187" s="2">
        <v>1751850</v>
      </c>
      <c r="AM187" s="2">
        <v>0</v>
      </c>
      <c r="AN187" s="2"/>
      <c r="AO187" s="2">
        <v>0</v>
      </c>
      <c r="AP187" s="2">
        <v>1751850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4"/>
      <c r="AX187" t="s">
        <v>75</v>
      </c>
      <c r="AZ187" t="s">
        <v>365</v>
      </c>
      <c r="BA187" t="s">
        <v>67</v>
      </c>
      <c r="BB187" t="s">
        <v>366</v>
      </c>
      <c r="BC187" t="s">
        <v>367</v>
      </c>
      <c r="BD187" t="s">
        <v>79</v>
      </c>
      <c r="BE187" t="s">
        <v>94</v>
      </c>
      <c r="BF187" s="5">
        <v>46692</v>
      </c>
      <c r="BH187">
        <v>5</v>
      </c>
      <c r="BI187" s="6">
        <v>380000</v>
      </c>
      <c r="BJ187" s="6">
        <v>30</v>
      </c>
      <c r="BK187" s="6">
        <v>114000</v>
      </c>
      <c r="BL187" s="6">
        <v>266000</v>
      </c>
      <c r="BM187" s="2">
        <v>1330000</v>
      </c>
      <c r="BN187">
        <f>InvoiceTable[[#This Row],[Giảm giá]]*InvoiceTable[[#This Row],[Số lượng]]</f>
        <v>570000</v>
      </c>
    </row>
    <row r="188" spans="1:66" x14ac:dyDescent="0.25">
      <c r="A188" t="s">
        <v>65</v>
      </c>
      <c r="B188" t="s">
        <v>907</v>
      </c>
      <c r="F188" s="2"/>
      <c r="G188" s="3">
        <v>46014.610180173608</v>
      </c>
      <c r="H188" s="3">
        <v>46014.610180243057</v>
      </c>
      <c r="I188" s="4" t="s">
        <v>67</v>
      </c>
      <c r="J188" t="s">
        <v>908</v>
      </c>
      <c r="K188" t="s">
        <v>67</v>
      </c>
      <c r="L188" t="s">
        <v>464</v>
      </c>
      <c r="M188" t="s">
        <v>465</v>
      </c>
      <c r="N188" t="s">
        <v>466</v>
      </c>
      <c r="O188" t="s">
        <v>467</v>
      </c>
      <c r="P188" t="s">
        <v>468</v>
      </c>
      <c r="S188" s="5"/>
      <c r="T188" t="s">
        <v>72</v>
      </c>
      <c r="U188" t="s">
        <v>73</v>
      </c>
      <c r="V188" t="s">
        <v>74</v>
      </c>
      <c r="W188" t="s">
        <v>87</v>
      </c>
      <c r="AE188" s="2"/>
      <c r="AF188" s="2"/>
      <c r="AG188" s="2"/>
      <c r="AH188" s="2"/>
      <c r="AK188" t="s">
        <v>909</v>
      </c>
      <c r="AL188" s="2">
        <v>1751850</v>
      </c>
      <c r="AM188" s="2">
        <v>0</v>
      </c>
      <c r="AN188" s="2"/>
      <c r="AO188" s="2">
        <v>0</v>
      </c>
      <c r="AP188" s="2">
        <v>1751850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4"/>
      <c r="AX188" t="s">
        <v>75</v>
      </c>
      <c r="AZ188" t="s">
        <v>910</v>
      </c>
      <c r="BA188" t="s">
        <v>67</v>
      </c>
      <c r="BB188" t="s">
        <v>911</v>
      </c>
      <c r="BC188" t="s">
        <v>804</v>
      </c>
      <c r="BD188" t="s">
        <v>79</v>
      </c>
      <c r="BE188" t="s">
        <v>168</v>
      </c>
      <c r="BF188" s="5">
        <v>46388</v>
      </c>
      <c r="BG188" t="s">
        <v>67</v>
      </c>
      <c r="BH188">
        <v>1</v>
      </c>
      <c r="BI188" s="6">
        <v>649000</v>
      </c>
      <c r="BJ188" s="6">
        <v>35</v>
      </c>
      <c r="BK188" s="6">
        <v>227150</v>
      </c>
      <c r="BL188" s="6">
        <v>421850</v>
      </c>
      <c r="BM188" s="2">
        <v>421850</v>
      </c>
      <c r="BN188">
        <f>InvoiceTable[[#This Row],[Giảm giá]]*InvoiceTable[[#This Row],[Số lượng]]</f>
        <v>227150</v>
      </c>
    </row>
    <row r="189" spans="1:66" x14ac:dyDescent="0.25">
      <c r="A189" t="s">
        <v>65</v>
      </c>
      <c r="B189" t="s">
        <v>912</v>
      </c>
      <c r="F189" s="2"/>
      <c r="G189" s="3">
        <v>46014.610007986113</v>
      </c>
      <c r="H189" s="3">
        <v>46014.610008101852</v>
      </c>
      <c r="I189" s="4" t="s">
        <v>67</v>
      </c>
      <c r="J189" t="s">
        <v>913</v>
      </c>
      <c r="K189" t="s">
        <v>67</v>
      </c>
      <c r="L189" t="s">
        <v>914</v>
      </c>
      <c r="M189" t="s">
        <v>915</v>
      </c>
      <c r="N189" t="s">
        <v>916</v>
      </c>
      <c r="O189" t="s">
        <v>917</v>
      </c>
      <c r="P189" t="s">
        <v>918</v>
      </c>
      <c r="S189" s="5"/>
      <c r="T189" t="s">
        <v>72</v>
      </c>
      <c r="U189" t="s">
        <v>87</v>
      </c>
      <c r="V189" t="s">
        <v>74</v>
      </c>
      <c r="W189" t="s">
        <v>87</v>
      </c>
      <c r="AE189" s="2"/>
      <c r="AF189" s="2"/>
      <c r="AG189" s="2"/>
      <c r="AH189" s="2"/>
      <c r="AL189" s="2">
        <v>6365536</v>
      </c>
      <c r="AM189" s="2">
        <v>0</v>
      </c>
      <c r="AN189" s="2"/>
      <c r="AO189" s="2">
        <v>0</v>
      </c>
      <c r="AP189" s="2">
        <v>6365536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4"/>
      <c r="AX189" t="s">
        <v>75</v>
      </c>
      <c r="AZ189" t="s">
        <v>919</v>
      </c>
      <c r="BA189" t="s">
        <v>67</v>
      </c>
      <c r="BB189" t="s">
        <v>920</v>
      </c>
      <c r="BC189" t="s">
        <v>822</v>
      </c>
      <c r="BD189" t="s">
        <v>79</v>
      </c>
      <c r="BE189" t="s">
        <v>921</v>
      </c>
      <c r="BF189" s="5">
        <v>47392</v>
      </c>
      <c r="BG189" t="s">
        <v>67</v>
      </c>
      <c r="BH189">
        <v>5</v>
      </c>
      <c r="BI189" s="6">
        <v>1364727</v>
      </c>
      <c r="BJ189" s="6">
        <v>44</v>
      </c>
      <c r="BK189" s="6">
        <v>600479.88</v>
      </c>
      <c r="BL189" s="6">
        <v>764247.12</v>
      </c>
      <c r="BM189" s="2">
        <v>3821236</v>
      </c>
      <c r="BN189">
        <f>InvoiceTable[[#This Row],[Giảm giá]]*InvoiceTable[[#This Row],[Số lượng]]</f>
        <v>3002399.4</v>
      </c>
    </row>
    <row r="190" spans="1:66" x14ac:dyDescent="0.25">
      <c r="A190" t="s">
        <v>65</v>
      </c>
      <c r="B190" t="s">
        <v>912</v>
      </c>
      <c r="F190" s="2"/>
      <c r="G190" s="3">
        <v>46014.610007986113</v>
      </c>
      <c r="H190" s="3">
        <v>46014.610008101852</v>
      </c>
      <c r="I190" s="4" t="s">
        <v>67</v>
      </c>
      <c r="J190" t="s">
        <v>913</v>
      </c>
      <c r="K190" t="s">
        <v>67</v>
      </c>
      <c r="L190" t="s">
        <v>914</v>
      </c>
      <c r="M190" t="s">
        <v>915</v>
      </c>
      <c r="N190" t="s">
        <v>916</v>
      </c>
      <c r="O190" t="s">
        <v>917</v>
      </c>
      <c r="P190" t="s">
        <v>918</v>
      </c>
      <c r="S190" s="5"/>
      <c r="T190" t="s">
        <v>72</v>
      </c>
      <c r="U190" t="s">
        <v>87</v>
      </c>
      <c r="V190" t="s">
        <v>74</v>
      </c>
      <c r="W190" t="s">
        <v>87</v>
      </c>
      <c r="AE190" s="2"/>
      <c r="AF190" s="2"/>
      <c r="AG190" s="2"/>
      <c r="AH190" s="2"/>
      <c r="AL190" s="2">
        <v>6365536</v>
      </c>
      <c r="AM190" s="2">
        <v>0</v>
      </c>
      <c r="AN190" s="2"/>
      <c r="AO190" s="2">
        <v>0</v>
      </c>
      <c r="AP190" s="2">
        <v>6365536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4"/>
      <c r="AX190" t="s">
        <v>75</v>
      </c>
      <c r="AZ190" t="s">
        <v>922</v>
      </c>
      <c r="BA190" t="s">
        <v>67</v>
      </c>
      <c r="BB190" t="s">
        <v>923</v>
      </c>
      <c r="BC190" t="s">
        <v>187</v>
      </c>
      <c r="BD190" t="s">
        <v>79</v>
      </c>
      <c r="BE190" t="s">
        <v>177</v>
      </c>
      <c r="BF190" s="5">
        <v>47027</v>
      </c>
      <c r="BH190">
        <v>1</v>
      </c>
      <c r="BI190" s="6">
        <v>690000</v>
      </c>
      <c r="BJ190" s="6">
        <v>52</v>
      </c>
      <c r="BK190" s="6">
        <v>358800</v>
      </c>
      <c r="BL190" s="6">
        <v>331200</v>
      </c>
      <c r="BM190" s="2">
        <v>331200</v>
      </c>
      <c r="BN190">
        <f>InvoiceTable[[#This Row],[Giảm giá]]*InvoiceTable[[#This Row],[Số lượng]]</f>
        <v>358800</v>
      </c>
    </row>
    <row r="191" spans="1:66" x14ac:dyDescent="0.25">
      <c r="A191" t="s">
        <v>65</v>
      </c>
      <c r="B191" t="s">
        <v>912</v>
      </c>
      <c r="F191" s="2"/>
      <c r="G191" s="3">
        <v>46014.610007986113</v>
      </c>
      <c r="H191" s="3">
        <v>46014.610008101852</v>
      </c>
      <c r="I191" s="4" t="s">
        <v>67</v>
      </c>
      <c r="J191" t="s">
        <v>913</v>
      </c>
      <c r="K191" t="s">
        <v>67</v>
      </c>
      <c r="L191" t="s">
        <v>914</v>
      </c>
      <c r="M191" t="s">
        <v>915</v>
      </c>
      <c r="N191" t="s">
        <v>916</v>
      </c>
      <c r="O191" t="s">
        <v>917</v>
      </c>
      <c r="P191" t="s">
        <v>918</v>
      </c>
      <c r="S191" s="5"/>
      <c r="T191" t="s">
        <v>72</v>
      </c>
      <c r="U191" t="s">
        <v>87</v>
      </c>
      <c r="V191" t="s">
        <v>74</v>
      </c>
      <c r="W191" t="s">
        <v>87</v>
      </c>
      <c r="AE191" s="2"/>
      <c r="AF191" s="2"/>
      <c r="AG191" s="2"/>
      <c r="AH191" s="2"/>
      <c r="AL191" s="2">
        <v>6365536</v>
      </c>
      <c r="AM191" s="2">
        <v>0</v>
      </c>
      <c r="AN191" s="2"/>
      <c r="AO191" s="2">
        <v>0</v>
      </c>
      <c r="AP191" s="2">
        <v>6365536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4"/>
      <c r="AX191" t="s">
        <v>75</v>
      </c>
      <c r="AZ191" t="s">
        <v>924</v>
      </c>
      <c r="BA191" t="s">
        <v>67</v>
      </c>
      <c r="BB191" t="s">
        <v>925</v>
      </c>
      <c r="BC191" t="s">
        <v>187</v>
      </c>
      <c r="BD191" t="s">
        <v>79</v>
      </c>
      <c r="BE191" t="s">
        <v>926</v>
      </c>
      <c r="BF191" s="5">
        <v>46174</v>
      </c>
      <c r="BH191">
        <v>1</v>
      </c>
      <c r="BI191" s="6">
        <v>295000</v>
      </c>
      <c r="BJ191" s="6">
        <v>52</v>
      </c>
      <c r="BK191" s="6">
        <v>153400</v>
      </c>
      <c r="BL191" s="6">
        <v>141600</v>
      </c>
      <c r="BM191" s="2">
        <v>141600</v>
      </c>
      <c r="BN191">
        <f>InvoiceTable[[#This Row],[Giảm giá]]*InvoiceTable[[#This Row],[Số lượng]]</f>
        <v>153400</v>
      </c>
    </row>
    <row r="192" spans="1:66" x14ac:dyDescent="0.25">
      <c r="A192" t="s">
        <v>65</v>
      </c>
      <c r="B192" t="s">
        <v>912</v>
      </c>
      <c r="F192" s="2"/>
      <c r="G192" s="3">
        <v>46014.610007986113</v>
      </c>
      <c r="H192" s="3">
        <v>46014.610008101852</v>
      </c>
      <c r="I192" s="4" t="s">
        <v>67</v>
      </c>
      <c r="J192" t="s">
        <v>913</v>
      </c>
      <c r="K192" t="s">
        <v>67</v>
      </c>
      <c r="L192" t="s">
        <v>914</v>
      </c>
      <c r="M192" t="s">
        <v>915</v>
      </c>
      <c r="N192" t="s">
        <v>916</v>
      </c>
      <c r="O192" t="s">
        <v>917</v>
      </c>
      <c r="P192" t="s">
        <v>918</v>
      </c>
      <c r="S192" s="5"/>
      <c r="T192" t="s">
        <v>72</v>
      </c>
      <c r="U192" t="s">
        <v>87</v>
      </c>
      <c r="V192" t="s">
        <v>74</v>
      </c>
      <c r="W192" t="s">
        <v>87</v>
      </c>
      <c r="AE192" s="2"/>
      <c r="AF192" s="2"/>
      <c r="AG192" s="2"/>
      <c r="AH192" s="2"/>
      <c r="AL192" s="2">
        <v>6365536</v>
      </c>
      <c r="AM192" s="2">
        <v>0</v>
      </c>
      <c r="AN192" s="2"/>
      <c r="AO192" s="2">
        <v>0</v>
      </c>
      <c r="AP192" s="2">
        <v>6365536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4"/>
      <c r="AX192" t="s">
        <v>75</v>
      </c>
      <c r="AZ192" t="s">
        <v>927</v>
      </c>
      <c r="BA192" t="s">
        <v>67</v>
      </c>
      <c r="BB192" t="s">
        <v>928</v>
      </c>
      <c r="BC192" t="s">
        <v>187</v>
      </c>
      <c r="BD192" t="s">
        <v>79</v>
      </c>
      <c r="BE192" t="s">
        <v>378</v>
      </c>
      <c r="BF192" s="5">
        <v>46997</v>
      </c>
      <c r="BH192">
        <v>2</v>
      </c>
      <c r="BI192" s="6">
        <v>590000</v>
      </c>
      <c r="BJ192" s="6">
        <v>50</v>
      </c>
      <c r="BK192" s="6">
        <v>295000</v>
      </c>
      <c r="BL192" s="6">
        <v>295000</v>
      </c>
      <c r="BM192" s="2">
        <v>590000</v>
      </c>
      <c r="BN192">
        <f>InvoiceTable[[#This Row],[Giảm giá]]*InvoiceTable[[#This Row],[Số lượng]]</f>
        <v>590000</v>
      </c>
    </row>
    <row r="193" spans="1:66" x14ac:dyDescent="0.25">
      <c r="A193" t="s">
        <v>65</v>
      </c>
      <c r="B193" t="s">
        <v>912</v>
      </c>
      <c r="F193" s="2"/>
      <c r="G193" s="3">
        <v>46014.610007986113</v>
      </c>
      <c r="H193" s="3">
        <v>46014.610008101852</v>
      </c>
      <c r="I193" s="4" t="s">
        <v>67</v>
      </c>
      <c r="J193" t="s">
        <v>913</v>
      </c>
      <c r="K193" t="s">
        <v>67</v>
      </c>
      <c r="L193" t="s">
        <v>914</v>
      </c>
      <c r="M193" t="s">
        <v>915</v>
      </c>
      <c r="N193" t="s">
        <v>916</v>
      </c>
      <c r="O193" t="s">
        <v>917</v>
      </c>
      <c r="P193" t="s">
        <v>918</v>
      </c>
      <c r="S193" s="5"/>
      <c r="T193" t="s">
        <v>72</v>
      </c>
      <c r="U193" t="s">
        <v>87</v>
      </c>
      <c r="V193" t="s">
        <v>74</v>
      </c>
      <c r="W193" t="s">
        <v>87</v>
      </c>
      <c r="AE193" s="2"/>
      <c r="AF193" s="2"/>
      <c r="AG193" s="2"/>
      <c r="AH193" s="2"/>
      <c r="AL193" s="2">
        <v>6365536</v>
      </c>
      <c r="AM193" s="2">
        <v>0</v>
      </c>
      <c r="AN193" s="2"/>
      <c r="AO193" s="2">
        <v>0</v>
      </c>
      <c r="AP193" s="2">
        <v>6365536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4"/>
      <c r="AX193" t="s">
        <v>75</v>
      </c>
      <c r="AZ193" t="s">
        <v>659</v>
      </c>
      <c r="BA193" t="s">
        <v>67</v>
      </c>
      <c r="BB193" t="s">
        <v>660</v>
      </c>
      <c r="BC193" t="s">
        <v>223</v>
      </c>
      <c r="BD193" t="s">
        <v>79</v>
      </c>
      <c r="BE193" t="s">
        <v>661</v>
      </c>
      <c r="BF193" s="5">
        <v>47025</v>
      </c>
      <c r="BH193">
        <v>1</v>
      </c>
      <c r="BI193" s="6">
        <v>1250000</v>
      </c>
      <c r="BJ193" s="6">
        <v>47</v>
      </c>
      <c r="BK193" s="6">
        <v>587500</v>
      </c>
      <c r="BL193" s="6">
        <v>662500</v>
      </c>
      <c r="BM193" s="2">
        <v>662500</v>
      </c>
      <c r="BN193">
        <f>InvoiceTable[[#This Row],[Giảm giá]]*InvoiceTable[[#This Row],[Số lượng]]</f>
        <v>587500</v>
      </c>
    </row>
    <row r="194" spans="1:66" x14ac:dyDescent="0.25">
      <c r="A194" t="s">
        <v>65</v>
      </c>
      <c r="B194" t="s">
        <v>912</v>
      </c>
      <c r="F194" s="2"/>
      <c r="G194" s="3">
        <v>46014.610007986113</v>
      </c>
      <c r="H194" s="3">
        <v>46014.610008101852</v>
      </c>
      <c r="I194" s="4" t="s">
        <v>67</v>
      </c>
      <c r="J194" t="s">
        <v>913</v>
      </c>
      <c r="K194" t="s">
        <v>67</v>
      </c>
      <c r="L194" t="s">
        <v>914</v>
      </c>
      <c r="M194" t="s">
        <v>915</v>
      </c>
      <c r="N194" t="s">
        <v>916</v>
      </c>
      <c r="O194" t="s">
        <v>917</v>
      </c>
      <c r="P194" t="s">
        <v>918</v>
      </c>
      <c r="S194" s="5"/>
      <c r="T194" t="s">
        <v>72</v>
      </c>
      <c r="U194" t="s">
        <v>87</v>
      </c>
      <c r="V194" t="s">
        <v>74</v>
      </c>
      <c r="W194" t="s">
        <v>87</v>
      </c>
      <c r="AE194" s="2"/>
      <c r="AF194" s="2"/>
      <c r="AG194" s="2"/>
      <c r="AH194" s="2"/>
      <c r="AL194" s="2">
        <v>6365536</v>
      </c>
      <c r="AM194" s="2">
        <v>0</v>
      </c>
      <c r="AN194" s="2"/>
      <c r="AO194" s="2">
        <v>0</v>
      </c>
      <c r="AP194" s="2">
        <v>6365536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4"/>
      <c r="AX194" t="s">
        <v>75</v>
      </c>
      <c r="AZ194" t="s">
        <v>929</v>
      </c>
      <c r="BA194" t="s">
        <v>67</v>
      </c>
      <c r="BB194" t="s">
        <v>930</v>
      </c>
      <c r="BC194" t="s">
        <v>187</v>
      </c>
      <c r="BD194" t="s">
        <v>79</v>
      </c>
      <c r="BE194" t="s">
        <v>188</v>
      </c>
      <c r="BF194" s="5">
        <v>46905</v>
      </c>
      <c r="BH194">
        <v>1</v>
      </c>
      <c r="BI194" s="6">
        <v>690000</v>
      </c>
      <c r="BJ194" s="6">
        <v>50</v>
      </c>
      <c r="BK194" s="6">
        <v>345000</v>
      </c>
      <c r="BL194" s="6">
        <v>345000</v>
      </c>
      <c r="BM194" s="2">
        <v>345000</v>
      </c>
      <c r="BN194">
        <f>InvoiceTable[[#This Row],[Giảm giá]]*InvoiceTable[[#This Row],[Số lượng]]</f>
        <v>345000</v>
      </c>
    </row>
    <row r="195" spans="1:66" x14ac:dyDescent="0.25">
      <c r="A195" t="s">
        <v>65</v>
      </c>
      <c r="B195" t="s">
        <v>912</v>
      </c>
      <c r="F195" s="2"/>
      <c r="G195" s="3">
        <v>46014.610007986113</v>
      </c>
      <c r="H195" s="3">
        <v>46014.610008101852</v>
      </c>
      <c r="I195" s="4" t="s">
        <v>67</v>
      </c>
      <c r="J195" t="s">
        <v>913</v>
      </c>
      <c r="K195" t="s">
        <v>67</v>
      </c>
      <c r="L195" t="s">
        <v>914</v>
      </c>
      <c r="M195" t="s">
        <v>915</v>
      </c>
      <c r="N195" t="s">
        <v>916</v>
      </c>
      <c r="O195" t="s">
        <v>917</v>
      </c>
      <c r="P195" t="s">
        <v>918</v>
      </c>
      <c r="S195" s="5"/>
      <c r="T195" t="s">
        <v>72</v>
      </c>
      <c r="U195" t="s">
        <v>87</v>
      </c>
      <c r="V195" t="s">
        <v>74</v>
      </c>
      <c r="W195" t="s">
        <v>87</v>
      </c>
      <c r="AE195" s="2"/>
      <c r="AF195" s="2"/>
      <c r="AG195" s="2"/>
      <c r="AH195" s="2"/>
      <c r="AL195" s="2">
        <v>6365536</v>
      </c>
      <c r="AM195" s="2">
        <v>0</v>
      </c>
      <c r="AN195" s="2"/>
      <c r="AO195" s="2">
        <v>0</v>
      </c>
      <c r="AP195" s="2">
        <v>6365536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4"/>
      <c r="AX195" t="s">
        <v>75</v>
      </c>
      <c r="AZ195" t="s">
        <v>337</v>
      </c>
      <c r="BA195" t="s">
        <v>67</v>
      </c>
      <c r="BB195" t="s">
        <v>338</v>
      </c>
      <c r="BC195" t="s">
        <v>333</v>
      </c>
      <c r="BD195" t="s">
        <v>79</v>
      </c>
      <c r="BE195" t="s">
        <v>339</v>
      </c>
      <c r="BF195" s="5">
        <v>47270</v>
      </c>
      <c r="BG195" t="s">
        <v>67</v>
      </c>
      <c r="BH195">
        <v>1</v>
      </c>
      <c r="BI195" s="6">
        <v>790000</v>
      </c>
      <c r="BJ195" s="6">
        <v>40</v>
      </c>
      <c r="BK195" s="6">
        <v>316000</v>
      </c>
      <c r="BL195" s="6">
        <v>474000</v>
      </c>
      <c r="BM195" s="2">
        <v>474000</v>
      </c>
      <c r="BN195">
        <f>InvoiceTable[[#This Row],[Giảm giá]]*InvoiceTable[[#This Row],[Số lượng]]</f>
        <v>316000</v>
      </c>
    </row>
    <row r="196" spans="1:66" x14ac:dyDescent="0.25">
      <c r="A196" t="s">
        <v>65</v>
      </c>
      <c r="B196" t="s">
        <v>931</v>
      </c>
      <c r="F196" s="2"/>
      <c r="G196" s="3">
        <v>46014.609710381941</v>
      </c>
      <c r="H196" s="3">
        <v>46014.609675810185</v>
      </c>
      <c r="I196" s="4" t="s">
        <v>96</v>
      </c>
      <c r="J196" t="s">
        <v>932</v>
      </c>
      <c r="K196" t="s">
        <v>67</v>
      </c>
      <c r="L196" t="s">
        <v>933</v>
      </c>
      <c r="M196" t="s">
        <v>934</v>
      </c>
      <c r="N196" t="s">
        <v>67</v>
      </c>
      <c r="O196" t="s">
        <v>935</v>
      </c>
      <c r="S196" s="5"/>
      <c r="T196" t="s">
        <v>72</v>
      </c>
      <c r="U196" t="s">
        <v>87</v>
      </c>
      <c r="V196" t="s">
        <v>74</v>
      </c>
      <c r="W196" t="s">
        <v>87</v>
      </c>
      <c r="AE196" s="2"/>
      <c r="AF196" s="2"/>
      <c r="AG196" s="2"/>
      <c r="AH196" s="2"/>
      <c r="AK196" t="s">
        <v>936</v>
      </c>
      <c r="AL196" s="2">
        <v>758760</v>
      </c>
      <c r="AM196" s="2">
        <v>0</v>
      </c>
      <c r="AN196" s="2"/>
      <c r="AO196" s="2">
        <v>0</v>
      </c>
      <c r="AP196" s="2">
        <v>758760</v>
      </c>
      <c r="AQ196" s="2">
        <v>758760</v>
      </c>
      <c r="AR196" s="2">
        <v>0</v>
      </c>
      <c r="AS196" s="2">
        <v>0</v>
      </c>
      <c r="AT196" s="2">
        <v>0</v>
      </c>
      <c r="AU196" s="2">
        <v>758760</v>
      </c>
      <c r="AV196" s="2">
        <v>0</v>
      </c>
      <c r="AW196" s="4"/>
      <c r="AX196" t="s">
        <v>75</v>
      </c>
      <c r="AZ196" t="s">
        <v>937</v>
      </c>
      <c r="BB196" t="s">
        <v>938</v>
      </c>
      <c r="BC196" t="s">
        <v>939</v>
      </c>
      <c r="BD196" t="s">
        <v>79</v>
      </c>
      <c r="BE196" t="s">
        <v>317</v>
      </c>
      <c r="BF196" s="5">
        <v>46935</v>
      </c>
      <c r="BG196" t="s">
        <v>67</v>
      </c>
      <c r="BH196">
        <v>1</v>
      </c>
      <c r="BI196" s="6">
        <v>998000</v>
      </c>
      <c r="BJ196" s="6">
        <v>38</v>
      </c>
      <c r="BK196" s="6">
        <v>379240</v>
      </c>
      <c r="BL196" s="6">
        <v>618760</v>
      </c>
      <c r="BM196" s="2">
        <v>618760</v>
      </c>
      <c r="BN196">
        <f>InvoiceTable[[#This Row],[Giảm giá]]*InvoiceTable[[#This Row],[Số lượng]]</f>
        <v>379240</v>
      </c>
    </row>
    <row r="197" spans="1:66" x14ac:dyDescent="0.25">
      <c r="A197" t="s">
        <v>65</v>
      </c>
      <c r="B197" t="s">
        <v>931</v>
      </c>
      <c r="F197" s="2"/>
      <c r="G197" s="3">
        <v>46014.609710381941</v>
      </c>
      <c r="H197" s="3">
        <v>46014.609675810185</v>
      </c>
      <c r="I197" s="4" t="s">
        <v>96</v>
      </c>
      <c r="J197" t="s">
        <v>932</v>
      </c>
      <c r="K197" t="s">
        <v>67</v>
      </c>
      <c r="L197" t="s">
        <v>933</v>
      </c>
      <c r="M197" t="s">
        <v>934</v>
      </c>
      <c r="N197" t="s">
        <v>67</v>
      </c>
      <c r="O197" t="s">
        <v>935</v>
      </c>
      <c r="S197" s="5"/>
      <c r="T197" t="s">
        <v>72</v>
      </c>
      <c r="U197" t="s">
        <v>87</v>
      </c>
      <c r="V197" t="s">
        <v>74</v>
      </c>
      <c r="W197" t="s">
        <v>87</v>
      </c>
      <c r="AE197" s="2"/>
      <c r="AF197" s="2"/>
      <c r="AG197" s="2"/>
      <c r="AH197" s="2"/>
      <c r="AK197" t="s">
        <v>936</v>
      </c>
      <c r="AL197" s="2">
        <v>758760</v>
      </c>
      <c r="AM197" s="2">
        <v>0</v>
      </c>
      <c r="AN197" s="2"/>
      <c r="AO197" s="2">
        <v>0</v>
      </c>
      <c r="AP197" s="2">
        <v>758760</v>
      </c>
      <c r="AQ197" s="2">
        <v>758760</v>
      </c>
      <c r="AR197" s="2">
        <v>0</v>
      </c>
      <c r="AS197" s="2">
        <v>0</v>
      </c>
      <c r="AT197" s="2">
        <v>0</v>
      </c>
      <c r="AU197" s="2">
        <v>758760</v>
      </c>
      <c r="AV197" s="2">
        <v>0</v>
      </c>
      <c r="AW197" s="4"/>
      <c r="AX197" t="s">
        <v>75</v>
      </c>
      <c r="AZ197" t="s">
        <v>940</v>
      </c>
      <c r="BA197" t="s">
        <v>67</v>
      </c>
      <c r="BB197" t="s">
        <v>941</v>
      </c>
      <c r="BC197" t="s">
        <v>126</v>
      </c>
      <c r="BD197" t="s">
        <v>79</v>
      </c>
      <c r="BE197" t="s">
        <v>715</v>
      </c>
      <c r="BF197" s="5">
        <v>46631</v>
      </c>
      <c r="BG197" t="s">
        <v>67</v>
      </c>
      <c r="BH197">
        <v>2</v>
      </c>
      <c r="BI197" s="6">
        <v>250000</v>
      </c>
      <c r="BJ197" s="6">
        <v>0</v>
      </c>
      <c r="BK197" s="6">
        <v>180000</v>
      </c>
      <c r="BL197" s="6">
        <v>70000</v>
      </c>
      <c r="BM197" s="2">
        <v>140000</v>
      </c>
      <c r="BN197">
        <f>InvoiceTable[[#This Row],[Giảm giá]]*InvoiceTable[[#This Row],[Số lượng]]</f>
        <v>360000</v>
      </c>
    </row>
    <row r="198" spans="1:66" x14ac:dyDescent="0.25">
      <c r="A198" t="s">
        <v>65</v>
      </c>
      <c r="B198" t="s">
        <v>942</v>
      </c>
      <c r="F198" s="2"/>
      <c r="G198" s="3">
        <v>46014.597383101849</v>
      </c>
      <c r="H198" s="3">
        <v>46014.597371608797</v>
      </c>
      <c r="I198" s="4" t="s">
        <v>844</v>
      </c>
      <c r="J198" t="s">
        <v>67</v>
      </c>
      <c r="K198" t="s">
        <v>67</v>
      </c>
      <c r="L198" t="s">
        <v>943</v>
      </c>
      <c r="M198" t="s">
        <v>944</v>
      </c>
      <c r="N198" t="s">
        <v>67</v>
      </c>
      <c r="O198" t="s">
        <v>945</v>
      </c>
      <c r="P198" t="s">
        <v>946</v>
      </c>
      <c r="S198" s="5"/>
      <c r="T198" t="s">
        <v>72</v>
      </c>
      <c r="U198" t="s">
        <v>87</v>
      </c>
      <c r="V198" t="s">
        <v>74</v>
      </c>
      <c r="W198" t="s">
        <v>87</v>
      </c>
      <c r="AE198" s="2"/>
      <c r="AF198" s="2"/>
      <c r="AG198" s="2"/>
      <c r="AH198" s="2"/>
      <c r="AL198" s="2">
        <v>2150000</v>
      </c>
      <c r="AM198" s="2">
        <v>0</v>
      </c>
      <c r="AN198" s="2"/>
      <c r="AO198" s="2">
        <v>0</v>
      </c>
      <c r="AP198" s="2">
        <v>2150000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4"/>
      <c r="AX198" t="s">
        <v>75</v>
      </c>
      <c r="AZ198" t="s">
        <v>588</v>
      </c>
      <c r="BA198" t="s">
        <v>67</v>
      </c>
      <c r="BB198" t="s">
        <v>589</v>
      </c>
      <c r="BC198" t="s">
        <v>590</v>
      </c>
      <c r="BD198" t="s">
        <v>79</v>
      </c>
      <c r="BE198" t="s">
        <v>117</v>
      </c>
      <c r="BF198" s="5">
        <v>46569</v>
      </c>
      <c r="BH198">
        <v>1</v>
      </c>
      <c r="BI198" s="6">
        <v>2590000</v>
      </c>
      <c r="BJ198" s="6">
        <v>0</v>
      </c>
      <c r="BK198" s="6">
        <v>440000</v>
      </c>
      <c r="BL198" s="6">
        <v>2150000</v>
      </c>
      <c r="BM198" s="2">
        <v>2150000</v>
      </c>
      <c r="BN198">
        <f>InvoiceTable[[#This Row],[Giảm giá]]*InvoiceTable[[#This Row],[Số lượng]]</f>
        <v>440000</v>
      </c>
    </row>
    <row r="199" spans="1:66" x14ac:dyDescent="0.25">
      <c r="A199" t="s">
        <v>65</v>
      </c>
      <c r="B199" t="s">
        <v>947</v>
      </c>
      <c r="F199" s="2"/>
      <c r="G199" s="3">
        <v>46014.577201354165</v>
      </c>
      <c r="H199" s="3">
        <v>46014.577201469911</v>
      </c>
      <c r="I199" s="4" t="s">
        <v>67</v>
      </c>
      <c r="J199" t="s">
        <v>67</v>
      </c>
      <c r="K199" t="s">
        <v>67</v>
      </c>
      <c r="L199" t="s">
        <v>948</v>
      </c>
      <c r="M199" t="s">
        <v>949</v>
      </c>
      <c r="N199" t="s">
        <v>950</v>
      </c>
      <c r="O199" t="s">
        <v>951</v>
      </c>
      <c r="P199" t="s">
        <v>952</v>
      </c>
      <c r="S199" s="5"/>
      <c r="T199" t="s">
        <v>72</v>
      </c>
      <c r="U199" t="s">
        <v>73</v>
      </c>
      <c r="V199" t="s">
        <v>74</v>
      </c>
      <c r="W199" t="s">
        <v>87</v>
      </c>
      <c r="AE199" s="2"/>
      <c r="AF199" s="2"/>
      <c r="AG199" s="2"/>
      <c r="AH199" s="2"/>
      <c r="AL199" s="2">
        <v>14500000</v>
      </c>
      <c r="AM199" s="2">
        <v>0</v>
      </c>
      <c r="AN199" s="2"/>
      <c r="AO199" s="2">
        <v>0</v>
      </c>
      <c r="AP199" s="2">
        <v>14500000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4"/>
      <c r="AX199" t="s">
        <v>75</v>
      </c>
      <c r="AZ199" t="s">
        <v>953</v>
      </c>
      <c r="BB199" t="s">
        <v>954</v>
      </c>
      <c r="BC199" t="s">
        <v>955</v>
      </c>
      <c r="BD199" t="s">
        <v>79</v>
      </c>
      <c r="BE199" t="s">
        <v>852</v>
      </c>
      <c r="BF199" s="5">
        <v>46113</v>
      </c>
      <c r="BH199">
        <v>1</v>
      </c>
      <c r="BI199" s="6">
        <v>4190000</v>
      </c>
      <c r="BJ199" s="6">
        <v>0</v>
      </c>
      <c r="BK199" s="6">
        <v>1290000</v>
      </c>
      <c r="BL199" s="6">
        <v>2900000</v>
      </c>
      <c r="BM199" s="2">
        <v>2900000</v>
      </c>
      <c r="BN199">
        <f>InvoiceTable[[#This Row],[Giảm giá]]*InvoiceTable[[#This Row],[Số lượng]]</f>
        <v>1290000</v>
      </c>
    </row>
    <row r="200" spans="1:66" x14ac:dyDescent="0.25">
      <c r="A200" t="s">
        <v>65</v>
      </c>
      <c r="B200" t="s">
        <v>947</v>
      </c>
      <c r="F200" s="2"/>
      <c r="G200" s="3">
        <v>46014.577201354165</v>
      </c>
      <c r="H200" s="3">
        <v>46014.577201469911</v>
      </c>
      <c r="I200" s="4" t="s">
        <v>67</v>
      </c>
      <c r="J200" t="s">
        <v>67</v>
      </c>
      <c r="K200" t="s">
        <v>67</v>
      </c>
      <c r="L200" t="s">
        <v>948</v>
      </c>
      <c r="M200" t="s">
        <v>949</v>
      </c>
      <c r="N200" t="s">
        <v>950</v>
      </c>
      <c r="O200" t="s">
        <v>951</v>
      </c>
      <c r="P200" t="s">
        <v>952</v>
      </c>
      <c r="S200" s="5"/>
      <c r="T200" t="s">
        <v>72</v>
      </c>
      <c r="U200" t="s">
        <v>73</v>
      </c>
      <c r="V200" t="s">
        <v>74</v>
      </c>
      <c r="W200" t="s">
        <v>87</v>
      </c>
      <c r="AE200" s="2"/>
      <c r="AF200" s="2"/>
      <c r="AG200" s="2"/>
      <c r="AH200" s="2"/>
      <c r="AL200" s="2">
        <v>14500000</v>
      </c>
      <c r="AM200" s="2">
        <v>0</v>
      </c>
      <c r="AN200" s="2"/>
      <c r="AO200" s="2">
        <v>0</v>
      </c>
      <c r="AP200" s="2">
        <v>14500000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4"/>
      <c r="AX200" t="s">
        <v>75</v>
      </c>
      <c r="AZ200" t="s">
        <v>953</v>
      </c>
      <c r="BB200" t="s">
        <v>954</v>
      </c>
      <c r="BC200" t="s">
        <v>955</v>
      </c>
      <c r="BD200" t="s">
        <v>79</v>
      </c>
      <c r="BE200" t="s">
        <v>926</v>
      </c>
      <c r="BF200" s="5">
        <v>46174</v>
      </c>
      <c r="BG200" t="s">
        <v>67</v>
      </c>
      <c r="BH200">
        <v>4</v>
      </c>
      <c r="BI200" s="6">
        <v>4190000</v>
      </c>
      <c r="BJ200" s="6">
        <v>0</v>
      </c>
      <c r="BK200" s="6">
        <v>1290000</v>
      </c>
      <c r="BL200" s="6">
        <v>2900000</v>
      </c>
      <c r="BM200" s="2">
        <v>11600000</v>
      </c>
      <c r="BN200">
        <f>InvoiceTable[[#This Row],[Giảm giá]]*InvoiceTable[[#This Row],[Số lượng]]</f>
        <v>5160000</v>
      </c>
    </row>
    <row r="201" spans="1:66" x14ac:dyDescent="0.25">
      <c r="A201" t="s">
        <v>65</v>
      </c>
      <c r="B201" t="s">
        <v>956</v>
      </c>
      <c r="F201" s="2"/>
      <c r="G201" s="3">
        <v>46014.576887118055</v>
      </c>
      <c r="H201" s="3">
        <v>46014.576852511571</v>
      </c>
      <c r="I201" s="4" t="s">
        <v>96</v>
      </c>
      <c r="J201" t="s">
        <v>957</v>
      </c>
      <c r="K201" t="s">
        <v>67</v>
      </c>
      <c r="L201" t="s">
        <v>914</v>
      </c>
      <c r="M201" t="s">
        <v>915</v>
      </c>
      <c r="N201" t="s">
        <v>916</v>
      </c>
      <c r="O201" t="s">
        <v>917</v>
      </c>
      <c r="P201" t="s">
        <v>918</v>
      </c>
      <c r="S201" s="5"/>
      <c r="T201" t="s">
        <v>72</v>
      </c>
      <c r="U201" t="s">
        <v>87</v>
      </c>
      <c r="V201" t="s">
        <v>74</v>
      </c>
      <c r="W201" t="s">
        <v>87</v>
      </c>
      <c r="AE201" s="2"/>
      <c r="AF201" s="2"/>
      <c r="AG201" s="2"/>
      <c r="AH201" s="2"/>
      <c r="AL201" s="2">
        <v>848000</v>
      </c>
      <c r="AM201" s="2">
        <v>0</v>
      </c>
      <c r="AN201" s="2"/>
      <c r="AO201" s="2">
        <v>0</v>
      </c>
      <c r="AP201" s="2">
        <v>848000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4"/>
      <c r="AX201" t="s">
        <v>75</v>
      </c>
      <c r="AZ201" t="s">
        <v>958</v>
      </c>
      <c r="BA201" t="s">
        <v>67</v>
      </c>
      <c r="BB201" t="s">
        <v>959</v>
      </c>
      <c r="BC201" t="s">
        <v>960</v>
      </c>
      <c r="BD201" t="s">
        <v>79</v>
      </c>
      <c r="BE201" t="s">
        <v>324</v>
      </c>
      <c r="BF201" s="5">
        <v>47058</v>
      </c>
      <c r="BH201">
        <v>1</v>
      </c>
      <c r="BI201" s="6">
        <v>1600000</v>
      </c>
      <c r="BJ201" s="6">
        <v>47</v>
      </c>
      <c r="BK201" s="6">
        <v>752000</v>
      </c>
      <c r="BL201" s="6">
        <v>848000</v>
      </c>
      <c r="BM201" s="2">
        <v>848000</v>
      </c>
      <c r="BN201">
        <f>InvoiceTable[[#This Row],[Giảm giá]]*InvoiceTable[[#This Row],[Số lượng]]</f>
        <v>752000</v>
      </c>
    </row>
    <row r="202" spans="1:66" x14ac:dyDescent="0.25">
      <c r="A202" t="s">
        <v>65</v>
      </c>
      <c r="B202" t="s">
        <v>961</v>
      </c>
      <c r="F202" s="2"/>
      <c r="G202" s="3">
        <v>46014.576647534719</v>
      </c>
      <c r="H202" s="3">
        <v>46014.576647719907</v>
      </c>
      <c r="I202" s="4" t="s">
        <v>67</v>
      </c>
      <c r="J202" t="s">
        <v>962</v>
      </c>
      <c r="K202" t="s">
        <v>67</v>
      </c>
      <c r="L202" t="s">
        <v>963</v>
      </c>
      <c r="M202" t="s">
        <v>964</v>
      </c>
      <c r="N202" t="s">
        <v>67</v>
      </c>
      <c r="O202" t="s">
        <v>965</v>
      </c>
      <c r="P202" t="s">
        <v>966</v>
      </c>
      <c r="Q202" t="s">
        <v>67</v>
      </c>
      <c r="R202" t="s">
        <v>67</v>
      </c>
      <c r="S202" s="5"/>
      <c r="T202" t="s">
        <v>72</v>
      </c>
      <c r="U202" t="s">
        <v>102</v>
      </c>
      <c r="V202" t="s">
        <v>74</v>
      </c>
      <c r="W202" t="s">
        <v>87</v>
      </c>
      <c r="AE202" s="2"/>
      <c r="AF202" s="2"/>
      <c r="AG202" s="2"/>
      <c r="AH202" s="2"/>
      <c r="AK202" t="s">
        <v>967</v>
      </c>
      <c r="AL202" s="2">
        <v>2856000</v>
      </c>
      <c r="AM202" s="2">
        <v>0</v>
      </c>
      <c r="AN202" s="2"/>
      <c r="AO202" s="2">
        <v>0</v>
      </c>
      <c r="AP202" s="2">
        <v>2856000</v>
      </c>
      <c r="AQ202" s="2">
        <v>2831700</v>
      </c>
      <c r="AR202" s="2">
        <v>2831700</v>
      </c>
      <c r="AS202" s="2">
        <v>0</v>
      </c>
      <c r="AT202" s="2">
        <v>0</v>
      </c>
      <c r="AU202" s="2">
        <v>0</v>
      </c>
      <c r="AV202" s="2">
        <v>0</v>
      </c>
      <c r="AW202" s="4"/>
      <c r="AX202" t="s">
        <v>75</v>
      </c>
      <c r="AZ202" t="s">
        <v>968</v>
      </c>
      <c r="BA202" t="s">
        <v>67</v>
      </c>
      <c r="BB202" t="s">
        <v>969</v>
      </c>
      <c r="BC202" t="s">
        <v>970</v>
      </c>
      <c r="BD202" t="s">
        <v>79</v>
      </c>
      <c r="BE202" t="s">
        <v>195</v>
      </c>
      <c r="BF202" s="5">
        <v>46419</v>
      </c>
      <c r="BG202" t="s">
        <v>67</v>
      </c>
      <c r="BH202">
        <v>1</v>
      </c>
      <c r="BI202" s="6">
        <v>3360000</v>
      </c>
      <c r="BJ202" s="6">
        <v>15</v>
      </c>
      <c r="BK202" s="6">
        <v>504000</v>
      </c>
      <c r="BL202" s="6">
        <v>2856000</v>
      </c>
      <c r="BM202" s="2">
        <v>2856000</v>
      </c>
      <c r="BN202">
        <f>InvoiceTable[[#This Row],[Giảm giá]]*InvoiceTable[[#This Row],[Số lượng]]</f>
        <v>504000</v>
      </c>
    </row>
    <row r="203" spans="1:66" x14ac:dyDescent="0.25">
      <c r="A203" t="s">
        <v>65</v>
      </c>
      <c r="B203" t="s">
        <v>971</v>
      </c>
      <c r="F203" s="2"/>
      <c r="G203" s="3">
        <v>46014.57650408565</v>
      </c>
      <c r="H203" s="3">
        <v>46014.576492673608</v>
      </c>
      <c r="I203" s="4" t="s">
        <v>844</v>
      </c>
      <c r="J203" t="s">
        <v>972</v>
      </c>
      <c r="K203" t="s">
        <v>67</v>
      </c>
      <c r="L203" t="s">
        <v>231</v>
      </c>
      <c r="M203" t="s">
        <v>232</v>
      </c>
      <c r="N203" t="s">
        <v>67</v>
      </c>
      <c r="O203" t="s">
        <v>233</v>
      </c>
      <c r="P203" t="s">
        <v>234</v>
      </c>
      <c r="S203" s="5"/>
      <c r="T203" t="s">
        <v>72</v>
      </c>
      <c r="U203" t="s">
        <v>73</v>
      </c>
      <c r="V203" t="s">
        <v>74</v>
      </c>
      <c r="W203" t="s">
        <v>87</v>
      </c>
      <c r="AE203" s="2"/>
      <c r="AF203" s="2"/>
      <c r="AG203" s="2"/>
      <c r="AH203" s="2"/>
      <c r="AK203" t="s">
        <v>313</v>
      </c>
      <c r="AL203" s="2">
        <v>1220000</v>
      </c>
      <c r="AM203" s="2">
        <v>0</v>
      </c>
      <c r="AN203" s="2"/>
      <c r="AO203" s="2">
        <v>0</v>
      </c>
      <c r="AP203" s="2">
        <v>1220000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4"/>
      <c r="AX203" t="s">
        <v>75</v>
      </c>
      <c r="AZ203" t="s">
        <v>828</v>
      </c>
      <c r="BA203" t="s">
        <v>67</v>
      </c>
      <c r="BB203" t="s">
        <v>829</v>
      </c>
      <c r="BC203" t="s">
        <v>830</v>
      </c>
      <c r="BD203" t="s">
        <v>79</v>
      </c>
      <c r="BE203" t="s">
        <v>117</v>
      </c>
      <c r="BF203" s="5">
        <v>46569</v>
      </c>
      <c r="BH203">
        <v>1</v>
      </c>
      <c r="BI203" s="6">
        <v>550000</v>
      </c>
      <c r="BJ203" s="6">
        <v>23.64</v>
      </c>
      <c r="BK203" s="6">
        <v>130000</v>
      </c>
      <c r="BL203" s="6">
        <v>420000</v>
      </c>
      <c r="BM203" s="2">
        <v>420000</v>
      </c>
      <c r="BN203">
        <f>InvoiceTable[[#This Row],[Giảm giá]]*InvoiceTable[[#This Row],[Số lượng]]</f>
        <v>130000</v>
      </c>
    </row>
    <row r="204" spans="1:66" x14ac:dyDescent="0.25">
      <c r="A204" t="s">
        <v>65</v>
      </c>
      <c r="B204" t="s">
        <v>971</v>
      </c>
      <c r="F204" s="2"/>
      <c r="G204" s="3">
        <v>46014.57650408565</v>
      </c>
      <c r="H204" s="3">
        <v>46014.576492673608</v>
      </c>
      <c r="I204" s="4" t="s">
        <v>844</v>
      </c>
      <c r="J204" t="s">
        <v>972</v>
      </c>
      <c r="K204" t="s">
        <v>67</v>
      </c>
      <c r="L204" t="s">
        <v>231</v>
      </c>
      <c r="M204" t="s">
        <v>232</v>
      </c>
      <c r="N204" t="s">
        <v>67</v>
      </c>
      <c r="O204" t="s">
        <v>233</v>
      </c>
      <c r="P204" t="s">
        <v>234</v>
      </c>
      <c r="S204" s="5"/>
      <c r="T204" t="s">
        <v>72</v>
      </c>
      <c r="U204" t="s">
        <v>73</v>
      </c>
      <c r="V204" t="s">
        <v>74</v>
      </c>
      <c r="W204" t="s">
        <v>87</v>
      </c>
      <c r="AE204" s="2"/>
      <c r="AF204" s="2"/>
      <c r="AG204" s="2"/>
      <c r="AH204" s="2"/>
      <c r="AK204" t="s">
        <v>313</v>
      </c>
      <c r="AL204" s="2">
        <v>1220000</v>
      </c>
      <c r="AM204" s="2">
        <v>0</v>
      </c>
      <c r="AN204" s="2"/>
      <c r="AO204" s="2">
        <v>0</v>
      </c>
      <c r="AP204" s="2">
        <v>1220000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4"/>
      <c r="AX204" t="s">
        <v>75</v>
      </c>
      <c r="AZ204" t="s">
        <v>973</v>
      </c>
      <c r="BA204" t="s">
        <v>67</v>
      </c>
      <c r="BB204" t="s">
        <v>974</v>
      </c>
      <c r="BC204" t="s">
        <v>975</v>
      </c>
      <c r="BD204" t="s">
        <v>79</v>
      </c>
      <c r="BE204" t="s">
        <v>142</v>
      </c>
      <c r="BF204" s="5">
        <v>46844</v>
      </c>
      <c r="BH204">
        <v>5</v>
      </c>
      <c r="BI204" s="6">
        <v>320000</v>
      </c>
      <c r="BJ204" s="6">
        <v>50</v>
      </c>
      <c r="BK204" s="6">
        <v>160000</v>
      </c>
      <c r="BL204" s="6">
        <v>160000</v>
      </c>
      <c r="BM204" s="2">
        <v>800000</v>
      </c>
      <c r="BN204">
        <f>InvoiceTable[[#This Row],[Giảm giá]]*InvoiceTable[[#This Row],[Số lượng]]</f>
        <v>800000</v>
      </c>
    </row>
    <row r="205" spans="1:66" x14ac:dyDescent="0.25">
      <c r="A205" t="s">
        <v>65</v>
      </c>
      <c r="B205" t="s">
        <v>976</v>
      </c>
      <c r="F205" s="2"/>
      <c r="G205" s="3">
        <v>46014.575989386576</v>
      </c>
      <c r="H205" s="3">
        <v>46014.575989548612</v>
      </c>
      <c r="I205" s="4" t="s">
        <v>67</v>
      </c>
      <c r="J205" t="s">
        <v>977</v>
      </c>
      <c r="K205" t="s">
        <v>67</v>
      </c>
      <c r="L205" t="s">
        <v>948</v>
      </c>
      <c r="M205" t="s">
        <v>949</v>
      </c>
      <c r="N205" t="s">
        <v>950</v>
      </c>
      <c r="O205" t="s">
        <v>951</v>
      </c>
      <c r="P205" t="s">
        <v>952</v>
      </c>
      <c r="S205" s="5"/>
      <c r="T205" t="s">
        <v>72</v>
      </c>
      <c r="U205" t="s">
        <v>73</v>
      </c>
      <c r="V205" t="s">
        <v>74</v>
      </c>
      <c r="W205" t="s">
        <v>87</v>
      </c>
      <c r="AE205" s="2"/>
      <c r="AF205" s="2"/>
      <c r="AG205" s="2"/>
      <c r="AH205" s="2"/>
      <c r="AK205" t="s">
        <v>613</v>
      </c>
      <c r="AL205" s="2">
        <v>1997000</v>
      </c>
      <c r="AM205" s="2">
        <v>0</v>
      </c>
      <c r="AN205" s="2"/>
      <c r="AO205" s="2">
        <v>0</v>
      </c>
      <c r="AP205" s="2">
        <v>1997000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4"/>
      <c r="AX205" t="s">
        <v>75</v>
      </c>
      <c r="AZ205" t="s">
        <v>88</v>
      </c>
      <c r="BB205" t="s">
        <v>89</v>
      </c>
      <c r="BC205" t="s">
        <v>90</v>
      </c>
      <c r="BF205" s="5"/>
      <c r="BG205" t="s">
        <v>67</v>
      </c>
      <c r="BH205">
        <v>1</v>
      </c>
      <c r="BI205" s="6">
        <v>72000</v>
      </c>
      <c r="BJ205" s="6">
        <v>0</v>
      </c>
      <c r="BK205" s="6">
        <v>0</v>
      </c>
      <c r="BL205" s="6">
        <v>72000</v>
      </c>
      <c r="BM205" s="2">
        <v>72000</v>
      </c>
      <c r="BN205">
        <f>InvoiceTable[[#This Row],[Giảm giá]]*InvoiceTable[[#This Row],[Số lượng]]</f>
        <v>0</v>
      </c>
    </row>
    <row r="206" spans="1:66" x14ac:dyDescent="0.25">
      <c r="A206" t="s">
        <v>65</v>
      </c>
      <c r="B206" t="s">
        <v>976</v>
      </c>
      <c r="F206" s="2"/>
      <c r="G206" s="3">
        <v>46014.575989386576</v>
      </c>
      <c r="H206" s="3">
        <v>46014.575989548612</v>
      </c>
      <c r="I206" s="4" t="s">
        <v>67</v>
      </c>
      <c r="J206" t="s">
        <v>977</v>
      </c>
      <c r="K206" t="s">
        <v>67</v>
      </c>
      <c r="L206" t="s">
        <v>948</v>
      </c>
      <c r="M206" t="s">
        <v>949</v>
      </c>
      <c r="N206" t="s">
        <v>950</v>
      </c>
      <c r="O206" t="s">
        <v>951</v>
      </c>
      <c r="P206" t="s">
        <v>952</v>
      </c>
      <c r="S206" s="5"/>
      <c r="T206" t="s">
        <v>72</v>
      </c>
      <c r="U206" t="s">
        <v>73</v>
      </c>
      <c r="V206" t="s">
        <v>74</v>
      </c>
      <c r="W206" t="s">
        <v>87</v>
      </c>
      <c r="AE206" s="2"/>
      <c r="AF206" s="2"/>
      <c r="AG206" s="2"/>
      <c r="AH206" s="2"/>
      <c r="AK206" t="s">
        <v>613</v>
      </c>
      <c r="AL206" s="2">
        <v>1997000</v>
      </c>
      <c r="AM206" s="2">
        <v>0</v>
      </c>
      <c r="AN206" s="2"/>
      <c r="AO206" s="2">
        <v>0</v>
      </c>
      <c r="AP206" s="2">
        <v>1997000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4"/>
      <c r="AX206" t="s">
        <v>75</v>
      </c>
      <c r="AZ206" t="s">
        <v>978</v>
      </c>
      <c r="BA206" t="s">
        <v>67</v>
      </c>
      <c r="BB206" t="s">
        <v>979</v>
      </c>
      <c r="BC206" t="s">
        <v>980</v>
      </c>
      <c r="BD206" t="s">
        <v>79</v>
      </c>
      <c r="BE206" t="s">
        <v>317</v>
      </c>
      <c r="BF206" s="5">
        <v>46935</v>
      </c>
      <c r="BG206" t="s">
        <v>67</v>
      </c>
      <c r="BH206">
        <v>1</v>
      </c>
      <c r="BI206" s="6">
        <v>3500000</v>
      </c>
      <c r="BJ206" s="6">
        <v>45</v>
      </c>
      <c r="BK206" s="6">
        <v>1575000</v>
      </c>
      <c r="BL206" s="6">
        <v>1925000</v>
      </c>
      <c r="BM206" s="2">
        <v>1925000</v>
      </c>
      <c r="BN206">
        <f>InvoiceTable[[#This Row],[Giảm giá]]*InvoiceTable[[#This Row],[Số lượng]]</f>
        <v>1575000</v>
      </c>
    </row>
    <row r="207" spans="1:66" x14ac:dyDescent="0.25">
      <c r="A207" t="s">
        <v>65</v>
      </c>
      <c r="B207" t="s">
        <v>981</v>
      </c>
      <c r="F207" s="2"/>
      <c r="G207" s="3">
        <v>46014.575655011577</v>
      </c>
      <c r="H207" s="3">
        <v>46014.575655324072</v>
      </c>
      <c r="I207" s="4" t="s">
        <v>67</v>
      </c>
      <c r="J207" t="s">
        <v>982</v>
      </c>
      <c r="K207" t="s">
        <v>67</v>
      </c>
      <c r="L207" t="s">
        <v>933</v>
      </c>
      <c r="M207" t="s">
        <v>934</v>
      </c>
      <c r="N207" t="s">
        <v>67</v>
      </c>
      <c r="O207" t="s">
        <v>935</v>
      </c>
      <c r="S207" s="5"/>
      <c r="T207" t="s">
        <v>72</v>
      </c>
      <c r="U207" t="s">
        <v>87</v>
      </c>
      <c r="V207" t="s">
        <v>74</v>
      </c>
      <c r="W207" t="s">
        <v>87</v>
      </c>
      <c r="AE207" s="2"/>
      <c r="AF207" s="2"/>
      <c r="AG207" s="2"/>
      <c r="AH207" s="2"/>
      <c r="AK207" t="s">
        <v>983</v>
      </c>
      <c r="AL207" s="2">
        <v>5483600</v>
      </c>
      <c r="AM207" s="2">
        <v>0</v>
      </c>
      <c r="AN207" s="2"/>
      <c r="AO207" s="2">
        <v>0</v>
      </c>
      <c r="AP207" s="2">
        <v>5483600</v>
      </c>
      <c r="AQ207" s="2">
        <v>5483600</v>
      </c>
      <c r="AR207" s="2">
        <v>0</v>
      </c>
      <c r="AS207" s="2">
        <v>0</v>
      </c>
      <c r="AT207" s="2">
        <v>0</v>
      </c>
      <c r="AU207" s="2">
        <v>5483600</v>
      </c>
      <c r="AV207" s="2">
        <v>0</v>
      </c>
      <c r="AW207" s="4"/>
      <c r="AX207" t="s">
        <v>75</v>
      </c>
      <c r="AZ207" t="s">
        <v>88</v>
      </c>
      <c r="BB207" t="s">
        <v>89</v>
      </c>
      <c r="BC207" t="s">
        <v>90</v>
      </c>
      <c r="BF207" s="5"/>
      <c r="BG207" t="s">
        <v>67</v>
      </c>
      <c r="BH207">
        <v>1</v>
      </c>
      <c r="BI207" s="6">
        <v>55000</v>
      </c>
      <c r="BJ207" s="6">
        <v>0</v>
      </c>
      <c r="BK207" s="6">
        <v>0</v>
      </c>
      <c r="BL207" s="6">
        <v>55000</v>
      </c>
      <c r="BM207" s="2">
        <v>55000</v>
      </c>
      <c r="BN207">
        <f>InvoiceTable[[#This Row],[Giảm giá]]*InvoiceTable[[#This Row],[Số lượng]]</f>
        <v>0</v>
      </c>
    </row>
    <row r="208" spans="1:66" x14ac:dyDescent="0.25">
      <c r="A208" t="s">
        <v>65</v>
      </c>
      <c r="B208" t="s">
        <v>981</v>
      </c>
      <c r="F208" s="2"/>
      <c r="G208" s="3">
        <v>46014.575655011577</v>
      </c>
      <c r="H208" s="3">
        <v>46014.575655324072</v>
      </c>
      <c r="I208" s="4" t="s">
        <v>67</v>
      </c>
      <c r="J208" t="s">
        <v>982</v>
      </c>
      <c r="K208" t="s">
        <v>67</v>
      </c>
      <c r="L208" t="s">
        <v>933</v>
      </c>
      <c r="M208" t="s">
        <v>934</v>
      </c>
      <c r="N208" t="s">
        <v>67</v>
      </c>
      <c r="O208" t="s">
        <v>935</v>
      </c>
      <c r="S208" s="5"/>
      <c r="T208" t="s">
        <v>72</v>
      </c>
      <c r="U208" t="s">
        <v>87</v>
      </c>
      <c r="V208" t="s">
        <v>74</v>
      </c>
      <c r="W208" t="s">
        <v>87</v>
      </c>
      <c r="AE208" s="2"/>
      <c r="AF208" s="2"/>
      <c r="AG208" s="2"/>
      <c r="AH208" s="2"/>
      <c r="AK208" t="s">
        <v>983</v>
      </c>
      <c r="AL208" s="2">
        <v>5483600</v>
      </c>
      <c r="AM208" s="2">
        <v>0</v>
      </c>
      <c r="AN208" s="2"/>
      <c r="AO208" s="2">
        <v>0</v>
      </c>
      <c r="AP208" s="2">
        <v>5483600</v>
      </c>
      <c r="AQ208" s="2">
        <v>5483600</v>
      </c>
      <c r="AR208" s="2">
        <v>0</v>
      </c>
      <c r="AS208" s="2">
        <v>0</v>
      </c>
      <c r="AT208" s="2">
        <v>0</v>
      </c>
      <c r="AU208" s="2">
        <v>5483600</v>
      </c>
      <c r="AV208" s="2">
        <v>0</v>
      </c>
      <c r="AW208" s="4"/>
      <c r="AX208" t="s">
        <v>75</v>
      </c>
      <c r="AZ208" t="s">
        <v>984</v>
      </c>
      <c r="BB208" t="s">
        <v>985</v>
      </c>
      <c r="BC208" t="s">
        <v>986</v>
      </c>
      <c r="BD208" t="s">
        <v>79</v>
      </c>
      <c r="BE208" t="s">
        <v>188</v>
      </c>
      <c r="BF208" s="5">
        <v>46905</v>
      </c>
      <c r="BH208">
        <v>1</v>
      </c>
      <c r="BI208" s="6">
        <v>2430000</v>
      </c>
      <c r="BJ208" s="6">
        <v>38</v>
      </c>
      <c r="BK208" s="6">
        <v>923400</v>
      </c>
      <c r="BL208" s="6">
        <v>1506600</v>
      </c>
      <c r="BM208" s="2">
        <v>1506600</v>
      </c>
      <c r="BN208">
        <f>InvoiceTable[[#This Row],[Giảm giá]]*InvoiceTable[[#This Row],[Số lượng]]</f>
        <v>923400</v>
      </c>
    </row>
    <row r="209" spans="1:66" x14ac:dyDescent="0.25">
      <c r="A209" t="s">
        <v>65</v>
      </c>
      <c r="B209" t="s">
        <v>981</v>
      </c>
      <c r="F209" s="2"/>
      <c r="G209" s="3">
        <v>46014.575655011577</v>
      </c>
      <c r="H209" s="3">
        <v>46014.575655324072</v>
      </c>
      <c r="I209" s="4" t="s">
        <v>67</v>
      </c>
      <c r="J209" t="s">
        <v>982</v>
      </c>
      <c r="K209" t="s">
        <v>67</v>
      </c>
      <c r="L209" t="s">
        <v>933</v>
      </c>
      <c r="M209" t="s">
        <v>934</v>
      </c>
      <c r="N209" t="s">
        <v>67</v>
      </c>
      <c r="O209" t="s">
        <v>935</v>
      </c>
      <c r="S209" s="5"/>
      <c r="T209" t="s">
        <v>72</v>
      </c>
      <c r="U209" t="s">
        <v>87</v>
      </c>
      <c r="V209" t="s">
        <v>74</v>
      </c>
      <c r="W209" t="s">
        <v>87</v>
      </c>
      <c r="AE209" s="2"/>
      <c r="AF209" s="2"/>
      <c r="AG209" s="2"/>
      <c r="AH209" s="2"/>
      <c r="AK209" t="s">
        <v>983</v>
      </c>
      <c r="AL209" s="2">
        <v>5483600</v>
      </c>
      <c r="AM209" s="2">
        <v>0</v>
      </c>
      <c r="AN209" s="2"/>
      <c r="AO209" s="2">
        <v>0</v>
      </c>
      <c r="AP209" s="2">
        <v>5483600</v>
      </c>
      <c r="AQ209" s="2">
        <v>5483600</v>
      </c>
      <c r="AR209" s="2">
        <v>0</v>
      </c>
      <c r="AS209" s="2">
        <v>0</v>
      </c>
      <c r="AT209" s="2">
        <v>0</v>
      </c>
      <c r="AU209" s="2">
        <v>5483600</v>
      </c>
      <c r="AV209" s="2">
        <v>0</v>
      </c>
      <c r="AW209" s="4"/>
      <c r="AX209" t="s">
        <v>75</v>
      </c>
      <c r="AZ209" t="s">
        <v>808</v>
      </c>
      <c r="BA209" t="s">
        <v>67</v>
      </c>
      <c r="BB209" t="s">
        <v>809</v>
      </c>
      <c r="BC209" t="s">
        <v>78</v>
      </c>
      <c r="BD209" t="s">
        <v>79</v>
      </c>
      <c r="BE209" t="s">
        <v>810</v>
      </c>
      <c r="BF209" s="5">
        <v>46539</v>
      </c>
      <c r="BH209">
        <v>1</v>
      </c>
      <c r="BI209" s="6">
        <v>3750000</v>
      </c>
      <c r="BJ209" s="6">
        <v>47</v>
      </c>
      <c r="BK209" s="6">
        <v>1762500</v>
      </c>
      <c r="BL209" s="6">
        <v>1987500</v>
      </c>
      <c r="BM209" s="2">
        <v>1987500</v>
      </c>
      <c r="BN209">
        <f>InvoiceTable[[#This Row],[Giảm giá]]*InvoiceTable[[#This Row],[Số lượng]]</f>
        <v>1762500</v>
      </c>
    </row>
    <row r="210" spans="1:66" x14ac:dyDescent="0.25">
      <c r="A210" t="s">
        <v>65</v>
      </c>
      <c r="B210" t="s">
        <v>981</v>
      </c>
      <c r="F210" s="2"/>
      <c r="G210" s="3">
        <v>46014.575655011577</v>
      </c>
      <c r="H210" s="3">
        <v>46014.575655324072</v>
      </c>
      <c r="I210" s="4" t="s">
        <v>67</v>
      </c>
      <c r="J210" t="s">
        <v>982</v>
      </c>
      <c r="K210" t="s">
        <v>67</v>
      </c>
      <c r="L210" t="s">
        <v>933</v>
      </c>
      <c r="M210" t="s">
        <v>934</v>
      </c>
      <c r="N210" t="s">
        <v>67</v>
      </c>
      <c r="O210" t="s">
        <v>935</v>
      </c>
      <c r="S210" s="5"/>
      <c r="T210" t="s">
        <v>72</v>
      </c>
      <c r="U210" t="s">
        <v>87</v>
      </c>
      <c r="V210" t="s">
        <v>74</v>
      </c>
      <c r="W210" t="s">
        <v>87</v>
      </c>
      <c r="AE210" s="2"/>
      <c r="AF210" s="2"/>
      <c r="AG210" s="2"/>
      <c r="AH210" s="2"/>
      <c r="AK210" t="s">
        <v>983</v>
      </c>
      <c r="AL210" s="2">
        <v>5483600</v>
      </c>
      <c r="AM210" s="2">
        <v>0</v>
      </c>
      <c r="AN210" s="2"/>
      <c r="AO210" s="2">
        <v>0</v>
      </c>
      <c r="AP210" s="2">
        <v>5483600</v>
      </c>
      <c r="AQ210" s="2">
        <v>5483600</v>
      </c>
      <c r="AR210" s="2">
        <v>0</v>
      </c>
      <c r="AS210" s="2">
        <v>0</v>
      </c>
      <c r="AT210" s="2">
        <v>0</v>
      </c>
      <c r="AU210" s="2">
        <v>5483600</v>
      </c>
      <c r="AV210" s="2">
        <v>0</v>
      </c>
      <c r="AW210" s="4"/>
      <c r="AX210" t="s">
        <v>75</v>
      </c>
      <c r="AZ210" t="s">
        <v>115</v>
      </c>
      <c r="BA210" t="s">
        <v>67</v>
      </c>
      <c r="BB210" t="s">
        <v>116</v>
      </c>
      <c r="BC210" t="s">
        <v>78</v>
      </c>
      <c r="BD210" t="s">
        <v>79</v>
      </c>
      <c r="BE210" t="s">
        <v>117</v>
      </c>
      <c r="BF210" s="5">
        <v>46569</v>
      </c>
      <c r="BH210">
        <v>1</v>
      </c>
      <c r="BI210" s="6">
        <v>3650000</v>
      </c>
      <c r="BJ210" s="6">
        <v>47</v>
      </c>
      <c r="BK210" s="6">
        <v>1715500</v>
      </c>
      <c r="BL210" s="6">
        <v>1934500</v>
      </c>
      <c r="BM210" s="2">
        <v>1934500</v>
      </c>
      <c r="BN210">
        <f>InvoiceTable[[#This Row],[Giảm giá]]*InvoiceTable[[#This Row],[Số lượng]]</f>
        <v>1715500</v>
      </c>
    </row>
    <row r="211" spans="1:66" x14ac:dyDescent="0.25">
      <c r="A211" t="s">
        <v>65</v>
      </c>
      <c r="B211" t="s">
        <v>987</v>
      </c>
      <c r="F211" s="2"/>
      <c r="G211" s="3">
        <v>46014.575349421299</v>
      </c>
      <c r="H211" s="3">
        <v>46014.575349502316</v>
      </c>
      <c r="I211" s="4" t="s">
        <v>67</v>
      </c>
      <c r="J211" t="s">
        <v>988</v>
      </c>
      <c r="K211" t="s">
        <v>67</v>
      </c>
      <c r="L211" t="s">
        <v>609</v>
      </c>
      <c r="M211" t="s">
        <v>610</v>
      </c>
      <c r="N211" t="s">
        <v>67</v>
      </c>
      <c r="O211" t="s">
        <v>611</v>
      </c>
      <c r="P211" t="s">
        <v>612</v>
      </c>
      <c r="S211" s="5"/>
      <c r="T211" t="s">
        <v>72</v>
      </c>
      <c r="U211" t="s">
        <v>73</v>
      </c>
      <c r="V211" t="s">
        <v>74</v>
      </c>
      <c r="W211" t="s">
        <v>87</v>
      </c>
      <c r="AE211" s="2"/>
      <c r="AF211" s="2"/>
      <c r="AG211" s="2"/>
      <c r="AH211" s="2"/>
      <c r="AK211" t="s">
        <v>258</v>
      </c>
      <c r="AL211" s="2">
        <v>791542</v>
      </c>
      <c r="AM211" s="2">
        <v>0</v>
      </c>
      <c r="AN211" s="2"/>
      <c r="AO211" s="2">
        <v>0</v>
      </c>
      <c r="AP211" s="2">
        <v>791542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4"/>
      <c r="AX211" t="s">
        <v>75</v>
      </c>
      <c r="AZ211" t="s">
        <v>919</v>
      </c>
      <c r="BA211" t="s">
        <v>67</v>
      </c>
      <c r="BB211" t="s">
        <v>920</v>
      </c>
      <c r="BC211" t="s">
        <v>822</v>
      </c>
      <c r="BD211" t="s">
        <v>79</v>
      </c>
      <c r="BE211" t="s">
        <v>921</v>
      </c>
      <c r="BF211" s="5">
        <v>47392</v>
      </c>
      <c r="BG211" t="s">
        <v>67</v>
      </c>
      <c r="BH211">
        <v>1</v>
      </c>
      <c r="BI211" s="6">
        <v>1364727</v>
      </c>
      <c r="BJ211" s="6">
        <v>42</v>
      </c>
      <c r="BK211" s="6">
        <v>573185.34</v>
      </c>
      <c r="BL211" s="6">
        <v>791541.66</v>
      </c>
      <c r="BM211" s="2">
        <v>791542</v>
      </c>
      <c r="BN211">
        <f>InvoiceTable[[#This Row],[Giảm giá]]*InvoiceTable[[#This Row],[Số lượng]]</f>
        <v>573185.34</v>
      </c>
    </row>
    <row r="212" spans="1:66" x14ac:dyDescent="0.25">
      <c r="A212" t="s">
        <v>65</v>
      </c>
      <c r="B212" t="s">
        <v>989</v>
      </c>
      <c r="F212" s="2"/>
      <c r="G212" s="3">
        <v>46014.57516547454</v>
      </c>
      <c r="H212" s="3">
        <v>46014.575165856484</v>
      </c>
      <c r="I212" s="4" t="s">
        <v>67</v>
      </c>
      <c r="J212" t="s">
        <v>990</v>
      </c>
      <c r="K212" t="s">
        <v>67</v>
      </c>
      <c r="L212" t="s">
        <v>231</v>
      </c>
      <c r="M212" t="s">
        <v>232</v>
      </c>
      <c r="N212" t="s">
        <v>67</v>
      </c>
      <c r="O212" t="s">
        <v>233</v>
      </c>
      <c r="P212" t="s">
        <v>234</v>
      </c>
      <c r="S212" s="5"/>
      <c r="T212" t="s">
        <v>72</v>
      </c>
      <c r="U212" t="s">
        <v>73</v>
      </c>
      <c r="V212" t="s">
        <v>74</v>
      </c>
      <c r="W212" t="s">
        <v>87</v>
      </c>
      <c r="AE212" s="2"/>
      <c r="AF212" s="2"/>
      <c r="AG212" s="2"/>
      <c r="AH212" s="2"/>
      <c r="AK212" t="s">
        <v>313</v>
      </c>
      <c r="AL212" s="2">
        <v>208800</v>
      </c>
      <c r="AM212" s="2">
        <v>0</v>
      </c>
      <c r="AN212" s="2"/>
      <c r="AO212" s="2">
        <v>0</v>
      </c>
      <c r="AP212" s="2">
        <v>208800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4"/>
      <c r="AX212" t="s">
        <v>75</v>
      </c>
      <c r="AZ212" t="s">
        <v>991</v>
      </c>
      <c r="BA212" t="s">
        <v>67</v>
      </c>
      <c r="BB212" t="s">
        <v>992</v>
      </c>
      <c r="BC212" t="s">
        <v>344</v>
      </c>
      <c r="BD212" t="s">
        <v>79</v>
      </c>
      <c r="BE212" t="s">
        <v>201</v>
      </c>
      <c r="BF212" s="5">
        <v>46966</v>
      </c>
      <c r="BH212">
        <v>2</v>
      </c>
      <c r="BI212" s="6">
        <v>180000</v>
      </c>
      <c r="BJ212" s="6">
        <v>42</v>
      </c>
      <c r="BK212" s="6">
        <v>75600</v>
      </c>
      <c r="BL212" s="6">
        <v>104400</v>
      </c>
      <c r="BM212" s="2">
        <v>208800</v>
      </c>
      <c r="BN212">
        <f>InvoiceTable[[#This Row],[Giảm giá]]*InvoiceTable[[#This Row],[Số lượng]]</f>
        <v>151200</v>
      </c>
    </row>
    <row r="213" spans="1:66" x14ac:dyDescent="0.25">
      <c r="A213" t="s">
        <v>65</v>
      </c>
      <c r="B213" t="s">
        <v>993</v>
      </c>
      <c r="F213" s="2"/>
      <c r="G213" s="3">
        <v>46014.552716053244</v>
      </c>
      <c r="H213" s="3">
        <v>46014.552716122686</v>
      </c>
      <c r="I213" s="4" t="s">
        <v>67</v>
      </c>
      <c r="J213" t="s">
        <v>67</v>
      </c>
      <c r="K213" t="s">
        <v>67</v>
      </c>
      <c r="L213" t="s">
        <v>826</v>
      </c>
      <c r="M213" t="s">
        <v>827</v>
      </c>
      <c r="N213" t="s">
        <v>67</v>
      </c>
      <c r="O213" t="s">
        <v>67</v>
      </c>
      <c r="Q213" t="s">
        <v>67</v>
      </c>
      <c r="R213" t="s">
        <v>67</v>
      </c>
      <c r="S213" s="5"/>
      <c r="T213" t="s">
        <v>72</v>
      </c>
      <c r="U213" t="s">
        <v>87</v>
      </c>
      <c r="V213" t="s">
        <v>74</v>
      </c>
      <c r="W213" t="s">
        <v>87</v>
      </c>
      <c r="AE213" s="2"/>
      <c r="AF213" s="2"/>
      <c r="AG213" s="2"/>
      <c r="AH213" s="2"/>
      <c r="AL213" s="2">
        <v>300000</v>
      </c>
      <c r="AM213" s="2">
        <v>0</v>
      </c>
      <c r="AN213" s="2"/>
      <c r="AO213" s="2">
        <v>0</v>
      </c>
      <c r="AP213" s="2">
        <v>300000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4"/>
      <c r="AX213" t="s">
        <v>75</v>
      </c>
      <c r="AZ213" t="s">
        <v>994</v>
      </c>
      <c r="BA213" t="s">
        <v>67</v>
      </c>
      <c r="BB213" t="s">
        <v>995</v>
      </c>
      <c r="BC213" t="s">
        <v>105</v>
      </c>
      <c r="BD213" t="s">
        <v>79</v>
      </c>
      <c r="BE213" t="s">
        <v>996</v>
      </c>
      <c r="BF213" s="5">
        <v>46143</v>
      </c>
      <c r="BH213">
        <v>1</v>
      </c>
      <c r="BI213" s="6">
        <v>1200000</v>
      </c>
      <c r="BJ213" s="6">
        <v>0</v>
      </c>
      <c r="BK213" s="6">
        <v>900000</v>
      </c>
      <c r="BL213" s="6">
        <v>300000</v>
      </c>
      <c r="BM213" s="2">
        <v>300000</v>
      </c>
      <c r="BN213">
        <f>InvoiceTable[[#This Row],[Giảm giá]]*InvoiceTable[[#This Row],[Số lượng]]</f>
        <v>900000</v>
      </c>
    </row>
    <row r="214" spans="1:66" x14ac:dyDescent="0.25">
      <c r="A214" t="s">
        <v>65</v>
      </c>
      <c r="B214" t="s">
        <v>997</v>
      </c>
      <c r="F214" s="2"/>
      <c r="G214" s="3">
        <v>46014.544646678238</v>
      </c>
      <c r="H214" s="3">
        <v>46014.544646840281</v>
      </c>
      <c r="I214" s="4" t="s">
        <v>67</v>
      </c>
      <c r="J214" t="s">
        <v>998</v>
      </c>
      <c r="K214" t="s">
        <v>67</v>
      </c>
      <c r="L214" t="s">
        <v>999</v>
      </c>
      <c r="M214" t="s">
        <v>1000</v>
      </c>
      <c r="N214" t="s">
        <v>67</v>
      </c>
      <c r="O214" t="s">
        <v>1001</v>
      </c>
      <c r="P214" t="s">
        <v>1002</v>
      </c>
      <c r="S214" s="5"/>
      <c r="T214" t="s">
        <v>72</v>
      </c>
      <c r="U214" t="s">
        <v>102</v>
      </c>
      <c r="V214" t="s">
        <v>74</v>
      </c>
      <c r="W214" t="s">
        <v>87</v>
      </c>
      <c r="AE214" s="2"/>
      <c r="AF214" s="2"/>
      <c r="AG214" s="2"/>
      <c r="AH214" s="2"/>
      <c r="AK214" t="s">
        <v>1003</v>
      </c>
      <c r="AL214" s="2">
        <v>5060000</v>
      </c>
      <c r="AM214" s="2">
        <v>0</v>
      </c>
      <c r="AN214" s="2"/>
      <c r="AO214" s="2">
        <v>0</v>
      </c>
      <c r="AP214" s="2">
        <v>5060000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4"/>
      <c r="AX214" t="s">
        <v>75</v>
      </c>
      <c r="AZ214" t="s">
        <v>107</v>
      </c>
      <c r="BA214" t="s">
        <v>67</v>
      </c>
      <c r="BB214" t="s">
        <v>108</v>
      </c>
      <c r="BC214" t="s">
        <v>109</v>
      </c>
      <c r="BD214" t="s">
        <v>79</v>
      </c>
      <c r="BE214" t="s">
        <v>94</v>
      </c>
      <c r="BF214" s="5">
        <v>46692</v>
      </c>
      <c r="BH214">
        <v>2</v>
      </c>
      <c r="BI214" s="6">
        <v>4500000</v>
      </c>
      <c r="BJ214" s="6">
        <v>0</v>
      </c>
      <c r="BK214" s="6">
        <v>1970000</v>
      </c>
      <c r="BL214" s="6">
        <v>2530000</v>
      </c>
      <c r="BM214" s="2">
        <v>5060000</v>
      </c>
      <c r="BN214">
        <f>InvoiceTable[[#This Row],[Giảm giá]]*InvoiceTable[[#This Row],[Số lượng]]</f>
        <v>3940000</v>
      </c>
    </row>
    <row r="215" spans="1:66" x14ac:dyDescent="0.25">
      <c r="A215" t="s">
        <v>65</v>
      </c>
      <c r="B215" t="s">
        <v>1004</v>
      </c>
      <c r="F215" s="2"/>
      <c r="G215" s="3">
        <v>46014.544053819445</v>
      </c>
      <c r="H215" s="3">
        <v>46014.544019560184</v>
      </c>
      <c r="I215" s="4" t="s">
        <v>96</v>
      </c>
      <c r="J215" t="s">
        <v>1005</v>
      </c>
      <c r="K215" t="s">
        <v>67</v>
      </c>
      <c r="L215" t="s">
        <v>1006</v>
      </c>
      <c r="M215" t="s">
        <v>1007</v>
      </c>
      <c r="N215" t="s">
        <v>67</v>
      </c>
      <c r="O215" t="s">
        <v>1008</v>
      </c>
      <c r="P215" t="s">
        <v>1009</v>
      </c>
      <c r="Q215" t="s">
        <v>67</v>
      </c>
      <c r="R215" t="s">
        <v>67</v>
      </c>
      <c r="S215" s="5"/>
      <c r="T215" t="s">
        <v>72</v>
      </c>
      <c r="U215" t="s">
        <v>102</v>
      </c>
      <c r="V215" t="s">
        <v>74</v>
      </c>
      <c r="W215" t="s">
        <v>87</v>
      </c>
      <c r="AE215" s="2"/>
      <c r="AF215" s="2"/>
      <c r="AG215" s="2"/>
      <c r="AH215" s="2"/>
      <c r="AK215" t="s">
        <v>1003</v>
      </c>
      <c r="AL215" s="2">
        <v>1199300</v>
      </c>
      <c r="AM215" s="2">
        <v>0</v>
      </c>
      <c r="AN215" s="2"/>
      <c r="AO215" s="2">
        <v>0</v>
      </c>
      <c r="AP215" s="2">
        <v>1199300</v>
      </c>
      <c r="AQ215" s="2">
        <v>1199300</v>
      </c>
      <c r="AR215" s="2">
        <v>0</v>
      </c>
      <c r="AS215" s="2">
        <v>0</v>
      </c>
      <c r="AT215" s="2">
        <v>0</v>
      </c>
      <c r="AU215" s="2">
        <v>1199300</v>
      </c>
      <c r="AV215" s="2">
        <v>0</v>
      </c>
      <c r="AW215" s="4"/>
      <c r="AX215" t="s">
        <v>75</v>
      </c>
      <c r="AZ215" t="s">
        <v>1010</v>
      </c>
      <c r="BA215" t="s">
        <v>67</v>
      </c>
      <c r="BB215" t="s">
        <v>1011</v>
      </c>
      <c r="BC215" t="s">
        <v>874</v>
      </c>
      <c r="BD215" t="s">
        <v>79</v>
      </c>
      <c r="BE215" t="s">
        <v>1012</v>
      </c>
      <c r="BF215" s="5">
        <v>46296</v>
      </c>
      <c r="BH215">
        <v>1</v>
      </c>
      <c r="BI215" s="6">
        <v>1790000</v>
      </c>
      <c r="BJ215" s="6">
        <v>33</v>
      </c>
      <c r="BK215" s="6">
        <v>590700</v>
      </c>
      <c r="BL215" s="6">
        <v>1199300</v>
      </c>
      <c r="BM215" s="2">
        <v>1199300</v>
      </c>
      <c r="BN215">
        <f>InvoiceTable[[#This Row],[Giảm giá]]*InvoiceTable[[#This Row],[Số lượng]]</f>
        <v>590700</v>
      </c>
    </row>
    <row r="216" spans="1:66" x14ac:dyDescent="0.25">
      <c r="A216" t="s">
        <v>65</v>
      </c>
      <c r="B216" t="s">
        <v>1013</v>
      </c>
      <c r="F216" s="2"/>
      <c r="G216" s="3">
        <v>46014.543592164351</v>
      </c>
      <c r="H216" s="3">
        <v>46014.543557789351</v>
      </c>
      <c r="I216" s="4" t="s">
        <v>96</v>
      </c>
      <c r="J216" t="s">
        <v>1014</v>
      </c>
      <c r="K216" t="s">
        <v>67</v>
      </c>
      <c r="L216" t="s">
        <v>1015</v>
      </c>
      <c r="M216" t="s">
        <v>1016</v>
      </c>
      <c r="N216" t="s">
        <v>67</v>
      </c>
      <c r="O216" t="s">
        <v>1017</v>
      </c>
      <c r="P216" t="s">
        <v>1018</v>
      </c>
      <c r="S216" s="5"/>
      <c r="T216" t="s">
        <v>72</v>
      </c>
      <c r="U216" t="s">
        <v>102</v>
      </c>
      <c r="V216" t="s">
        <v>74</v>
      </c>
      <c r="W216" t="s">
        <v>87</v>
      </c>
      <c r="AE216" s="2"/>
      <c r="AF216" s="2"/>
      <c r="AG216" s="2"/>
      <c r="AH216" s="2"/>
      <c r="AL216" s="2">
        <v>1846800</v>
      </c>
      <c r="AM216" s="2">
        <v>0</v>
      </c>
      <c r="AN216" s="2"/>
      <c r="AO216" s="2">
        <v>0</v>
      </c>
      <c r="AP216" s="2">
        <v>1846800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4"/>
      <c r="AX216" t="s">
        <v>75</v>
      </c>
      <c r="AZ216" t="s">
        <v>1019</v>
      </c>
      <c r="BA216" t="s">
        <v>67</v>
      </c>
      <c r="BB216" t="s">
        <v>1020</v>
      </c>
      <c r="BC216" t="s">
        <v>676</v>
      </c>
      <c r="BD216" t="s">
        <v>79</v>
      </c>
      <c r="BE216" t="s">
        <v>1021</v>
      </c>
      <c r="BF216" s="5">
        <v>46936</v>
      </c>
      <c r="BH216">
        <v>1</v>
      </c>
      <c r="BI216" s="6">
        <v>1690000</v>
      </c>
      <c r="BJ216" s="6">
        <v>28</v>
      </c>
      <c r="BK216" s="6">
        <v>473200</v>
      </c>
      <c r="BL216" s="6">
        <v>1216800</v>
      </c>
      <c r="BM216" s="2">
        <v>1216800</v>
      </c>
      <c r="BN216">
        <f>InvoiceTable[[#This Row],[Giảm giá]]*InvoiceTable[[#This Row],[Số lượng]]</f>
        <v>473200</v>
      </c>
    </row>
    <row r="217" spans="1:66" x14ac:dyDescent="0.25">
      <c r="A217" t="s">
        <v>65</v>
      </c>
      <c r="B217" t="s">
        <v>1013</v>
      </c>
      <c r="F217" s="2"/>
      <c r="G217" s="3">
        <v>46014.543592164351</v>
      </c>
      <c r="H217" s="3">
        <v>46014.543557789351</v>
      </c>
      <c r="I217" s="4" t="s">
        <v>96</v>
      </c>
      <c r="J217" t="s">
        <v>1014</v>
      </c>
      <c r="K217" t="s">
        <v>67</v>
      </c>
      <c r="L217" t="s">
        <v>1015</v>
      </c>
      <c r="M217" t="s">
        <v>1016</v>
      </c>
      <c r="N217" t="s">
        <v>67</v>
      </c>
      <c r="O217" t="s">
        <v>1017</v>
      </c>
      <c r="P217" t="s">
        <v>1018</v>
      </c>
      <c r="S217" s="5"/>
      <c r="T217" t="s">
        <v>72</v>
      </c>
      <c r="U217" t="s">
        <v>102</v>
      </c>
      <c r="V217" t="s">
        <v>74</v>
      </c>
      <c r="W217" t="s">
        <v>87</v>
      </c>
      <c r="AE217" s="2"/>
      <c r="AF217" s="2"/>
      <c r="AG217" s="2"/>
      <c r="AH217" s="2"/>
      <c r="AL217" s="2">
        <v>1846800</v>
      </c>
      <c r="AM217" s="2">
        <v>0</v>
      </c>
      <c r="AN217" s="2"/>
      <c r="AO217" s="2">
        <v>0</v>
      </c>
      <c r="AP217" s="2">
        <v>1846800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4"/>
      <c r="AX217" t="s">
        <v>75</v>
      </c>
      <c r="AZ217" t="s">
        <v>124</v>
      </c>
      <c r="BA217" t="s">
        <v>67</v>
      </c>
      <c r="BB217" t="s">
        <v>125</v>
      </c>
      <c r="BC217" t="s">
        <v>126</v>
      </c>
      <c r="BD217" t="s">
        <v>79</v>
      </c>
      <c r="BE217" t="s">
        <v>127</v>
      </c>
      <c r="BF217" s="5">
        <v>46683</v>
      </c>
      <c r="BH217">
        <v>1</v>
      </c>
      <c r="BI217" s="6">
        <v>1200000</v>
      </c>
      <c r="BJ217" s="6">
        <v>0</v>
      </c>
      <c r="BK217" s="6">
        <v>570000</v>
      </c>
      <c r="BL217" s="6">
        <v>630000</v>
      </c>
      <c r="BM217" s="2">
        <v>630000</v>
      </c>
      <c r="BN217">
        <f>InvoiceTable[[#This Row],[Giảm giá]]*InvoiceTable[[#This Row],[Số lượng]]</f>
        <v>570000</v>
      </c>
    </row>
    <row r="218" spans="1:66" x14ac:dyDescent="0.25">
      <c r="A218" t="s">
        <v>65</v>
      </c>
      <c r="B218" t="s">
        <v>1022</v>
      </c>
      <c r="F218" s="2"/>
      <c r="G218" s="3">
        <v>46014.490854895834</v>
      </c>
      <c r="H218" s="3">
        <v>46014.490854976852</v>
      </c>
      <c r="I218" s="4" t="s">
        <v>67</v>
      </c>
      <c r="J218" t="s">
        <v>67</v>
      </c>
      <c r="K218" t="s">
        <v>67</v>
      </c>
      <c r="L218" t="s">
        <v>455</v>
      </c>
      <c r="M218" t="s">
        <v>456</v>
      </c>
      <c r="N218" t="s">
        <v>67</v>
      </c>
      <c r="O218" t="s">
        <v>457</v>
      </c>
      <c r="P218" t="s">
        <v>458</v>
      </c>
      <c r="Q218" t="s">
        <v>459</v>
      </c>
      <c r="R218" t="s">
        <v>460</v>
      </c>
      <c r="S218" s="5"/>
      <c r="T218" t="s">
        <v>72</v>
      </c>
      <c r="U218" t="s">
        <v>87</v>
      </c>
      <c r="V218" t="s">
        <v>74</v>
      </c>
      <c r="W218" t="s">
        <v>87</v>
      </c>
      <c r="AE218" s="2"/>
      <c r="AF218" s="2"/>
      <c r="AG218" s="2"/>
      <c r="AH218" s="2"/>
      <c r="AK218" t="s">
        <v>1023</v>
      </c>
      <c r="AL218" s="2">
        <v>0</v>
      </c>
      <c r="AM218" s="2">
        <v>0</v>
      </c>
      <c r="AN218" s="2"/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4"/>
      <c r="AX218" t="s">
        <v>75</v>
      </c>
      <c r="AZ218" t="s">
        <v>365</v>
      </c>
      <c r="BA218" t="s">
        <v>67</v>
      </c>
      <c r="BB218" t="s">
        <v>366</v>
      </c>
      <c r="BC218" t="s">
        <v>367</v>
      </c>
      <c r="BD218" t="s">
        <v>79</v>
      </c>
      <c r="BE218" t="s">
        <v>94</v>
      </c>
      <c r="BF218" s="5">
        <v>46692</v>
      </c>
      <c r="BH218">
        <v>10</v>
      </c>
      <c r="BI218" s="6">
        <v>380000</v>
      </c>
      <c r="BJ218" s="6">
        <v>0</v>
      </c>
      <c r="BK218" s="6">
        <v>380000</v>
      </c>
      <c r="BL218" s="6">
        <v>0</v>
      </c>
      <c r="BM218" s="2">
        <v>0</v>
      </c>
      <c r="BN218">
        <f>InvoiceTable[[#This Row],[Giảm giá]]*InvoiceTable[[#This Row],[Số lượng]]</f>
        <v>3800000</v>
      </c>
    </row>
    <row r="219" spans="1:66" x14ac:dyDescent="0.25">
      <c r="A219" t="s">
        <v>65</v>
      </c>
      <c r="B219" t="s">
        <v>1024</v>
      </c>
      <c r="F219" s="2"/>
      <c r="G219" s="3">
        <v>46014.475090509259</v>
      </c>
      <c r="H219" s="3">
        <v>46014.475090624997</v>
      </c>
      <c r="I219" s="4" t="s">
        <v>67</v>
      </c>
      <c r="J219" t="s">
        <v>1025</v>
      </c>
      <c r="K219" t="s">
        <v>67</v>
      </c>
      <c r="L219" t="s">
        <v>1026</v>
      </c>
      <c r="M219" t="s">
        <v>1027</v>
      </c>
      <c r="N219" t="s">
        <v>67</v>
      </c>
      <c r="O219" t="s">
        <v>1028</v>
      </c>
      <c r="P219" t="s">
        <v>1029</v>
      </c>
      <c r="Q219" t="s">
        <v>1030</v>
      </c>
      <c r="R219" t="s">
        <v>67</v>
      </c>
      <c r="S219" s="5"/>
      <c r="T219" t="s">
        <v>72</v>
      </c>
      <c r="U219" t="s">
        <v>1031</v>
      </c>
      <c r="V219" t="s">
        <v>74</v>
      </c>
      <c r="W219" t="s">
        <v>87</v>
      </c>
      <c r="AE219" s="2"/>
      <c r="AF219" s="2"/>
      <c r="AG219" s="2"/>
      <c r="AH219" s="2"/>
      <c r="AK219" t="s">
        <v>1032</v>
      </c>
      <c r="AL219" s="2">
        <v>517500</v>
      </c>
      <c r="AM219" s="2">
        <v>0</v>
      </c>
      <c r="AN219" s="2"/>
      <c r="AO219" s="2">
        <v>0</v>
      </c>
      <c r="AP219" s="2">
        <v>517500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4"/>
      <c r="AX219" t="s">
        <v>75</v>
      </c>
      <c r="AZ219" t="s">
        <v>1033</v>
      </c>
      <c r="BA219" t="s">
        <v>67</v>
      </c>
      <c r="BB219" t="s">
        <v>1034</v>
      </c>
      <c r="BC219" t="s">
        <v>357</v>
      </c>
      <c r="BD219" t="s">
        <v>79</v>
      </c>
      <c r="BE219" t="s">
        <v>1035</v>
      </c>
      <c r="BF219" s="5">
        <v>46204</v>
      </c>
      <c r="BG219" t="s">
        <v>67</v>
      </c>
      <c r="BH219">
        <v>2</v>
      </c>
      <c r="BI219" s="6">
        <v>345000</v>
      </c>
      <c r="BJ219" s="6">
        <v>25</v>
      </c>
      <c r="BK219" s="6">
        <v>86250</v>
      </c>
      <c r="BL219" s="6">
        <v>258750</v>
      </c>
      <c r="BM219" s="2">
        <v>517500</v>
      </c>
      <c r="BN219">
        <f>InvoiceTable[[#This Row],[Giảm giá]]*InvoiceTable[[#This Row],[Số lượng]]</f>
        <v>172500</v>
      </c>
    </row>
    <row r="220" spans="1:66" x14ac:dyDescent="0.25">
      <c r="A220" t="s">
        <v>65</v>
      </c>
      <c r="B220" t="s">
        <v>1036</v>
      </c>
      <c r="F220" s="2"/>
      <c r="G220" s="3">
        <v>46014.471141898146</v>
      </c>
      <c r="H220" s="3">
        <v>46014.471141979164</v>
      </c>
      <c r="I220" s="4" t="s">
        <v>67</v>
      </c>
      <c r="J220" t="s">
        <v>67</v>
      </c>
      <c r="K220" t="s">
        <v>67</v>
      </c>
      <c r="L220" t="s">
        <v>569</v>
      </c>
      <c r="M220" t="s">
        <v>570</v>
      </c>
      <c r="N220" t="s">
        <v>67</v>
      </c>
      <c r="O220" t="s">
        <v>571</v>
      </c>
      <c r="P220" t="s">
        <v>572</v>
      </c>
      <c r="S220" s="5"/>
      <c r="T220" t="s">
        <v>72</v>
      </c>
      <c r="U220" t="s">
        <v>87</v>
      </c>
      <c r="V220" t="s">
        <v>74</v>
      </c>
      <c r="W220" t="s">
        <v>87</v>
      </c>
      <c r="AE220" s="2"/>
      <c r="AF220" s="2"/>
      <c r="AG220" s="2"/>
      <c r="AH220" s="2"/>
      <c r="AK220" t="s">
        <v>1037</v>
      </c>
      <c r="AL220" s="2">
        <v>1895000</v>
      </c>
      <c r="AM220" s="2">
        <v>852750</v>
      </c>
      <c r="AN220" s="2"/>
      <c r="AO220" s="2">
        <v>0</v>
      </c>
      <c r="AP220" s="2">
        <v>1042250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4"/>
      <c r="AX220" t="s">
        <v>75</v>
      </c>
      <c r="AZ220" t="s">
        <v>340</v>
      </c>
      <c r="BA220" t="s">
        <v>67</v>
      </c>
      <c r="BB220" t="s">
        <v>341</v>
      </c>
      <c r="BC220" t="s">
        <v>204</v>
      </c>
      <c r="BD220" t="s">
        <v>79</v>
      </c>
      <c r="BE220" t="s">
        <v>334</v>
      </c>
      <c r="BF220" s="5">
        <v>47209</v>
      </c>
      <c r="BH220">
        <v>2</v>
      </c>
      <c r="BI220" s="6">
        <v>710000</v>
      </c>
      <c r="BJ220" s="6">
        <v>0</v>
      </c>
      <c r="BK220" s="6">
        <v>0</v>
      </c>
      <c r="BL220" s="6">
        <v>710000</v>
      </c>
      <c r="BM220" s="2">
        <v>1420000</v>
      </c>
      <c r="BN220">
        <f>InvoiceTable[[#This Row],[Giảm giá]]*InvoiceTable[[#This Row],[Số lượng]]</f>
        <v>0</v>
      </c>
    </row>
    <row r="221" spans="1:66" x14ac:dyDescent="0.25">
      <c r="A221" t="s">
        <v>65</v>
      </c>
      <c r="B221" t="s">
        <v>1036</v>
      </c>
      <c r="F221" s="2"/>
      <c r="G221" s="3">
        <v>46014.471141898146</v>
      </c>
      <c r="H221" s="3">
        <v>46014.471141979164</v>
      </c>
      <c r="I221" s="4" t="s">
        <v>67</v>
      </c>
      <c r="J221" t="s">
        <v>67</v>
      </c>
      <c r="K221" t="s">
        <v>67</v>
      </c>
      <c r="L221" t="s">
        <v>569</v>
      </c>
      <c r="M221" t="s">
        <v>570</v>
      </c>
      <c r="N221" t="s">
        <v>67</v>
      </c>
      <c r="O221" t="s">
        <v>571</v>
      </c>
      <c r="P221" t="s">
        <v>572</v>
      </c>
      <c r="S221" s="5"/>
      <c r="T221" t="s">
        <v>72</v>
      </c>
      <c r="U221" t="s">
        <v>87</v>
      </c>
      <c r="V221" t="s">
        <v>74</v>
      </c>
      <c r="W221" t="s">
        <v>87</v>
      </c>
      <c r="AE221" s="2"/>
      <c r="AF221" s="2"/>
      <c r="AG221" s="2"/>
      <c r="AH221" s="2"/>
      <c r="AK221" t="s">
        <v>1037</v>
      </c>
      <c r="AL221" s="2">
        <v>1895000</v>
      </c>
      <c r="AM221" s="2">
        <v>852750</v>
      </c>
      <c r="AN221" s="2"/>
      <c r="AO221" s="2">
        <v>0</v>
      </c>
      <c r="AP221" s="2">
        <v>1042250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4"/>
      <c r="AX221" t="s">
        <v>75</v>
      </c>
      <c r="AZ221" t="s">
        <v>745</v>
      </c>
      <c r="BA221" t="s">
        <v>67</v>
      </c>
      <c r="BB221" t="s">
        <v>746</v>
      </c>
      <c r="BC221" t="s">
        <v>204</v>
      </c>
      <c r="BD221" t="s">
        <v>79</v>
      </c>
      <c r="BE221" t="s">
        <v>142</v>
      </c>
      <c r="BF221" s="5">
        <v>46844</v>
      </c>
      <c r="BH221">
        <v>1</v>
      </c>
      <c r="BI221" s="6">
        <v>475000</v>
      </c>
      <c r="BJ221" s="6">
        <v>0</v>
      </c>
      <c r="BK221" s="6">
        <v>0</v>
      </c>
      <c r="BL221" s="6">
        <v>475000</v>
      </c>
      <c r="BM221" s="2">
        <v>475000</v>
      </c>
      <c r="BN221">
        <f>InvoiceTable[[#This Row],[Giảm giá]]*InvoiceTable[[#This Row],[Số lượng]]</f>
        <v>0</v>
      </c>
    </row>
    <row r="222" spans="1:66" x14ac:dyDescent="0.25">
      <c r="A222" t="s">
        <v>65</v>
      </c>
      <c r="B222" t="s">
        <v>1038</v>
      </c>
      <c r="F222" s="2"/>
      <c r="G222" s="3">
        <v>46014.454379594907</v>
      </c>
      <c r="H222" s="3">
        <v>46014.456641817131</v>
      </c>
      <c r="I222" s="4" t="s">
        <v>67</v>
      </c>
      <c r="J222" t="s">
        <v>67</v>
      </c>
      <c r="K222" t="s">
        <v>67</v>
      </c>
      <c r="L222" t="s">
        <v>876</v>
      </c>
      <c r="M222" t="s">
        <v>877</v>
      </c>
      <c r="N222" t="s">
        <v>67</v>
      </c>
      <c r="O222" t="s">
        <v>878</v>
      </c>
      <c r="P222" t="s">
        <v>879</v>
      </c>
      <c r="Q222" t="s">
        <v>880</v>
      </c>
      <c r="R222" t="s">
        <v>881</v>
      </c>
      <c r="S222" s="5"/>
      <c r="T222" t="s">
        <v>72</v>
      </c>
      <c r="U222" t="s">
        <v>87</v>
      </c>
      <c r="V222" t="s">
        <v>74</v>
      </c>
      <c r="W222" t="s">
        <v>87</v>
      </c>
      <c r="AE222" s="2"/>
      <c r="AF222" s="2"/>
      <c r="AG222" s="2"/>
      <c r="AH222" s="2"/>
      <c r="AL222" s="2">
        <v>9750000</v>
      </c>
      <c r="AM222" s="2">
        <v>5167500</v>
      </c>
      <c r="AN222" s="2"/>
      <c r="AO222" s="2">
        <v>0</v>
      </c>
      <c r="AP222" s="2">
        <v>4582500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4"/>
      <c r="AX222" t="s">
        <v>75</v>
      </c>
      <c r="AZ222" t="s">
        <v>1039</v>
      </c>
      <c r="BA222" t="s">
        <v>67</v>
      </c>
      <c r="BB222" t="s">
        <v>1040</v>
      </c>
      <c r="BC222" t="s">
        <v>78</v>
      </c>
      <c r="BD222" t="s">
        <v>79</v>
      </c>
      <c r="BE222" t="s">
        <v>117</v>
      </c>
      <c r="BF222" s="5">
        <v>46569</v>
      </c>
      <c r="BH222">
        <v>1</v>
      </c>
      <c r="BI222" s="6">
        <v>3050000</v>
      </c>
      <c r="BJ222" s="6">
        <v>0</v>
      </c>
      <c r="BK222" s="6">
        <v>0</v>
      </c>
      <c r="BL222" s="6">
        <v>3050000</v>
      </c>
      <c r="BM222" s="2">
        <v>3050000</v>
      </c>
      <c r="BN222">
        <f>InvoiceTable[[#This Row],[Giảm giá]]*InvoiceTable[[#This Row],[Số lượng]]</f>
        <v>0</v>
      </c>
    </row>
    <row r="223" spans="1:66" x14ac:dyDescent="0.25">
      <c r="A223" t="s">
        <v>65</v>
      </c>
      <c r="B223" t="s">
        <v>1038</v>
      </c>
      <c r="F223" s="2"/>
      <c r="G223" s="3">
        <v>46014.454379594907</v>
      </c>
      <c r="H223" s="3">
        <v>46014.456641817131</v>
      </c>
      <c r="I223" s="4" t="s">
        <v>67</v>
      </c>
      <c r="J223" t="s">
        <v>67</v>
      </c>
      <c r="K223" t="s">
        <v>67</v>
      </c>
      <c r="L223" t="s">
        <v>876</v>
      </c>
      <c r="M223" t="s">
        <v>877</v>
      </c>
      <c r="N223" t="s">
        <v>67</v>
      </c>
      <c r="O223" t="s">
        <v>878</v>
      </c>
      <c r="P223" t="s">
        <v>879</v>
      </c>
      <c r="Q223" t="s">
        <v>880</v>
      </c>
      <c r="R223" t="s">
        <v>881</v>
      </c>
      <c r="S223" s="5"/>
      <c r="T223" t="s">
        <v>72</v>
      </c>
      <c r="U223" t="s">
        <v>87</v>
      </c>
      <c r="V223" t="s">
        <v>74</v>
      </c>
      <c r="W223" t="s">
        <v>87</v>
      </c>
      <c r="AE223" s="2"/>
      <c r="AF223" s="2"/>
      <c r="AG223" s="2"/>
      <c r="AH223" s="2"/>
      <c r="AL223" s="2">
        <v>9750000</v>
      </c>
      <c r="AM223" s="2">
        <v>5167500</v>
      </c>
      <c r="AN223" s="2"/>
      <c r="AO223" s="2">
        <v>0</v>
      </c>
      <c r="AP223" s="2">
        <v>4582500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4"/>
      <c r="AX223" t="s">
        <v>75</v>
      </c>
      <c r="AZ223" t="s">
        <v>1041</v>
      </c>
      <c r="BB223" t="s">
        <v>1042</v>
      </c>
      <c r="BC223" t="s">
        <v>78</v>
      </c>
      <c r="BD223" t="s">
        <v>79</v>
      </c>
      <c r="BE223" t="s">
        <v>1043</v>
      </c>
      <c r="BF223" s="5">
        <v>46784</v>
      </c>
      <c r="BG223" t="s">
        <v>67</v>
      </c>
      <c r="BH223">
        <v>2</v>
      </c>
      <c r="BI223" s="6">
        <v>3350000</v>
      </c>
      <c r="BJ223" s="6">
        <v>0</v>
      </c>
      <c r="BK223" s="6">
        <v>0</v>
      </c>
      <c r="BL223" s="6">
        <v>3350000</v>
      </c>
      <c r="BM223" s="2">
        <v>6700000</v>
      </c>
      <c r="BN223">
        <f>InvoiceTable[[#This Row],[Giảm giá]]*InvoiceTable[[#This Row],[Số lượng]]</f>
        <v>0</v>
      </c>
    </row>
    <row r="224" spans="1:66" x14ac:dyDescent="0.25">
      <c r="A224" t="s">
        <v>65</v>
      </c>
      <c r="B224" t="s">
        <v>1044</v>
      </c>
      <c r="F224" s="2"/>
      <c r="G224" s="3">
        <v>46014.44726724537</v>
      </c>
      <c r="H224" s="3">
        <v>46014.44726739583</v>
      </c>
      <c r="I224" s="4" t="s">
        <v>67</v>
      </c>
      <c r="J224" t="s">
        <v>67</v>
      </c>
      <c r="K224" t="s">
        <v>67</v>
      </c>
      <c r="L224" t="s">
        <v>1045</v>
      </c>
      <c r="M224" t="s">
        <v>1046</v>
      </c>
      <c r="N224" t="s">
        <v>67</v>
      </c>
      <c r="Q224" t="s">
        <v>67</v>
      </c>
      <c r="R224" t="s">
        <v>67</v>
      </c>
      <c r="S224" s="5"/>
      <c r="T224" t="s">
        <v>72</v>
      </c>
      <c r="U224" t="s">
        <v>87</v>
      </c>
      <c r="V224" t="s">
        <v>74</v>
      </c>
      <c r="W224" t="s">
        <v>87</v>
      </c>
      <c r="AE224" s="2"/>
      <c r="AF224" s="2"/>
      <c r="AG224" s="2"/>
      <c r="AH224" s="2"/>
      <c r="AL224" s="2">
        <v>1827000</v>
      </c>
      <c r="AM224" s="2">
        <v>0</v>
      </c>
      <c r="AN224" s="2"/>
      <c r="AO224" s="2">
        <v>0</v>
      </c>
      <c r="AP224" s="2">
        <v>1827000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4"/>
      <c r="AX224" t="s">
        <v>75</v>
      </c>
      <c r="AZ224" t="s">
        <v>1047</v>
      </c>
      <c r="BA224" t="s">
        <v>67</v>
      </c>
      <c r="BB224" t="s">
        <v>1048</v>
      </c>
      <c r="BC224" t="s">
        <v>344</v>
      </c>
      <c r="BD224" t="s">
        <v>79</v>
      </c>
      <c r="BE224" t="s">
        <v>139</v>
      </c>
      <c r="BF224" s="5">
        <v>46447</v>
      </c>
      <c r="BH224">
        <v>3</v>
      </c>
      <c r="BI224" s="6">
        <v>1050000</v>
      </c>
      <c r="BJ224" s="6">
        <v>42</v>
      </c>
      <c r="BK224" s="6">
        <v>441000</v>
      </c>
      <c r="BL224" s="6">
        <v>609000</v>
      </c>
      <c r="BM224" s="2">
        <v>1827000</v>
      </c>
      <c r="BN224">
        <f>InvoiceTable[[#This Row],[Giảm giá]]*InvoiceTable[[#This Row],[Số lượng]]</f>
        <v>1323000</v>
      </c>
    </row>
    <row r="225" spans="1:66" x14ac:dyDescent="0.25">
      <c r="A225" t="s">
        <v>65</v>
      </c>
      <c r="B225" t="s">
        <v>1049</v>
      </c>
      <c r="F225" s="2"/>
      <c r="G225" s="3">
        <v>46014.430331134259</v>
      </c>
      <c r="H225" s="3">
        <v>46014.430308449075</v>
      </c>
      <c r="I225" s="4" t="s">
        <v>1050</v>
      </c>
      <c r="J225" t="s">
        <v>67</v>
      </c>
      <c r="K225" t="s">
        <v>67</v>
      </c>
      <c r="L225" t="s">
        <v>814</v>
      </c>
      <c r="M225" t="s">
        <v>815</v>
      </c>
      <c r="N225" t="s">
        <v>67</v>
      </c>
      <c r="O225" t="s">
        <v>816</v>
      </c>
      <c r="Q225" t="s">
        <v>67</v>
      </c>
      <c r="R225" t="s">
        <v>67</v>
      </c>
      <c r="S225" s="5"/>
      <c r="T225" t="s">
        <v>72</v>
      </c>
      <c r="U225" t="s">
        <v>87</v>
      </c>
      <c r="V225" t="s">
        <v>74</v>
      </c>
      <c r="W225" t="s">
        <v>87</v>
      </c>
      <c r="AE225" s="2"/>
      <c r="AF225" s="2"/>
      <c r="AG225" s="2"/>
      <c r="AH225" s="2"/>
      <c r="AL225" s="2">
        <v>8200000</v>
      </c>
      <c r="AM225" s="2">
        <v>0</v>
      </c>
      <c r="AN225" s="2"/>
      <c r="AO225" s="2">
        <v>0</v>
      </c>
      <c r="AP225" s="2">
        <v>8200000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4"/>
      <c r="AX225" t="s">
        <v>75</v>
      </c>
      <c r="AZ225" t="s">
        <v>543</v>
      </c>
      <c r="BA225" t="s">
        <v>67</v>
      </c>
      <c r="BB225" t="s">
        <v>544</v>
      </c>
      <c r="BC225" t="s">
        <v>437</v>
      </c>
      <c r="BD225" t="s">
        <v>79</v>
      </c>
      <c r="BE225" t="s">
        <v>545</v>
      </c>
      <c r="BF225" s="5">
        <v>47177</v>
      </c>
      <c r="BG225" t="s">
        <v>67</v>
      </c>
      <c r="BH225">
        <v>1</v>
      </c>
      <c r="BI225" s="6">
        <v>4500000</v>
      </c>
      <c r="BJ225" s="6">
        <v>0</v>
      </c>
      <c r="BK225" s="6">
        <v>1750000</v>
      </c>
      <c r="BL225" s="6">
        <v>2750000</v>
      </c>
      <c r="BM225" s="2">
        <v>2750000</v>
      </c>
      <c r="BN225">
        <f>InvoiceTable[[#This Row],[Giảm giá]]*InvoiceTable[[#This Row],[Số lượng]]</f>
        <v>1750000</v>
      </c>
    </row>
    <row r="226" spans="1:66" x14ac:dyDescent="0.25">
      <c r="A226" t="s">
        <v>65</v>
      </c>
      <c r="B226" t="s">
        <v>1049</v>
      </c>
      <c r="F226" s="2"/>
      <c r="G226" s="3">
        <v>46014.430331134259</v>
      </c>
      <c r="H226" s="3">
        <v>46014.430308449075</v>
      </c>
      <c r="I226" s="4" t="s">
        <v>1050</v>
      </c>
      <c r="J226" t="s">
        <v>67</v>
      </c>
      <c r="K226" t="s">
        <v>67</v>
      </c>
      <c r="L226" t="s">
        <v>814</v>
      </c>
      <c r="M226" t="s">
        <v>815</v>
      </c>
      <c r="N226" t="s">
        <v>67</v>
      </c>
      <c r="O226" t="s">
        <v>816</v>
      </c>
      <c r="Q226" t="s">
        <v>67</v>
      </c>
      <c r="R226" t="s">
        <v>67</v>
      </c>
      <c r="S226" s="5"/>
      <c r="T226" t="s">
        <v>72</v>
      </c>
      <c r="U226" t="s">
        <v>87</v>
      </c>
      <c r="V226" t="s">
        <v>74</v>
      </c>
      <c r="W226" t="s">
        <v>87</v>
      </c>
      <c r="AE226" s="2"/>
      <c r="AF226" s="2"/>
      <c r="AG226" s="2"/>
      <c r="AH226" s="2"/>
      <c r="AL226" s="2">
        <v>8200000</v>
      </c>
      <c r="AM226" s="2">
        <v>0</v>
      </c>
      <c r="AN226" s="2"/>
      <c r="AO226" s="2">
        <v>0</v>
      </c>
      <c r="AP226" s="2">
        <v>8200000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4"/>
      <c r="AX226" t="s">
        <v>75</v>
      </c>
      <c r="AZ226" t="s">
        <v>674</v>
      </c>
      <c r="BA226" t="s">
        <v>67</v>
      </c>
      <c r="BB226" t="s">
        <v>675</v>
      </c>
      <c r="BC226" t="s">
        <v>676</v>
      </c>
      <c r="BD226" t="s">
        <v>79</v>
      </c>
      <c r="BE226" t="s">
        <v>677</v>
      </c>
      <c r="BF226" s="5">
        <v>46943</v>
      </c>
      <c r="BH226">
        <v>1</v>
      </c>
      <c r="BI226" s="6">
        <v>1690000</v>
      </c>
      <c r="BJ226" s="6">
        <v>0</v>
      </c>
      <c r="BK226" s="6">
        <v>600000</v>
      </c>
      <c r="BL226" s="6">
        <v>1090000</v>
      </c>
      <c r="BM226" s="2">
        <v>1090000</v>
      </c>
      <c r="BN226">
        <f>InvoiceTable[[#This Row],[Giảm giá]]*InvoiceTable[[#This Row],[Số lượng]]</f>
        <v>600000</v>
      </c>
    </row>
    <row r="227" spans="1:66" x14ac:dyDescent="0.25">
      <c r="A227" t="s">
        <v>65</v>
      </c>
      <c r="B227" t="s">
        <v>1049</v>
      </c>
      <c r="F227" s="2"/>
      <c r="G227" s="3">
        <v>46014.430331134259</v>
      </c>
      <c r="H227" s="3">
        <v>46014.430308449075</v>
      </c>
      <c r="I227" s="4" t="s">
        <v>1050</v>
      </c>
      <c r="J227" t="s">
        <v>67</v>
      </c>
      <c r="K227" t="s">
        <v>67</v>
      </c>
      <c r="L227" t="s">
        <v>814</v>
      </c>
      <c r="M227" t="s">
        <v>815</v>
      </c>
      <c r="N227" t="s">
        <v>67</v>
      </c>
      <c r="O227" t="s">
        <v>816</v>
      </c>
      <c r="Q227" t="s">
        <v>67</v>
      </c>
      <c r="R227" t="s">
        <v>67</v>
      </c>
      <c r="S227" s="5"/>
      <c r="T227" t="s">
        <v>72</v>
      </c>
      <c r="U227" t="s">
        <v>87</v>
      </c>
      <c r="V227" t="s">
        <v>74</v>
      </c>
      <c r="W227" t="s">
        <v>87</v>
      </c>
      <c r="AE227" s="2"/>
      <c r="AF227" s="2"/>
      <c r="AG227" s="2"/>
      <c r="AH227" s="2"/>
      <c r="AL227" s="2">
        <v>8200000</v>
      </c>
      <c r="AM227" s="2">
        <v>0</v>
      </c>
      <c r="AN227" s="2"/>
      <c r="AO227" s="2">
        <v>0</v>
      </c>
      <c r="AP227" s="2">
        <v>8200000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4"/>
      <c r="AX227" t="s">
        <v>75</v>
      </c>
      <c r="AZ227" t="s">
        <v>1019</v>
      </c>
      <c r="BA227" t="s">
        <v>67</v>
      </c>
      <c r="BB227" t="s">
        <v>1020</v>
      </c>
      <c r="BC227" t="s">
        <v>676</v>
      </c>
      <c r="BD227" t="s">
        <v>79</v>
      </c>
      <c r="BE227" t="s">
        <v>1021</v>
      </c>
      <c r="BF227" s="5">
        <v>46936</v>
      </c>
      <c r="BH227">
        <v>4</v>
      </c>
      <c r="BI227" s="6">
        <v>1690000</v>
      </c>
      <c r="BJ227" s="6">
        <v>0</v>
      </c>
      <c r="BK227" s="6">
        <v>600000</v>
      </c>
      <c r="BL227" s="6">
        <v>1090000</v>
      </c>
      <c r="BM227" s="2">
        <v>4360000</v>
      </c>
      <c r="BN227">
        <f>InvoiceTable[[#This Row],[Giảm giá]]*InvoiceTable[[#This Row],[Số lượng]]</f>
        <v>2400000</v>
      </c>
    </row>
    <row r="228" spans="1:66" x14ac:dyDescent="0.25">
      <c r="A228" t="s">
        <v>65</v>
      </c>
      <c r="B228" t="s">
        <v>1051</v>
      </c>
      <c r="F228" s="2"/>
      <c r="G228" s="3">
        <v>46014.42664302083</v>
      </c>
      <c r="H228" s="3">
        <v>46014.426643483799</v>
      </c>
      <c r="I228" s="4" t="s">
        <v>1052</v>
      </c>
      <c r="J228" t="s">
        <v>1053</v>
      </c>
      <c r="K228" t="s">
        <v>67</v>
      </c>
      <c r="L228" t="s">
        <v>1026</v>
      </c>
      <c r="M228" t="s">
        <v>1027</v>
      </c>
      <c r="N228" t="s">
        <v>67</v>
      </c>
      <c r="O228" t="s">
        <v>1028</v>
      </c>
      <c r="P228" t="s">
        <v>1029</v>
      </c>
      <c r="Q228" t="s">
        <v>1030</v>
      </c>
      <c r="R228" t="s">
        <v>67</v>
      </c>
      <c r="S228" s="5"/>
      <c r="T228" t="s">
        <v>72</v>
      </c>
      <c r="U228" t="s">
        <v>1031</v>
      </c>
      <c r="V228" t="s">
        <v>74</v>
      </c>
      <c r="W228" t="s">
        <v>87</v>
      </c>
      <c r="AE228" s="2"/>
      <c r="AF228" s="2"/>
      <c r="AG228" s="2"/>
      <c r="AH228" s="2"/>
      <c r="AK228" t="s">
        <v>1054</v>
      </c>
      <c r="AL228" s="2">
        <v>870000</v>
      </c>
      <c r="AM228" s="2">
        <v>217500</v>
      </c>
      <c r="AN228" s="2"/>
      <c r="AO228" s="2">
        <v>0</v>
      </c>
      <c r="AP228" s="2">
        <v>652500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4"/>
      <c r="AX228" t="s">
        <v>75</v>
      </c>
      <c r="AZ228" t="s">
        <v>1055</v>
      </c>
      <c r="BB228" t="s">
        <v>1056</v>
      </c>
      <c r="BC228" t="s">
        <v>78</v>
      </c>
      <c r="BD228" t="s">
        <v>79</v>
      </c>
      <c r="BE228" t="s">
        <v>201</v>
      </c>
      <c r="BF228" s="5">
        <v>46966</v>
      </c>
      <c r="BH228">
        <v>1</v>
      </c>
      <c r="BI228" s="6">
        <v>470000</v>
      </c>
      <c r="BJ228" s="6">
        <v>0</v>
      </c>
      <c r="BK228" s="6">
        <v>0</v>
      </c>
      <c r="BL228" s="6">
        <v>470000</v>
      </c>
      <c r="BM228" s="2">
        <v>470000</v>
      </c>
      <c r="BN228">
        <f>InvoiceTable[[#This Row],[Giảm giá]]*InvoiceTable[[#This Row],[Số lượng]]</f>
        <v>0</v>
      </c>
    </row>
    <row r="229" spans="1:66" x14ac:dyDescent="0.25">
      <c r="A229" t="s">
        <v>65</v>
      </c>
      <c r="B229" t="s">
        <v>1051</v>
      </c>
      <c r="F229" s="2"/>
      <c r="G229" s="3">
        <v>46014.42664302083</v>
      </c>
      <c r="H229" s="3">
        <v>46014.426643483799</v>
      </c>
      <c r="I229" s="4" t="s">
        <v>1052</v>
      </c>
      <c r="J229" t="s">
        <v>1053</v>
      </c>
      <c r="K229" t="s">
        <v>67</v>
      </c>
      <c r="L229" t="s">
        <v>1026</v>
      </c>
      <c r="M229" t="s">
        <v>1027</v>
      </c>
      <c r="N229" t="s">
        <v>67</v>
      </c>
      <c r="O229" t="s">
        <v>1028</v>
      </c>
      <c r="P229" t="s">
        <v>1029</v>
      </c>
      <c r="Q229" t="s">
        <v>1030</v>
      </c>
      <c r="R229" t="s">
        <v>67</v>
      </c>
      <c r="S229" s="5"/>
      <c r="T229" t="s">
        <v>72</v>
      </c>
      <c r="U229" t="s">
        <v>1031</v>
      </c>
      <c r="V229" t="s">
        <v>74</v>
      </c>
      <c r="W229" t="s">
        <v>87</v>
      </c>
      <c r="AE229" s="2"/>
      <c r="AF229" s="2"/>
      <c r="AG229" s="2"/>
      <c r="AH229" s="2"/>
      <c r="AK229" t="s">
        <v>1054</v>
      </c>
      <c r="AL229" s="2">
        <v>870000</v>
      </c>
      <c r="AM229" s="2">
        <v>217500</v>
      </c>
      <c r="AN229" s="2"/>
      <c r="AO229" s="2">
        <v>0</v>
      </c>
      <c r="AP229" s="2">
        <v>652500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4"/>
      <c r="AX229" t="s">
        <v>75</v>
      </c>
      <c r="AZ229" t="s">
        <v>1057</v>
      </c>
      <c r="BA229" t="s">
        <v>67</v>
      </c>
      <c r="BB229" t="s">
        <v>1058</v>
      </c>
      <c r="BC229" t="s">
        <v>204</v>
      </c>
      <c r="BD229" t="s">
        <v>79</v>
      </c>
      <c r="BE229" t="s">
        <v>423</v>
      </c>
      <c r="BF229" s="5">
        <v>47543</v>
      </c>
      <c r="BH229">
        <v>1</v>
      </c>
      <c r="BI229" s="6">
        <v>400000</v>
      </c>
      <c r="BJ229" s="6">
        <v>0</v>
      </c>
      <c r="BK229" s="6">
        <v>0</v>
      </c>
      <c r="BL229" s="6">
        <v>400000</v>
      </c>
      <c r="BM229" s="2">
        <v>400000</v>
      </c>
      <c r="BN229">
        <f>InvoiceTable[[#This Row],[Giảm giá]]*InvoiceTable[[#This Row],[Số lượng]]</f>
        <v>0</v>
      </c>
    </row>
    <row r="230" spans="1:66" x14ac:dyDescent="0.25">
      <c r="A230" t="s">
        <v>65</v>
      </c>
      <c r="B230" t="s">
        <v>1059</v>
      </c>
      <c r="F230" s="2"/>
      <c r="G230" s="3">
        <v>46014.425732986114</v>
      </c>
      <c r="H230" s="3">
        <v>46014.425733101853</v>
      </c>
      <c r="I230" s="4" t="s">
        <v>67</v>
      </c>
      <c r="J230" t="s">
        <v>1060</v>
      </c>
      <c r="K230" t="s">
        <v>67</v>
      </c>
      <c r="L230" t="s">
        <v>1061</v>
      </c>
      <c r="M230" t="s">
        <v>1062</v>
      </c>
      <c r="N230" t="s">
        <v>67</v>
      </c>
      <c r="O230" t="s">
        <v>1063</v>
      </c>
      <c r="P230" t="s">
        <v>1064</v>
      </c>
      <c r="Q230" t="s">
        <v>67</v>
      </c>
      <c r="R230" t="s">
        <v>67</v>
      </c>
      <c r="S230" s="5"/>
      <c r="T230" t="s">
        <v>72</v>
      </c>
      <c r="U230" t="s">
        <v>73</v>
      </c>
      <c r="V230" t="s">
        <v>74</v>
      </c>
      <c r="W230" t="s">
        <v>87</v>
      </c>
      <c r="AE230" s="2"/>
      <c r="AF230" s="2"/>
      <c r="AG230" s="2"/>
      <c r="AH230" s="2"/>
      <c r="AK230" t="s">
        <v>613</v>
      </c>
      <c r="AL230" s="2">
        <v>283560</v>
      </c>
      <c r="AM230" s="2">
        <v>0</v>
      </c>
      <c r="AN230" s="2"/>
      <c r="AO230" s="2">
        <v>0</v>
      </c>
      <c r="AP230" s="2">
        <v>283560</v>
      </c>
      <c r="AQ230" s="2">
        <v>283560</v>
      </c>
      <c r="AR230" s="2">
        <v>0</v>
      </c>
      <c r="AS230" s="2">
        <v>0</v>
      </c>
      <c r="AT230" s="2">
        <v>0</v>
      </c>
      <c r="AU230" s="2">
        <v>283560</v>
      </c>
      <c r="AV230" s="2">
        <v>0</v>
      </c>
      <c r="AW230" s="4"/>
      <c r="AX230" t="s">
        <v>75</v>
      </c>
      <c r="AZ230" t="s">
        <v>1065</v>
      </c>
      <c r="BA230" t="s">
        <v>67</v>
      </c>
      <c r="BB230" t="s">
        <v>1066</v>
      </c>
      <c r="BC230" t="s">
        <v>1067</v>
      </c>
      <c r="BD230" t="s">
        <v>79</v>
      </c>
      <c r="BE230" t="s">
        <v>423</v>
      </c>
      <c r="BF230" s="5">
        <v>47543</v>
      </c>
      <c r="BG230" t="s">
        <v>67</v>
      </c>
      <c r="BH230">
        <v>1</v>
      </c>
      <c r="BI230" s="6">
        <v>417000</v>
      </c>
      <c r="BJ230" s="6">
        <v>32</v>
      </c>
      <c r="BK230" s="6">
        <v>133440</v>
      </c>
      <c r="BL230" s="6">
        <v>283560</v>
      </c>
      <c r="BM230" s="2">
        <v>283560</v>
      </c>
      <c r="BN230">
        <f>InvoiceTable[[#This Row],[Giảm giá]]*InvoiceTable[[#This Row],[Số lượng]]</f>
        <v>133440</v>
      </c>
    </row>
    <row r="231" spans="1:66" x14ac:dyDescent="0.25">
      <c r="A231" t="s">
        <v>65</v>
      </c>
      <c r="B231" t="s">
        <v>1068</v>
      </c>
      <c r="F231" s="2"/>
      <c r="G231" s="3">
        <v>46014.425578738425</v>
      </c>
      <c r="H231" s="3">
        <v>46014.425579166666</v>
      </c>
      <c r="I231" s="4" t="s">
        <v>67</v>
      </c>
      <c r="J231" t="s">
        <v>1069</v>
      </c>
      <c r="K231" t="s">
        <v>67</v>
      </c>
      <c r="L231" t="s">
        <v>180</v>
      </c>
      <c r="M231" t="s">
        <v>181</v>
      </c>
      <c r="N231" t="s">
        <v>67</v>
      </c>
      <c r="O231" t="s">
        <v>182</v>
      </c>
      <c r="P231" t="s">
        <v>183</v>
      </c>
      <c r="S231" s="5"/>
      <c r="T231" t="s">
        <v>72</v>
      </c>
      <c r="U231" t="s">
        <v>73</v>
      </c>
      <c r="V231" t="s">
        <v>74</v>
      </c>
      <c r="W231" t="s">
        <v>87</v>
      </c>
      <c r="AE231" s="2"/>
      <c r="AF231" s="2"/>
      <c r="AG231" s="2"/>
      <c r="AH231" s="2"/>
      <c r="AL231" s="2">
        <v>540000</v>
      </c>
      <c r="AM231" s="2">
        <v>0</v>
      </c>
      <c r="AN231" s="2"/>
      <c r="AO231" s="2">
        <v>0</v>
      </c>
      <c r="AP231" s="2">
        <v>540000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4"/>
      <c r="AX231" t="s">
        <v>75</v>
      </c>
      <c r="AZ231" t="s">
        <v>199</v>
      </c>
      <c r="BA231" t="s">
        <v>67</v>
      </c>
      <c r="BB231" t="s">
        <v>200</v>
      </c>
      <c r="BC231" t="s">
        <v>187</v>
      </c>
      <c r="BD231" t="s">
        <v>79</v>
      </c>
      <c r="BE231" t="s">
        <v>201</v>
      </c>
      <c r="BF231" s="5">
        <v>46966</v>
      </c>
      <c r="BH231">
        <v>3</v>
      </c>
      <c r="BI231" s="6">
        <v>360000</v>
      </c>
      <c r="BJ231" s="6">
        <v>50</v>
      </c>
      <c r="BK231" s="6">
        <v>180000</v>
      </c>
      <c r="BL231" s="6">
        <v>180000</v>
      </c>
      <c r="BM231" s="2">
        <v>540000</v>
      </c>
      <c r="BN231">
        <f>InvoiceTable[[#This Row],[Giảm giá]]*InvoiceTable[[#This Row],[Số lượng]]</f>
        <v>540000</v>
      </c>
    </row>
    <row r="232" spans="1:66" x14ac:dyDescent="0.25">
      <c r="A232" t="s">
        <v>65</v>
      </c>
      <c r="B232" t="s">
        <v>1070</v>
      </c>
      <c r="F232" s="2"/>
      <c r="G232" s="3">
        <v>46014.425414930556</v>
      </c>
      <c r="H232" s="3">
        <v>46014.425415127313</v>
      </c>
      <c r="I232" s="4" t="s">
        <v>67</v>
      </c>
      <c r="J232" t="s">
        <v>1071</v>
      </c>
      <c r="K232" t="s">
        <v>67</v>
      </c>
      <c r="L232" t="s">
        <v>796</v>
      </c>
      <c r="M232" t="s">
        <v>797</v>
      </c>
      <c r="N232" t="s">
        <v>67</v>
      </c>
      <c r="O232" t="s">
        <v>798</v>
      </c>
      <c r="P232" t="s">
        <v>799</v>
      </c>
      <c r="Q232" t="s">
        <v>800</v>
      </c>
      <c r="R232" t="s">
        <v>801</v>
      </c>
      <c r="S232" s="5"/>
      <c r="T232" t="s">
        <v>72</v>
      </c>
      <c r="U232" t="s">
        <v>73</v>
      </c>
      <c r="V232" t="s">
        <v>74</v>
      </c>
      <c r="W232" t="s">
        <v>87</v>
      </c>
      <c r="AE232" s="2"/>
      <c r="AF232" s="2"/>
      <c r="AG232" s="2"/>
      <c r="AH232" s="2"/>
      <c r="AK232" t="s">
        <v>613</v>
      </c>
      <c r="AL232" s="2">
        <v>354250</v>
      </c>
      <c r="AM232" s="2">
        <v>0</v>
      </c>
      <c r="AN232" s="2"/>
      <c r="AO232" s="2">
        <v>0</v>
      </c>
      <c r="AP232" s="2">
        <v>354250</v>
      </c>
      <c r="AQ232" s="2">
        <v>354250</v>
      </c>
      <c r="AR232" s="2">
        <v>0</v>
      </c>
      <c r="AS232" s="2">
        <v>0</v>
      </c>
      <c r="AT232" s="2">
        <v>0</v>
      </c>
      <c r="AU232" s="2">
        <v>354250</v>
      </c>
      <c r="AV232" s="2">
        <v>0</v>
      </c>
      <c r="AW232" s="4"/>
      <c r="AX232" t="s">
        <v>75</v>
      </c>
      <c r="AZ232" t="s">
        <v>1072</v>
      </c>
      <c r="BA232" t="s">
        <v>67</v>
      </c>
      <c r="BB232" t="s">
        <v>1073</v>
      </c>
      <c r="BC232" t="s">
        <v>204</v>
      </c>
      <c r="BD232" t="s">
        <v>79</v>
      </c>
      <c r="BE232" t="s">
        <v>1074</v>
      </c>
      <c r="BF232" s="5">
        <v>47423</v>
      </c>
      <c r="BH232">
        <v>1</v>
      </c>
      <c r="BI232" s="6">
        <v>545000</v>
      </c>
      <c r="BJ232" s="6">
        <v>35</v>
      </c>
      <c r="BK232" s="6">
        <v>190750</v>
      </c>
      <c r="BL232" s="6">
        <v>354250</v>
      </c>
      <c r="BM232" s="2">
        <v>354250</v>
      </c>
      <c r="BN232">
        <f>InvoiceTable[[#This Row],[Giảm giá]]*InvoiceTable[[#This Row],[Số lượng]]</f>
        <v>190750</v>
      </c>
    </row>
    <row r="233" spans="1:66" x14ac:dyDescent="0.25">
      <c r="A233" t="s">
        <v>65</v>
      </c>
      <c r="B233" t="s">
        <v>1075</v>
      </c>
      <c r="F233" s="2"/>
      <c r="G233" s="3">
        <v>46014.425259027776</v>
      </c>
      <c r="H233" s="3">
        <v>46014.425259143522</v>
      </c>
      <c r="I233" s="4" t="s">
        <v>67</v>
      </c>
      <c r="J233" t="s">
        <v>1076</v>
      </c>
      <c r="K233" t="s">
        <v>67</v>
      </c>
      <c r="L233" t="s">
        <v>1077</v>
      </c>
      <c r="M233" t="s">
        <v>1078</v>
      </c>
      <c r="N233" t="s">
        <v>1079</v>
      </c>
      <c r="O233" t="s">
        <v>1080</v>
      </c>
      <c r="P233" t="s">
        <v>1081</v>
      </c>
      <c r="Q233" t="s">
        <v>1082</v>
      </c>
      <c r="R233" t="s">
        <v>67</v>
      </c>
      <c r="S233" s="5"/>
      <c r="T233" t="s">
        <v>72</v>
      </c>
      <c r="U233" t="s">
        <v>102</v>
      </c>
      <c r="V233" t="s">
        <v>74</v>
      </c>
      <c r="W233" t="s">
        <v>87</v>
      </c>
      <c r="AE233" s="2"/>
      <c r="AF233" s="2"/>
      <c r="AG233" s="2"/>
      <c r="AH233" s="2"/>
      <c r="AK233" t="s">
        <v>1083</v>
      </c>
      <c r="AL233" s="2">
        <v>739700</v>
      </c>
      <c r="AM233" s="2">
        <v>0</v>
      </c>
      <c r="AN233" s="2"/>
      <c r="AO233" s="2">
        <v>0</v>
      </c>
      <c r="AP233" s="2">
        <v>739700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4"/>
      <c r="AX233" t="s">
        <v>75</v>
      </c>
      <c r="AZ233" t="s">
        <v>226</v>
      </c>
      <c r="BA233" t="s">
        <v>67</v>
      </c>
      <c r="BB233" t="s">
        <v>227</v>
      </c>
      <c r="BC233" t="s">
        <v>93</v>
      </c>
      <c r="BD233" t="s">
        <v>79</v>
      </c>
      <c r="BE233" t="s">
        <v>228</v>
      </c>
      <c r="BF233" s="5">
        <v>46813</v>
      </c>
      <c r="BH233">
        <v>1</v>
      </c>
      <c r="BI233" s="6">
        <v>545000</v>
      </c>
      <c r="BJ233" s="6">
        <v>34</v>
      </c>
      <c r="BK233" s="6">
        <v>185300</v>
      </c>
      <c r="BL233" s="6">
        <v>359700</v>
      </c>
      <c r="BM233" s="2">
        <v>359700</v>
      </c>
      <c r="BN233">
        <f>InvoiceTable[[#This Row],[Giảm giá]]*InvoiceTable[[#This Row],[Số lượng]]</f>
        <v>185300</v>
      </c>
    </row>
    <row r="234" spans="1:66" x14ac:dyDescent="0.25">
      <c r="A234" t="s">
        <v>65</v>
      </c>
      <c r="B234" t="s">
        <v>1075</v>
      </c>
      <c r="F234" s="2"/>
      <c r="G234" s="3">
        <v>46014.425259027776</v>
      </c>
      <c r="H234" s="3">
        <v>46014.425259143522</v>
      </c>
      <c r="I234" s="4" t="s">
        <v>67</v>
      </c>
      <c r="J234" t="s">
        <v>1076</v>
      </c>
      <c r="K234" t="s">
        <v>67</v>
      </c>
      <c r="L234" t="s">
        <v>1077</v>
      </c>
      <c r="M234" t="s">
        <v>1078</v>
      </c>
      <c r="N234" t="s">
        <v>1079</v>
      </c>
      <c r="O234" t="s">
        <v>1080</v>
      </c>
      <c r="P234" t="s">
        <v>1081</v>
      </c>
      <c r="Q234" t="s">
        <v>1082</v>
      </c>
      <c r="R234" t="s">
        <v>67</v>
      </c>
      <c r="S234" s="5"/>
      <c r="T234" t="s">
        <v>72</v>
      </c>
      <c r="U234" t="s">
        <v>102</v>
      </c>
      <c r="V234" t="s">
        <v>74</v>
      </c>
      <c r="W234" t="s">
        <v>87</v>
      </c>
      <c r="AE234" s="2"/>
      <c r="AF234" s="2"/>
      <c r="AG234" s="2"/>
      <c r="AH234" s="2"/>
      <c r="AK234" t="s">
        <v>1083</v>
      </c>
      <c r="AL234" s="2">
        <v>739700</v>
      </c>
      <c r="AM234" s="2">
        <v>0</v>
      </c>
      <c r="AN234" s="2"/>
      <c r="AO234" s="2">
        <v>0</v>
      </c>
      <c r="AP234" s="2">
        <v>739700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4"/>
      <c r="AX234" t="s">
        <v>75</v>
      </c>
      <c r="AZ234" t="s">
        <v>213</v>
      </c>
      <c r="BA234" t="s">
        <v>67</v>
      </c>
      <c r="BB234" t="s">
        <v>214</v>
      </c>
      <c r="BC234" t="s">
        <v>215</v>
      </c>
      <c r="BD234" t="s">
        <v>79</v>
      </c>
      <c r="BE234" t="s">
        <v>216</v>
      </c>
      <c r="BF234" s="5">
        <v>46784</v>
      </c>
      <c r="BH234">
        <v>1</v>
      </c>
      <c r="BI234" s="6">
        <v>760000</v>
      </c>
      <c r="BJ234" s="6">
        <v>50</v>
      </c>
      <c r="BK234" s="6">
        <v>380000</v>
      </c>
      <c r="BL234" s="6">
        <v>380000</v>
      </c>
      <c r="BM234" s="2">
        <v>380000</v>
      </c>
      <c r="BN234">
        <f>InvoiceTable[[#This Row],[Giảm giá]]*InvoiceTable[[#This Row],[Số lượng]]</f>
        <v>380000</v>
      </c>
    </row>
    <row r="235" spans="1:66" x14ac:dyDescent="0.25">
      <c r="A235" t="s">
        <v>65</v>
      </c>
      <c r="B235" t="s">
        <v>1084</v>
      </c>
      <c r="F235" s="2"/>
      <c r="G235" s="3">
        <v>46014.423826539351</v>
      </c>
      <c r="H235" s="3">
        <v>46014.423826655089</v>
      </c>
      <c r="I235" s="4" t="s">
        <v>67</v>
      </c>
      <c r="J235" t="s">
        <v>1085</v>
      </c>
      <c r="K235" t="s">
        <v>67</v>
      </c>
      <c r="L235" t="s">
        <v>999</v>
      </c>
      <c r="M235" t="s">
        <v>1000</v>
      </c>
      <c r="N235" t="s">
        <v>67</v>
      </c>
      <c r="O235" t="s">
        <v>1001</v>
      </c>
      <c r="P235" t="s">
        <v>1002</v>
      </c>
      <c r="S235" s="5"/>
      <c r="T235" t="s">
        <v>72</v>
      </c>
      <c r="U235" t="s">
        <v>102</v>
      </c>
      <c r="V235" t="s">
        <v>74</v>
      </c>
      <c r="W235" t="s">
        <v>87</v>
      </c>
      <c r="AE235" s="2"/>
      <c r="AF235" s="2"/>
      <c r="AG235" s="2"/>
      <c r="AH235" s="2"/>
      <c r="AL235" s="2">
        <v>1855000</v>
      </c>
      <c r="AM235" s="2">
        <v>0</v>
      </c>
      <c r="AN235" s="2"/>
      <c r="AO235" s="2">
        <v>0</v>
      </c>
      <c r="AP235" s="2">
        <v>1855000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4"/>
      <c r="AX235" t="s">
        <v>75</v>
      </c>
      <c r="AZ235" t="s">
        <v>1086</v>
      </c>
      <c r="BA235" t="s">
        <v>67</v>
      </c>
      <c r="BB235" t="s">
        <v>1087</v>
      </c>
      <c r="BC235" t="s">
        <v>960</v>
      </c>
      <c r="BD235" t="s">
        <v>79</v>
      </c>
      <c r="BE235" t="s">
        <v>378</v>
      </c>
      <c r="BF235" s="5">
        <v>46997</v>
      </c>
      <c r="BG235" t="s">
        <v>67</v>
      </c>
      <c r="BH235">
        <v>1</v>
      </c>
      <c r="BI235" s="6">
        <v>3500000</v>
      </c>
      <c r="BJ235" s="6">
        <v>47</v>
      </c>
      <c r="BK235" s="6">
        <v>1645000</v>
      </c>
      <c r="BL235" s="6">
        <v>1855000</v>
      </c>
      <c r="BM235" s="2">
        <v>1855000</v>
      </c>
      <c r="BN235">
        <f>InvoiceTable[[#This Row],[Giảm giá]]*InvoiceTable[[#This Row],[Số lượng]]</f>
        <v>1645000</v>
      </c>
    </row>
    <row r="236" spans="1:66" x14ac:dyDescent="0.25">
      <c r="A236" t="s">
        <v>65</v>
      </c>
      <c r="B236" t="s">
        <v>1088</v>
      </c>
      <c r="F236" s="2"/>
      <c r="G236" s="3">
        <v>46014.423512847221</v>
      </c>
      <c r="H236" s="3">
        <v>46014.42351296296</v>
      </c>
      <c r="I236" s="4" t="s">
        <v>67</v>
      </c>
      <c r="J236" t="s">
        <v>1089</v>
      </c>
      <c r="K236" t="s">
        <v>67</v>
      </c>
      <c r="L236" t="s">
        <v>1090</v>
      </c>
      <c r="M236" t="s">
        <v>1091</v>
      </c>
      <c r="N236" t="s">
        <v>67</v>
      </c>
      <c r="O236" t="s">
        <v>1092</v>
      </c>
      <c r="P236" t="s">
        <v>1093</v>
      </c>
      <c r="Q236" t="s">
        <v>67</v>
      </c>
      <c r="R236" t="s">
        <v>67</v>
      </c>
      <c r="S236" s="5"/>
      <c r="T236" t="s">
        <v>72</v>
      </c>
      <c r="U236" t="s">
        <v>73</v>
      </c>
      <c r="V236" t="s">
        <v>74</v>
      </c>
      <c r="W236" t="s">
        <v>87</v>
      </c>
      <c r="AE236" s="2"/>
      <c r="AF236" s="2"/>
      <c r="AG236" s="2"/>
      <c r="AH236" s="2"/>
      <c r="AK236" t="s">
        <v>1094</v>
      </c>
      <c r="AL236" s="2">
        <v>1539000</v>
      </c>
      <c r="AM236" s="2">
        <v>0</v>
      </c>
      <c r="AN236" s="2"/>
      <c r="AO236" s="2">
        <v>0</v>
      </c>
      <c r="AP236" s="2">
        <v>1539000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4"/>
      <c r="AX236" t="s">
        <v>75</v>
      </c>
      <c r="AZ236" t="s">
        <v>1095</v>
      </c>
      <c r="BA236" t="s">
        <v>67</v>
      </c>
      <c r="BB236" t="s">
        <v>1096</v>
      </c>
      <c r="BC236" t="s">
        <v>1097</v>
      </c>
      <c r="BE236" t="s">
        <v>168</v>
      </c>
      <c r="BF236" s="5">
        <v>46388</v>
      </c>
      <c r="BG236" t="s">
        <v>67</v>
      </c>
      <c r="BH236">
        <v>1</v>
      </c>
      <c r="BI236" s="6">
        <v>2700000</v>
      </c>
      <c r="BJ236" s="6">
        <v>43</v>
      </c>
      <c r="BK236" s="6">
        <v>1161000</v>
      </c>
      <c r="BL236" s="6">
        <v>1539000</v>
      </c>
      <c r="BM236" s="2">
        <v>1539000</v>
      </c>
      <c r="BN236">
        <f>InvoiceTable[[#This Row],[Giảm giá]]*InvoiceTable[[#This Row],[Số lượng]]</f>
        <v>1161000</v>
      </c>
    </row>
    <row r="237" spans="1:66" x14ac:dyDescent="0.25">
      <c r="A237" t="s">
        <v>65</v>
      </c>
      <c r="B237" t="s">
        <v>1098</v>
      </c>
      <c r="F237" s="2"/>
      <c r="G237" s="3">
        <v>46014.418113043983</v>
      </c>
      <c r="H237" s="3">
        <v>46014.418113159722</v>
      </c>
      <c r="I237" s="4" t="s">
        <v>67</v>
      </c>
      <c r="J237" t="s">
        <v>67</v>
      </c>
      <c r="K237" t="s">
        <v>67</v>
      </c>
      <c r="L237" t="s">
        <v>1099</v>
      </c>
      <c r="M237" t="s">
        <v>1100</v>
      </c>
      <c r="N237" t="s">
        <v>67</v>
      </c>
      <c r="O237" t="s">
        <v>1101</v>
      </c>
      <c r="P237" t="s">
        <v>1102</v>
      </c>
      <c r="S237" s="5"/>
      <c r="T237" t="s">
        <v>72</v>
      </c>
      <c r="U237" t="s">
        <v>87</v>
      </c>
      <c r="V237" t="s">
        <v>74</v>
      </c>
      <c r="W237" t="s">
        <v>87</v>
      </c>
      <c r="AE237" s="2"/>
      <c r="AF237" s="2"/>
      <c r="AG237" s="2"/>
      <c r="AH237" s="2"/>
      <c r="AL237" s="2">
        <v>6200000</v>
      </c>
      <c r="AM237" s="2">
        <v>0</v>
      </c>
      <c r="AN237" s="2"/>
      <c r="AO237" s="2">
        <v>0</v>
      </c>
      <c r="AP237" s="2">
        <v>6200000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4"/>
      <c r="AX237" t="s">
        <v>75</v>
      </c>
      <c r="AZ237" t="s">
        <v>536</v>
      </c>
      <c r="BA237" t="s">
        <v>67</v>
      </c>
      <c r="BB237" t="s">
        <v>537</v>
      </c>
      <c r="BC237" t="s">
        <v>105</v>
      </c>
      <c r="BD237" t="s">
        <v>79</v>
      </c>
      <c r="BE237" t="s">
        <v>94</v>
      </c>
      <c r="BF237" s="5">
        <v>46692</v>
      </c>
      <c r="BH237">
        <v>1</v>
      </c>
      <c r="BI237" s="6">
        <v>7665000</v>
      </c>
      <c r="BJ237" s="6">
        <v>0</v>
      </c>
      <c r="BK237" s="6">
        <v>1465000</v>
      </c>
      <c r="BL237" s="6">
        <v>6200000</v>
      </c>
      <c r="BM237" s="2">
        <v>6200000</v>
      </c>
      <c r="BN237">
        <f>InvoiceTable[[#This Row],[Giảm giá]]*InvoiceTable[[#This Row],[Số lượng]]</f>
        <v>1465000</v>
      </c>
    </row>
    <row r="238" spans="1:66" x14ac:dyDescent="0.25">
      <c r="A238" t="s">
        <v>65</v>
      </c>
      <c r="B238" t="s">
        <v>1103</v>
      </c>
      <c r="F238" s="2"/>
      <c r="G238" s="3">
        <v>46014.416431481484</v>
      </c>
      <c r="H238" s="3">
        <v>46014.416397025459</v>
      </c>
      <c r="I238" s="4" t="s">
        <v>96</v>
      </c>
      <c r="J238" t="s">
        <v>1104</v>
      </c>
      <c r="K238" t="s">
        <v>67</v>
      </c>
      <c r="L238" t="s">
        <v>796</v>
      </c>
      <c r="M238" t="s">
        <v>797</v>
      </c>
      <c r="N238" t="s">
        <v>67</v>
      </c>
      <c r="O238" t="s">
        <v>798</v>
      </c>
      <c r="P238" t="s">
        <v>799</v>
      </c>
      <c r="Q238" t="s">
        <v>800</v>
      </c>
      <c r="R238" t="s">
        <v>801</v>
      </c>
      <c r="S238" s="5"/>
      <c r="T238" t="s">
        <v>72</v>
      </c>
      <c r="U238" t="s">
        <v>73</v>
      </c>
      <c r="V238" t="s">
        <v>74</v>
      </c>
      <c r="W238" t="s">
        <v>87</v>
      </c>
      <c r="AE238" s="2"/>
      <c r="AF238" s="2"/>
      <c r="AG238" s="2"/>
      <c r="AH238" s="2"/>
      <c r="AK238" t="s">
        <v>613</v>
      </c>
      <c r="AL238" s="2">
        <v>523900</v>
      </c>
      <c r="AM238" s="2">
        <v>0</v>
      </c>
      <c r="AN238" s="2"/>
      <c r="AO238" s="2">
        <v>0</v>
      </c>
      <c r="AP238" s="2">
        <v>523900</v>
      </c>
      <c r="AQ238" s="2">
        <v>523900</v>
      </c>
      <c r="AR238" s="2">
        <v>0</v>
      </c>
      <c r="AS238" s="2">
        <v>0</v>
      </c>
      <c r="AT238" s="2">
        <v>0</v>
      </c>
      <c r="AU238" s="2">
        <v>523900</v>
      </c>
      <c r="AV238" s="2">
        <v>0</v>
      </c>
      <c r="AW238" s="4"/>
      <c r="AX238" t="s">
        <v>75</v>
      </c>
      <c r="AZ238" t="s">
        <v>1105</v>
      </c>
      <c r="BA238" t="s">
        <v>67</v>
      </c>
      <c r="BB238" t="s">
        <v>1106</v>
      </c>
      <c r="BC238" t="s">
        <v>939</v>
      </c>
      <c r="BD238" t="s">
        <v>79</v>
      </c>
      <c r="BE238" t="s">
        <v>378</v>
      </c>
      <c r="BF238" s="5">
        <v>46997</v>
      </c>
      <c r="BH238">
        <v>1</v>
      </c>
      <c r="BI238" s="6">
        <v>845000</v>
      </c>
      <c r="BJ238" s="6">
        <v>38</v>
      </c>
      <c r="BK238" s="6">
        <v>321100</v>
      </c>
      <c r="BL238" s="6">
        <v>523900</v>
      </c>
      <c r="BM238" s="2">
        <v>523900</v>
      </c>
      <c r="BN238">
        <f>InvoiceTable[[#This Row],[Giảm giá]]*InvoiceTable[[#This Row],[Số lượng]]</f>
        <v>321100</v>
      </c>
    </row>
    <row r="239" spans="1:66" x14ac:dyDescent="0.25">
      <c r="A239" t="s">
        <v>65</v>
      </c>
      <c r="B239" t="s">
        <v>1107</v>
      </c>
      <c r="F239" s="2"/>
      <c r="G239" s="3">
        <v>46014.416119641202</v>
      </c>
      <c r="H239" s="3">
        <v>46014.416108599537</v>
      </c>
      <c r="I239" s="4" t="s">
        <v>1050</v>
      </c>
      <c r="J239" t="s">
        <v>1108</v>
      </c>
      <c r="K239" t="s">
        <v>67</v>
      </c>
      <c r="L239" t="s">
        <v>1109</v>
      </c>
      <c r="M239" t="s">
        <v>1110</v>
      </c>
      <c r="N239" t="s">
        <v>1111</v>
      </c>
      <c r="O239" t="s">
        <v>1112</v>
      </c>
      <c r="P239" t="s">
        <v>1113</v>
      </c>
      <c r="Q239" t="s">
        <v>1114</v>
      </c>
      <c r="R239" t="s">
        <v>1115</v>
      </c>
      <c r="S239" s="5"/>
      <c r="T239" t="s">
        <v>72</v>
      </c>
      <c r="U239" t="s">
        <v>102</v>
      </c>
      <c r="V239" t="s">
        <v>74</v>
      </c>
      <c r="W239" t="s">
        <v>87</v>
      </c>
      <c r="AE239" s="2"/>
      <c r="AF239" s="2"/>
      <c r="AG239" s="2"/>
      <c r="AH239" s="2"/>
      <c r="AK239" t="s">
        <v>1116</v>
      </c>
      <c r="AL239" s="2">
        <v>1050000</v>
      </c>
      <c r="AM239" s="2">
        <v>0</v>
      </c>
      <c r="AN239" s="2"/>
      <c r="AO239" s="2">
        <v>0</v>
      </c>
      <c r="AP239" s="2">
        <v>1050000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4"/>
      <c r="AX239" t="s">
        <v>75</v>
      </c>
      <c r="AZ239" t="s">
        <v>748</v>
      </c>
      <c r="BA239" t="s">
        <v>67</v>
      </c>
      <c r="BB239" t="s">
        <v>749</v>
      </c>
      <c r="BC239" t="s">
        <v>750</v>
      </c>
      <c r="BD239" t="s">
        <v>79</v>
      </c>
      <c r="BE239" t="s">
        <v>751</v>
      </c>
      <c r="BF239" s="5">
        <v>46625</v>
      </c>
      <c r="BH239">
        <v>1</v>
      </c>
      <c r="BI239" s="6">
        <v>1500000</v>
      </c>
      <c r="BJ239" s="6">
        <v>0</v>
      </c>
      <c r="BK239" s="6">
        <v>450000</v>
      </c>
      <c r="BL239" s="6">
        <v>1050000</v>
      </c>
      <c r="BM239" s="2">
        <v>1050000</v>
      </c>
      <c r="BN239">
        <f>InvoiceTable[[#This Row],[Giảm giá]]*InvoiceTable[[#This Row],[Số lượng]]</f>
        <v>450000</v>
      </c>
    </row>
    <row r="240" spans="1:66" x14ac:dyDescent="0.25">
      <c r="A240" t="s">
        <v>65</v>
      </c>
      <c r="B240" t="s">
        <v>1117</v>
      </c>
      <c r="F240" s="2"/>
      <c r="G240" s="3">
        <v>46014.408761192128</v>
      </c>
      <c r="H240" s="3">
        <v>46014.40876165509</v>
      </c>
      <c r="I240" s="4" t="s">
        <v>67</v>
      </c>
      <c r="J240" t="s">
        <v>67</v>
      </c>
      <c r="K240" t="s">
        <v>67</v>
      </c>
      <c r="L240" t="s">
        <v>1118</v>
      </c>
      <c r="M240" t="s">
        <v>1119</v>
      </c>
      <c r="N240" t="s">
        <v>1120</v>
      </c>
      <c r="O240" t="s">
        <v>1121</v>
      </c>
      <c r="P240" t="s">
        <v>1122</v>
      </c>
      <c r="Q240" t="s">
        <v>67</v>
      </c>
      <c r="R240" t="s">
        <v>67</v>
      </c>
      <c r="S240" s="5"/>
      <c r="T240" t="s">
        <v>72</v>
      </c>
      <c r="U240" t="s">
        <v>87</v>
      </c>
      <c r="V240" t="s">
        <v>74</v>
      </c>
      <c r="W240" t="s">
        <v>87</v>
      </c>
      <c r="AE240" s="2"/>
      <c r="AF240" s="2"/>
      <c r="AG240" s="2"/>
      <c r="AH240" s="2"/>
      <c r="AL240" s="2">
        <v>1474500</v>
      </c>
      <c r="AM240" s="2">
        <v>0</v>
      </c>
      <c r="AN240" s="2"/>
      <c r="AO240" s="2">
        <v>0</v>
      </c>
      <c r="AP240" s="2">
        <v>1474500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4"/>
      <c r="AX240" t="s">
        <v>75</v>
      </c>
      <c r="AZ240" t="s">
        <v>1123</v>
      </c>
      <c r="BA240" t="s">
        <v>67</v>
      </c>
      <c r="BB240" t="s">
        <v>1124</v>
      </c>
      <c r="BC240" t="s">
        <v>1125</v>
      </c>
      <c r="BD240" t="s">
        <v>79</v>
      </c>
      <c r="BE240" t="s">
        <v>201</v>
      </c>
      <c r="BF240" s="5">
        <v>46966</v>
      </c>
      <c r="BH240">
        <v>1</v>
      </c>
      <c r="BI240" s="6">
        <v>450000</v>
      </c>
      <c r="BJ240" s="6">
        <v>43</v>
      </c>
      <c r="BK240" s="6">
        <v>193500</v>
      </c>
      <c r="BL240" s="6">
        <v>256500</v>
      </c>
      <c r="BM240" s="2">
        <v>256500</v>
      </c>
      <c r="BN240">
        <f>InvoiceTable[[#This Row],[Giảm giá]]*InvoiceTable[[#This Row],[Số lượng]]</f>
        <v>193500</v>
      </c>
    </row>
    <row r="241" spans="1:66" x14ac:dyDescent="0.25">
      <c r="A241" t="s">
        <v>65</v>
      </c>
      <c r="B241" t="s">
        <v>1117</v>
      </c>
      <c r="F241" s="2"/>
      <c r="G241" s="3">
        <v>46014.408761192128</v>
      </c>
      <c r="H241" s="3">
        <v>46014.40876165509</v>
      </c>
      <c r="I241" s="4" t="s">
        <v>67</v>
      </c>
      <c r="J241" t="s">
        <v>67</v>
      </c>
      <c r="K241" t="s">
        <v>67</v>
      </c>
      <c r="L241" t="s">
        <v>1118</v>
      </c>
      <c r="M241" t="s">
        <v>1119</v>
      </c>
      <c r="N241" t="s">
        <v>1120</v>
      </c>
      <c r="O241" t="s">
        <v>1121</v>
      </c>
      <c r="P241" t="s">
        <v>1122</v>
      </c>
      <c r="Q241" t="s">
        <v>67</v>
      </c>
      <c r="R241" t="s">
        <v>67</v>
      </c>
      <c r="S241" s="5"/>
      <c r="T241" t="s">
        <v>72</v>
      </c>
      <c r="U241" t="s">
        <v>87</v>
      </c>
      <c r="V241" t="s">
        <v>74</v>
      </c>
      <c r="W241" t="s">
        <v>87</v>
      </c>
      <c r="AE241" s="2"/>
      <c r="AF241" s="2"/>
      <c r="AG241" s="2"/>
      <c r="AH241" s="2"/>
      <c r="AL241" s="2">
        <v>1474500</v>
      </c>
      <c r="AM241" s="2">
        <v>0</v>
      </c>
      <c r="AN241" s="2"/>
      <c r="AO241" s="2">
        <v>0</v>
      </c>
      <c r="AP241" s="2">
        <v>1474500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4"/>
      <c r="AX241" t="s">
        <v>75</v>
      </c>
      <c r="AZ241" t="s">
        <v>1047</v>
      </c>
      <c r="BA241" t="s">
        <v>67</v>
      </c>
      <c r="BB241" t="s">
        <v>1048</v>
      </c>
      <c r="BC241" t="s">
        <v>344</v>
      </c>
      <c r="BD241" t="s">
        <v>79</v>
      </c>
      <c r="BE241" t="s">
        <v>139</v>
      </c>
      <c r="BF241" s="5">
        <v>46447</v>
      </c>
      <c r="BH241">
        <v>2</v>
      </c>
      <c r="BI241" s="6">
        <v>1050000</v>
      </c>
      <c r="BJ241" s="6">
        <v>42</v>
      </c>
      <c r="BK241" s="6">
        <v>441000</v>
      </c>
      <c r="BL241" s="6">
        <v>609000</v>
      </c>
      <c r="BM241" s="2">
        <v>1218000</v>
      </c>
      <c r="BN241">
        <f>InvoiceTable[[#This Row],[Giảm giá]]*InvoiceTable[[#This Row],[Số lượng]]</f>
        <v>882000</v>
      </c>
    </row>
    <row r="242" spans="1:66" x14ac:dyDescent="0.25">
      <c r="A242" t="s">
        <v>65</v>
      </c>
      <c r="B242" t="s">
        <v>1126</v>
      </c>
      <c r="F242" s="2"/>
      <c r="G242" s="3">
        <v>46013.993013692132</v>
      </c>
      <c r="H242" s="3">
        <v>46013.993013888889</v>
      </c>
      <c r="I242" s="4" t="s">
        <v>67</v>
      </c>
      <c r="J242" t="s">
        <v>1127</v>
      </c>
      <c r="K242" t="s">
        <v>67</v>
      </c>
      <c r="L242" t="s">
        <v>1128</v>
      </c>
      <c r="M242" t="s">
        <v>1129</v>
      </c>
      <c r="N242" t="s">
        <v>67</v>
      </c>
      <c r="O242" t="s">
        <v>1130</v>
      </c>
      <c r="P242" t="s">
        <v>1131</v>
      </c>
      <c r="S242" s="5"/>
      <c r="T242" t="s">
        <v>72</v>
      </c>
      <c r="U242" t="s">
        <v>1031</v>
      </c>
      <c r="V242" t="s">
        <v>74</v>
      </c>
      <c r="W242" t="s">
        <v>1031</v>
      </c>
      <c r="AE242" s="2"/>
      <c r="AF242" s="2"/>
      <c r="AG242" s="2"/>
      <c r="AH242" s="2"/>
      <c r="AK242" t="s">
        <v>67</v>
      </c>
      <c r="AL242" s="2">
        <v>6700000</v>
      </c>
      <c r="AM242" s="2">
        <v>0</v>
      </c>
      <c r="AN242" s="2"/>
      <c r="AO242" s="2">
        <v>0</v>
      </c>
      <c r="AP242" s="2">
        <v>6700000</v>
      </c>
      <c r="AQ242" s="2">
        <v>6700000</v>
      </c>
      <c r="AR242" s="2">
        <v>6700000</v>
      </c>
      <c r="AS242" s="2">
        <v>0</v>
      </c>
      <c r="AT242" s="2">
        <v>0</v>
      </c>
      <c r="AU242" s="2">
        <v>0</v>
      </c>
      <c r="AV242" s="2">
        <v>0</v>
      </c>
      <c r="AW242" s="4"/>
      <c r="AX242" t="s">
        <v>75</v>
      </c>
      <c r="AZ242" t="s">
        <v>1132</v>
      </c>
      <c r="BA242" t="s">
        <v>67</v>
      </c>
      <c r="BB242" t="s">
        <v>1133</v>
      </c>
      <c r="BC242" t="s">
        <v>1134</v>
      </c>
      <c r="BD242" t="s">
        <v>79</v>
      </c>
      <c r="BE242" t="s">
        <v>293</v>
      </c>
      <c r="BF242" s="5">
        <v>46722</v>
      </c>
      <c r="BG242" t="s">
        <v>67</v>
      </c>
      <c r="BH242">
        <v>5</v>
      </c>
      <c r="BI242" s="6">
        <v>2680000</v>
      </c>
      <c r="BJ242" s="6">
        <v>50</v>
      </c>
      <c r="BK242" s="6">
        <v>1340000</v>
      </c>
      <c r="BL242" s="6">
        <v>1340000</v>
      </c>
      <c r="BM242" s="2">
        <v>6700000</v>
      </c>
      <c r="BN242">
        <f>InvoiceTable[[#This Row],[Giảm giá]]*InvoiceTable[[#This Row],[Số lượng]]</f>
        <v>6700000</v>
      </c>
    </row>
    <row r="243" spans="1:66" x14ac:dyDescent="0.25">
      <c r="A243" t="s">
        <v>65</v>
      </c>
      <c r="B243" t="s">
        <v>1135</v>
      </c>
      <c r="F243" s="2"/>
      <c r="G243" s="3">
        <v>46013.74151871528</v>
      </c>
      <c r="H243" s="3">
        <v>46013.741472488429</v>
      </c>
      <c r="I243" s="4" t="s">
        <v>96</v>
      </c>
      <c r="J243" t="s">
        <v>67</v>
      </c>
      <c r="K243" t="s">
        <v>67</v>
      </c>
      <c r="L243" t="s">
        <v>766</v>
      </c>
      <c r="M243" t="s">
        <v>767</v>
      </c>
      <c r="N243" t="s">
        <v>67</v>
      </c>
      <c r="Q243" t="s">
        <v>67</v>
      </c>
      <c r="R243" t="s">
        <v>67</v>
      </c>
      <c r="S243" s="5"/>
      <c r="T243" t="s">
        <v>72</v>
      </c>
      <c r="U243" t="s">
        <v>87</v>
      </c>
      <c r="V243" t="s">
        <v>74</v>
      </c>
      <c r="W243" t="s">
        <v>87</v>
      </c>
      <c r="AE243" s="2"/>
      <c r="AF243" s="2"/>
      <c r="AG243" s="2"/>
      <c r="AH243" s="2"/>
      <c r="AL243" s="2">
        <v>10800000</v>
      </c>
      <c r="AM243" s="2">
        <v>0</v>
      </c>
      <c r="AN243" s="2"/>
      <c r="AO243" s="2">
        <v>0</v>
      </c>
      <c r="AP243" s="2">
        <v>10800000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4"/>
      <c r="AX243" t="s">
        <v>75</v>
      </c>
      <c r="AZ243" t="s">
        <v>1136</v>
      </c>
      <c r="BB243" t="s">
        <v>1137</v>
      </c>
      <c r="BC243" t="s">
        <v>902</v>
      </c>
      <c r="BD243" t="s">
        <v>79</v>
      </c>
      <c r="BE243" t="s">
        <v>1138</v>
      </c>
      <c r="BF243" s="5">
        <v>47054</v>
      </c>
      <c r="BG243" t="s">
        <v>67</v>
      </c>
      <c r="BH243">
        <v>2</v>
      </c>
      <c r="BI243" s="6">
        <v>2200000</v>
      </c>
      <c r="BJ243" s="6">
        <v>0</v>
      </c>
      <c r="BK243" s="6">
        <v>350000</v>
      </c>
      <c r="BL243" s="6">
        <v>1850000</v>
      </c>
      <c r="BM243" s="2">
        <v>3700000</v>
      </c>
      <c r="BN243">
        <f>InvoiceTable[[#This Row],[Giảm giá]]*InvoiceTable[[#This Row],[Số lượng]]</f>
        <v>700000</v>
      </c>
    </row>
    <row r="244" spans="1:66" x14ac:dyDescent="0.25">
      <c r="A244" t="s">
        <v>65</v>
      </c>
      <c r="B244" t="s">
        <v>1135</v>
      </c>
      <c r="F244" s="2"/>
      <c r="G244" s="3">
        <v>46013.74151871528</v>
      </c>
      <c r="H244" s="3">
        <v>46013.741472488429</v>
      </c>
      <c r="I244" s="4" t="s">
        <v>96</v>
      </c>
      <c r="J244" t="s">
        <v>67</v>
      </c>
      <c r="K244" t="s">
        <v>67</v>
      </c>
      <c r="L244" t="s">
        <v>766</v>
      </c>
      <c r="M244" t="s">
        <v>767</v>
      </c>
      <c r="N244" t="s">
        <v>67</v>
      </c>
      <c r="Q244" t="s">
        <v>67</v>
      </c>
      <c r="R244" t="s">
        <v>67</v>
      </c>
      <c r="S244" s="5"/>
      <c r="T244" t="s">
        <v>72</v>
      </c>
      <c r="U244" t="s">
        <v>87</v>
      </c>
      <c r="V244" t="s">
        <v>74</v>
      </c>
      <c r="W244" t="s">
        <v>87</v>
      </c>
      <c r="AE244" s="2"/>
      <c r="AF244" s="2"/>
      <c r="AG244" s="2"/>
      <c r="AH244" s="2"/>
      <c r="AL244" s="2">
        <v>10800000</v>
      </c>
      <c r="AM244" s="2">
        <v>0</v>
      </c>
      <c r="AN244" s="2"/>
      <c r="AO244" s="2">
        <v>0</v>
      </c>
      <c r="AP244" s="2">
        <v>10800000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4"/>
      <c r="AX244" t="s">
        <v>75</v>
      </c>
      <c r="AZ244" t="s">
        <v>752</v>
      </c>
      <c r="BA244" t="s">
        <v>67</v>
      </c>
      <c r="BB244" t="s">
        <v>753</v>
      </c>
      <c r="BC244" t="s">
        <v>754</v>
      </c>
      <c r="BD244" t="s">
        <v>79</v>
      </c>
      <c r="BE244" t="s">
        <v>378</v>
      </c>
      <c r="BF244" s="5">
        <v>46966</v>
      </c>
      <c r="BH244">
        <v>1</v>
      </c>
      <c r="BI244" s="6">
        <v>2590000</v>
      </c>
      <c r="BJ244" s="6">
        <v>0</v>
      </c>
      <c r="BK244" s="6">
        <v>990000</v>
      </c>
      <c r="BL244" s="6">
        <v>1600000</v>
      </c>
      <c r="BM244" s="2">
        <v>1600000</v>
      </c>
      <c r="BN244">
        <f>InvoiceTable[[#This Row],[Giảm giá]]*InvoiceTable[[#This Row],[Số lượng]]</f>
        <v>990000</v>
      </c>
    </row>
    <row r="245" spans="1:66" x14ac:dyDescent="0.25">
      <c r="A245" t="s">
        <v>65</v>
      </c>
      <c r="B245" t="s">
        <v>1135</v>
      </c>
      <c r="F245" s="2"/>
      <c r="G245" s="3">
        <v>46013.74151871528</v>
      </c>
      <c r="H245" s="3">
        <v>46013.741472488429</v>
      </c>
      <c r="I245" s="4" t="s">
        <v>96</v>
      </c>
      <c r="J245" t="s">
        <v>67</v>
      </c>
      <c r="K245" t="s">
        <v>67</v>
      </c>
      <c r="L245" t="s">
        <v>766</v>
      </c>
      <c r="M245" t="s">
        <v>767</v>
      </c>
      <c r="N245" t="s">
        <v>67</v>
      </c>
      <c r="Q245" t="s">
        <v>67</v>
      </c>
      <c r="R245" t="s">
        <v>67</v>
      </c>
      <c r="S245" s="5"/>
      <c r="T245" t="s">
        <v>72</v>
      </c>
      <c r="U245" t="s">
        <v>87</v>
      </c>
      <c r="V245" t="s">
        <v>74</v>
      </c>
      <c r="W245" t="s">
        <v>87</v>
      </c>
      <c r="AE245" s="2"/>
      <c r="AF245" s="2"/>
      <c r="AG245" s="2"/>
      <c r="AH245" s="2"/>
      <c r="AL245" s="2">
        <v>10800000</v>
      </c>
      <c r="AM245" s="2">
        <v>0</v>
      </c>
      <c r="AN245" s="2"/>
      <c r="AO245" s="2">
        <v>0</v>
      </c>
      <c r="AP245" s="2">
        <v>10800000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4"/>
      <c r="AX245" t="s">
        <v>75</v>
      </c>
      <c r="AZ245" t="s">
        <v>782</v>
      </c>
      <c r="BA245" t="s">
        <v>67</v>
      </c>
      <c r="BB245" t="s">
        <v>783</v>
      </c>
      <c r="BC245" t="s">
        <v>784</v>
      </c>
      <c r="BD245" t="s">
        <v>79</v>
      </c>
      <c r="BE245" t="s">
        <v>785</v>
      </c>
      <c r="BF245" s="5">
        <v>46507</v>
      </c>
      <c r="BH245">
        <v>2</v>
      </c>
      <c r="BI245" s="6">
        <v>3550000</v>
      </c>
      <c r="BJ245" s="6">
        <v>0</v>
      </c>
      <c r="BK245" s="6">
        <v>800000</v>
      </c>
      <c r="BL245" s="6">
        <v>2750000</v>
      </c>
      <c r="BM245" s="2">
        <v>5500000</v>
      </c>
      <c r="BN245">
        <f>InvoiceTable[[#This Row],[Giảm giá]]*InvoiceTable[[#This Row],[Số lượng]]</f>
        <v>1600000</v>
      </c>
    </row>
    <row r="246" spans="1:66" x14ac:dyDescent="0.25">
      <c r="A246" t="s">
        <v>65</v>
      </c>
      <c r="B246" t="s">
        <v>1139</v>
      </c>
      <c r="F246" s="2"/>
      <c r="G246" s="3">
        <v>46013.72821898148</v>
      </c>
      <c r="H246" s="3">
        <v>46013.72818445602</v>
      </c>
      <c r="I246" s="4" t="s">
        <v>686</v>
      </c>
      <c r="J246" t="s">
        <v>67</v>
      </c>
      <c r="K246" t="s">
        <v>67</v>
      </c>
      <c r="L246" t="s">
        <v>654</v>
      </c>
      <c r="M246" t="s">
        <v>655</v>
      </c>
      <c r="N246" t="s">
        <v>67</v>
      </c>
      <c r="O246" t="s">
        <v>656</v>
      </c>
      <c r="P246" t="s">
        <v>657</v>
      </c>
      <c r="Q246" t="s">
        <v>658</v>
      </c>
      <c r="R246" t="s">
        <v>67</v>
      </c>
      <c r="S246" s="5"/>
      <c r="T246" t="s">
        <v>72</v>
      </c>
      <c r="U246" t="s">
        <v>87</v>
      </c>
      <c r="V246" t="s">
        <v>74</v>
      </c>
      <c r="W246" t="s">
        <v>87</v>
      </c>
      <c r="AE246" s="2"/>
      <c r="AF246" s="2"/>
      <c r="AG246" s="2"/>
      <c r="AH246" s="2"/>
      <c r="AL246" s="2">
        <v>500000</v>
      </c>
      <c r="AM246" s="2">
        <v>0</v>
      </c>
      <c r="AN246" s="2"/>
      <c r="AO246" s="2">
        <v>0</v>
      </c>
      <c r="AP246" s="2">
        <v>500000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4"/>
      <c r="AX246" t="s">
        <v>75</v>
      </c>
      <c r="AZ246" t="s">
        <v>166</v>
      </c>
      <c r="BA246" t="s">
        <v>67</v>
      </c>
      <c r="BB246" t="s">
        <v>167</v>
      </c>
      <c r="BC246" t="s">
        <v>90</v>
      </c>
      <c r="BD246" t="s">
        <v>79</v>
      </c>
      <c r="BE246" t="s">
        <v>168</v>
      </c>
      <c r="BF246" s="5">
        <v>46388</v>
      </c>
      <c r="BH246">
        <v>10</v>
      </c>
      <c r="BI246" s="6">
        <v>180000</v>
      </c>
      <c r="BJ246" s="6">
        <v>0</v>
      </c>
      <c r="BK246" s="6">
        <v>130000</v>
      </c>
      <c r="BL246" s="6">
        <v>50000</v>
      </c>
      <c r="BM246" s="2">
        <v>500000</v>
      </c>
      <c r="BN246">
        <f>InvoiceTable[[#This Row],[Giảm giá]]*InvoiceTable[[#This Row],[Số lượng]]</f>
        <v>1300000</v>
      </c>
    </row>
    <row r="247" spans="1:66" x14ac:dyDescent="0.25">
      <c r="A247" t="s">
        <v>65</v>
      </c>
      <c r="B247" t="s">
        <v>1140</v>
      </c>
      <c r="F247" s="2"/>
      <c r="G247" s="3">
        <v>46013.721350694446</v>
      </c>
      <c r="H247" s="3">
        <v>46013.721350694446</v>
      </c>
      <c r="I247" s="4" t="s">
        <v>67</v>
      </c>
      <c r="J247" t="s">
        <v>67</v>
      </c>
      <c r="K247" t="s">
        <v>67</v>
      </c>
      <c r="L247" t="s">
        <v>1141</v>
      </c>
      <c r="M247" t="s">
        <v>1142</v>
      </c>
      <c r="N247" t="s">
        <v>67</v>
      </c>
      <c r="O247" t="s">
        <v>1143</v>
      </c>
      <c r="P247" t="s">
        <v>1144</v>
      </c>
      <c r="Q247" t="s">
        <v>1145</v>
      </c>
      <c r="R247" t="s">
        <v>1146</v>
      </c>
      <c r="S247" s="5"/>
      <c r="T247" t="s">
        <v>72</v>
      </c>
      <c r="U247" t="s">
        <v>87</v>
      </c>
      <c r="V247" t="s">
        <v>74</v>
      </c>
      <c r="W247" t="s">
        <v>87</v>
      </c>
      <c r="AE247" s="2"/>
      <c r="AF247" s="2"/>
      <c r="AG247" s="2"/>
      <c r="AH247" s="2"/>
      <c r="AL247" s="2">
        <v>6165500</v>
      </c>
      <c r="AM247" s="2">
        <v>0</v>
      </c>
      <c r="AN247" s="2"/>
      <c r="AO247" s="2">
        <v>0</v>
      </c>
      <c r="AP247" s="2">
        <v>6165500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4"/>
      <c r="AX247" t="s">
        <v>75</v>
      </c>
      <c r="AZ247" t="s">
        <v>1147</v>
      </c>
      <c r="BA247" t="s">
        <v>67</v>
      </c>
      <c r="BB247" t="s">
        <v>1148</v>
      </c>
      <c r="BC247" t="s">
        <v>1149</v>
      </c>
      <c r="BD247" t="s">
        <v>79</v>
      </c>
      <c r="BE247" t="s">
        <v>168</v>
      </c>
      <c r="BF247" s="5">
        <v>46388</v>
      </c>
      <c r="BG247" t="s">
        <v>67</v>
      </c>
      <c r="BH247">
        <v>1</v>
      </c>
      <c r="BI247" s="6">
        <v>2570000</v>
      </c>
      <c r="BJ247" s="6">
        <v>45</v>
      </c>
      <c r="BK247" s="6">
        <v>1156500</v>
      </c>
      <c r="BL247" s="6">
        <v>1413500</v>
      </c>
      <c r="BM247" s="2">
        <v>1413500</v>
      </c>
      <c r="BN247">
        <f>InvoiceTable[[#This Row],[Giảm giá]]*InvoiceTable[[#This Row],[Số lượng]]</f>
        <v>1156500</v>
      </c>
    </row>
    <row r="248" spans="1:66" x14ac:dyDescent="0.25">
      <c r="A248" t="s">
        <v>65</v>
      </c>
      <c r="B248" t="s">
        <v>1140</v>
      </c>
      <c r="F248" s="2"/>
      <c r="G248" s="3">
        <v>46013.721350694446</v>
      </c>
      <c r="H248" s="3">
        <v>46013.721350694446</v>
      </c>
      <c r="I248" s="4" t="s">
        <v>67</v>
      </c>
      <c r="J248" t="s">
        <v>67</v>
      </c>
      <c r="K248" t="s">
        <v>67</v>
      </c>
      <c r="L248" t="s">
        <v>1141</v>
      </c>
      <c r="M248" t="s">
        <v>1142</v>
      </c>
      <c r="N248" t="s">
        <v>67</v>
      </c>
      <c r="O248" t="s">
        <v>1143</v>
      </c>
      <c r="P248" t="s">
        <v>1144</v>
      </c>
      <c r="Q248" t="s">
        <v>1145</v>
      </c>
      <c r="R248" t="s">
        <v>1146</v>
      </c>
      <c r="S248" s="5"/>
      <c r="T248" t="s">
        <v>72</v>
      </c>
      <c r="U248" t="s">
        <v>87</v>
      </c>
      <c r="V248" t="s">
        <v>74</v>
      </c>
      <c r="W248" t="s">
        <v>87</v>
      </c>
      <c r="AE248" s="2"/>
      <c r="AF248" s="2"/>
      <c r="AG248" s="2"/>
      <c r="AH248" s="2"/>
      <c r="AL248" s="2">
        <v>6165500</v>
      </c>
      <c r="AM248" s="2">
        <v>0</v>
      </c>
      <c r="AN248" s="2"/>
      <c r="AO248" s="2">
        <v>0</v>
      </c>
      <c r="AP248" s="2">
        <v>6165500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4"/>
      <c r="AX248" t="s">
        <v>75</v>
      </c>
      <c r="AZ248" t="s">
        <v>1150</v>
      </c>
      <c r="BA248" t="s">
        <v>67</v>
      </c>
      <c r="BB248" t="s">
        <v>1151</v>
      </c>
      <c r="BC248" t="s">
        <v>1149</v>
      </c>
      <c r="BD248" t="s">
        <v>79</v>
      </c>
      <c r="BE248" t="s">
        <v>168</v>
      </c>
      <c r="BF248" s="5">
        <v>46388</v>
      </c>
      <c r="BG248" t="s">
        <v>67</v>
      </c>
      <c r="BH248">
        <v>1</v>
      </c>
      <c r="BI248" s="6">
        <v>2300000</v>
      </c>
      <c r="BJ248" s="6">
        <v>45</v>
      </c>
      <c r="BK248" s="6">
        <v>1035000</v>
      </c>
      <c r="BL248" s="6">
        <v>1265000</v>
      </c>
      <c r="BM248" s="2">
        <v>1265000</v>
      </c>
      <c r="BN248">
        <f>InvoiceTable[[#This Row],[Giảm giá]]*InvoiceTable[[#This Row],[Số lượng]]</f>
        <v>1035000</v>
      </c>
    </row>
    <row r="249" spans="1:66" x14ac:dyDescent="0.25">
      <c r="A249" t="s">
        <v>65</v>
      </c>
      <c r="B249" t="s">
        <v>1140</v>
      </c>
      <c r="F249" s="2"/>
      <c r="G249" s="3">
        <v>46013.721350694446</v>
      </c>
      <c r="H249" s="3">
        <v>46013.721350694446</v>
      </c>
      <c r="I249" s="4" t="s">
        <v>67</v>
      </c>
      <c r="J249" t="s">
        <v>67</v>
      </c>
      <c r="K249" t="s">
        <v>67</v>
      </c>
      <c r="L249" t="s">
        <v>1141</v>
      </c>
      <c r="M249" t="s">
        <v>1142</v>
      </c>
      <c r="N249" t="s">
        <v>67</v>
      </c>
      <c r="O249" t="s">
        <v>1143</v>
      </c>
      <c r="P249" t="s">
        <v>1144</v>
      </c>
      <c r="Q249" t="s">
        <v>1145</v>
      </c>
      <c r="R249" t="s">
        <v>1146</v>
      </c>
      <c r="S249" s="5"/>
      <c r="T249" t="s">
        <v>72</v>
      </c>
      <c r="U249" t="s">
        <v>87</v>
      </c>
      <c r="V249" t="s">
        <v>74</v>
      </c>
      <c r="W249" t="s">
        <v>87</v>
      </c>
      <c r="AE249" s="2"/>
      <c r="AF249" s="2"/>
      <c r="AG249" s="2"/>
      <c r="AH249" s="2"/>
      <c r="AL249" s="2">
        <v>6165500</v>
      </c>
      <c r="AM249" s="2">
        <v>0</v>
      </c>
      <c r="AN249" s="2"/>
      <c r="AO249" s="2">
        <v>0</v>
      </c>
      <c r="AP249" s="2">
        <v>6165500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4"/>
      <c r="AX249" t="s">
        <v>75</v>
      </c>
      <c r="AZ249" t="s">
        <v>1152</v>
      </c>
      <c r="BA249" t="s">
        <v>67</v>
      </c>
      <c r="BB249" t="s">
        <v>1153</v>
      </c>
      <c r="BC249" t="s">
        <v>1149</v>
      </c>
      <c r="BD249" t="s">
        <v>79</v>
      </c>
      <c r="BE249" t="s">
        <v>168</v>
      </c>
      <c r="BF249" s="5">
        <v>46388</v>
      </c>
      <c r="BG249" t="s">
        <v>67</v>
      </c>
      <c r="BH249">
        <v>1</v>
      </c>
      <c r="BI249" s="6">
        <v>2970000</v>
      </c>
      <c r="BJ249" s="6">
        <v>45</v>
      </c>
      <c r="BK249" s="6">
        <v>1336500</v>
      </c>
      <c r="BL249" s="6">
        <v>1633500</v>
      </c>
      <c r="BM249" s="2">
        <v>1633500</v>
      </c>
      <c r="BN249">
        <f>InvoiceTable[[#This Row],[Giảm giá]]*InvoiceTable[[#This Row],[Số lượng]]</f>
        <v>1336500</v>
      </c>
    </row>
    <row r="250" spans="1:66" x14ac:dyDescent="0.25">
      <c r="A250" t="s">
        <v>65</v>
      </c>
      <c r="B250" t="s">
        <v>1140</v>
      </c>
      <c r="F250" s="2"/>
      <c r="G250" s="3">
        <v>46013.721350694446</v>
      </c>
      <c r="H250" s="3">
        <v>46013.721350694446</v>
      </c>
      <c r="I250" s="4" t="s">
        <v>67</v>
      </c>
      <c r="J250" t="s">
        <v>67</v>
      </c>
      <c r="K250" t="s">
        <v>67</v>
      </c>
      <c r="L250" t="s">
        <v>1141</v>
      </c>
      <c r="M250" t="s">
        <v>1142</v>
      </c>
      <c r="N250" t="s">
        <v>67</v>
      </c>
      <c r="O250" t="s">
        <v>1143</v>
      </c>
      <c r="P250" t="s">
        <v>1144</v>
      </c>
      <c r="Q250" t="s">
        <v>1145</v>
      </c>
      <c r="R250" t="s">
        <v>1146</v>
      </c>
      <c r="S250" s="5"/>
      <c r="T250" t="s">
        <v>72</v>
      </c>
      <c r="U250" t="s">
        <v>87</v>
      </c>
      <c r="V250" t="s">
        <v>74</v>
      </c>
      <c r="W250" t="s">
        <v>87</v>
      </c>
      <c r="AE250" s="2"/>
      <c r="AF250" s="2"/>
      <c r="AG250" s="2"/>
      <c r="AH250" s="2"/>
      <c r="AL250" s="2">
        <v>6165500</v>
      </c>
      <c r="AM250" s="2">
        <v>0</v>
      </c>
      <c r="AN250" s="2"/>
      <c r="AO250" s="2">
        <v>0</v>
      </c>
      <c r="AP250" s="2">
        <v>6165500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4"/>
      <c r="AX250" t="s">
        <v>75</v>
      </c>
      <c r="AZ250" t="s">
        <v>1154</v>
      </c>
      <c r="BA250" t="s">
        <v>67</v>
      </c>
      <c r="BB250" t="s">
        <v>1155</v>
      </c>
      <c r="BC250" t="s">
        <v>1149</v>
      </c>
      <c r="BD250" t="s">
        <v>79</v>
      </c>
      <c r="BE250" t="s">
        <v>168</v>
      </c>
      <c r="BF250" s="5">
        <v>46388</v>
      </c>
      <c r="BG250" t="s">
        <v>67</v>
      </c>
      <c r="BH250">
        <v>1</v>
      </c>
      <c r="BI250" s="6">
        <v>3370000</v>
      </c>
      <c r="BJ250" s="6">
        <v>45</v>
      </c>
      <c r="BK250" s="6">
        <v>1516500</v>
      </c>
      <c r="BL250" s="6">
        <v>1853500</v>
      </c>
      <c r="BM250" s="2">
        <v>1853500</v>
      </c>
      <c r="BN250">
        <f>InvoiceTable[[#This Row],[Giảm giá]]*InvoiceTable[[#This Row],[Số lượng]]</f>
        <v>1516500</v>
      </c>
    </row>
    <row r="251" spans="1:66" x14ac:dyDescent="0.25">
      <c r="A251" t="s">
        <v>65</v>
      </c>
      <c r="B251" t="s">
        <v>1156</v>
      </c>
      <c r="F251" s="2"/>
      <c r="G251" s="3">
        <v>46013.718227118057</v>
      </c>
      <c r="H251" s="3">
        <v>46013.718227696758</v>
      </c>
      <c r="I251" s="4" t="s">
        <v>67</v>
      </c>
      <c r="J251" t="s">
        <v>67</v>
      </c>
      <c r="K251" t="s">
        <v>67</v>
      </c>
      <c r="L251" t="s">
        <v>1157</v>
      </c>
      <c r="M251" t="s">
        <v>1158</v>
      </c>
      <c r="N251" t="s">
        <v>67</v>
      </c>
      <c r="O251" t="s">
        <v>1159</v>
      </c>
      <c r="P251" t="s">
        <v>1160</v>
      </c>
      <c r="Q251" t="s">
        <v>67</v>
      </c>
      <c r="R251" t="s">
        <v>67</v>
      </c>
      <c r="S251" s="5"/>
      <c r="T251" t="s">
        <v>72</v>
      </c>
      <c r="U251" t="s">
        <v>87</v>
      </c>
      <c r="V251" t="s">
        <v>74</v>
      </c>
      <c r="W251" t="s">
        <v>87</v>
      </c>
      <c r="AE251" s="2"/>
      <c r="AF251" s="2"/>
      <c r="AG251" s="2"/>
      <c r="AH251" s="2"/>
      <c r="AK251" t="s">
        <v>1161</v>
      </c>
      <c r="AL251" s="2">
        <v>490000</v>
      </c>
      <c r="AM251" s="2">
        <v>0</v>
      </c>
      <c r="AN251" s="2"/>
      <c r="AO251" s="2">
        <v>0</v>
      </c>
      <c r="AP251" s="2">
        <v>490000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4"/>
      <c r="AX251" t="s">
        <v>75</v>
      </c>
      <c r="AZ251" t="s">
        <v>1162</v>
      </c>
      <c r="BA251" t="s">
        <v>67</v>
      </c>
      <c r="BB251" t="s">
        <v>1163</v>
      </c>
      <c r="BC251" t="s">
        <v>1164</v>
      </c>
      <c r="BD251" t="s">
        <v>79</v>
      </c>
      <c r="BE251" t="s">
        <v>145</v>
      </c>
      <c r="BF251" s="5">
        <v>46508</v>
      </c>
      <c r="BH251">
        <v>1</v>
      </c>
      <c r="BI251" s="6">
        <v>980000</v>
      </c>
      <c r="BJ251" s="6">
        <v>50</v>
      </c>
      <c r="BK251" s="6">
        <v>490000</v>
      </c>
      <c r="BL251" s="6">
        <v>490000</v>
      </c>
      <c r="BM251" s="2">
        <v>490000</v>
      </c>
      <c r="BN251">
        <f>InvoiceTable[[#This Row],[Giảm giá]]*InvoiceTable[[#This Row],[Số lượng]]</f>
        <v>490000</v>
      </c>
    </row>
    <row r="252" spans="1:66" x14ac:dyDescent="0.25">
      <c r="A252" t="s">
        <v>65</v>
      </c>
      <c r="B252" t="s">
        <v>1165</v>
      </c>
      <c r="F252" s="2"/>
      <c r="G252" s="3">
        <v>46013.70265767361</v>
      </c>
      <c r="H252" s="3">
        <v>46013.703526701385</v>
      </c>
      <c r="I252" s="4" t="s">
        <v>67</v>
      </c>
      <c r="J252" t="s">
        <v>67</v>
      </c>
      <c r="K252" t="s">
        <v>67</v>
      </c>
      <c r="L252" t="s">
        <v>1166</v>
      </c>
      <c r="M252" t="s">
        <v>1167</v>
      </c>
      <c r="N252" t="s">
        <v>67</v>
      </c>
      <c r="O252" t="s">
        <v>1168</v>
      </c>
      <c r="P252" t="s">
        <v>1169</v>
      </c>
      <c r="Q252" t="s">
        <v>1170</v>
      </c>
      <c r="R252" t="s">
        <v>1171</v>
      </c>
      <c r="S252" s="5"/>
      <c r="T252" t="s">
        <v>72</v>
      </c>
      <c r="U252" t="s">
        <v>102</v>
      </c>
      <c r="V252" t="s">
        <v>74</v>
      </c>
      <c r="W252" t="s">
        <v>102</v>
      </c>
      <c r="AE252" s="2"/>
      <c r="AF252" s="2"/>
      <c r="AG252" s="2"/>
      <c r="AH252" s="2"/>
      <c r="AK252" t="s">
        <v>1172</v>
      </c>
      <c r="AL252" s="2">
        <v>503000</v>
      </c>
      <c r="AM252" s="2">
        <v>0</v>
      </c>
      <c r="AN252" s="2"/>
      <c r="AO252" s="2">
        <v>0</v>
      </c>
      <c r="AP252" s="2">
        <v>503000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4"/>
      <c r="AX252" t="s">
        <v>75</v>
      </c>
      <c r="AZ252" t="s">
        <v>88</v>
      </c>
      <c r="BB252" t="s">
        <v>89</v>
      </c>
      <c r="BC252" t="s">
        <v>90</v>
      </c>
      <c r="BF252" s="5"/>
      <c r="BG252" t="s">
        <v>67</v>
      </c>
      <c r="BH252">
        <v>1</v>
      </c>
      <c r="BI252" s="6">
        <v>30000</v>
      </c>
      <c r="BJ252" s="6">
        <v>0</v>
      </c>
      <c r="BK252" s="6">
        <v>0</v>
      </c>
      <c r="BL252" s="6">
        <v>30000</v>
      </c>
      <c r="BM252" s="2">
        <v>30000</v>
      </c>
      <c r="BN252">
        <f>InvoiceTable[[#This Row],[Giảm giá]]*InvoiceTable[[#This Row],[Số lượng]]</f>
        <v>0</v>
      </c>
    </row>
    <row r="253" spans="1:66" x14ac:dyDescent="0.25">
      <c r="A253" t="s">
        <v>65</v>
      </c>
      <c r="B253" t="s">
        <v>1165</v>
      </c>
      <c r="F253" s="2"/>
      <c r="G253" s="3">
        <v>46013.70265767361</v>
      </c>
      <c r="H253" s="3">
        <v>46013.703526701385</v>
      </c>
      <c r="I253" s="4" t="s">
        <v>67</v>
      </c>
      <c r="J253" t="s">
        <v>67</v>
      </c>
      <c r="K253" t="s">
        <v>67</v>
      </c>
      <c r="L253" t="s">
        <v>1166</v>
      </c>
      <c r="M253" t="s">
        <v>1167</v>
      </c>
      <c r="N253" t="s">
        <v>67</v>
      </c>
      <c r="O253" t="s">
        <v>1168</v>
      </c>
      <c r="P253" t="s">
        <v>1169</v>
      </c>
      <c r="Q253" t="s">
        <v>1170</v>
      </c>
      <c r="R253" t="s">
        <v>1171</v>
      </c>
      <c r="S253" s="5"/>
      <c r="T253" t="s">
        <v>72</v>
      </c>
      <c r="U253" t="s">
        <v>102</v>
      </c>
      <c r="V253" t="s">
        <v>74</v>
      </c>
      <c r="W253" t="s">
        <v>102</v>
      </c>
      <c r="AE253" s="2"/>
      <c r="AF253" s="2"/>
      <c r="AG253" s="2"/>
      <c r="AH253" s="2"/>
      <c r="AK253" t="s">
        <v>1172</v>
      </c>
      <c r="AL253" s="2">
        <v>503000</v>
      </c>
      <c r="AM253" s="2">
        <v>0</v>
      </c>
      <c r="AN253" s="2"/>
      <c r="AO253" s="2">
        <v>0</v>
      </c>
      <c r="AP253" s="2">
        <v>503000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4"/>
      <c r="AX253" t="s">
        <v>75</v>
      </c>
      <c r="AZ253" t="s">
        <v>1173</v>
      </c>
      <c r="BA253" t="s">
        <v>67</v>
      </c>
      <c r="BB253" t="s">
        <v>1174</v>
      </c>
      <c r="BC253" t="s">
        <v>706</v>
      </c>
      <c r="BD253" t="s">
        <v>79</v>
      </c>
      <c r="BE253" t="s">
        <v>142</v>
      </c>
      <c r="BF253" s="5">
        <v>46844</v>
      </c>
      <c r="BH253">
        <v>1</v>
      </c>
      <c r="BI253" s="6">
        <v>860000</v>
      </c>
      <c r="BJ253" s="6">
        <v>45</v>
      </c>
      <c r="BK253" s="6">
        <v>387000</v>
      </c>
      <c r="BL253" s="6">
        <v>473000</v>
      </c>
      <c r="BM253" s="2">
        <v>473000</v>
      </c>
      <c r="BN253">
        <f>InvoiceTable[[#This Row],[Giảm giá]]*InvoiceTable[[#This Row],[Số lượng]]</f>
        <v>387000</v>
      </c>
    </row>
    <row r="254" spans="1:66" x14ac:dyDescent="0.25">
      <c r="A254" t="s">
        <v>65</v>
      </c>
      <c r="B254" t="s">
        <v>1175</v>
      </c>
      <c r="F254" s="2"/>
      <c r="G254" s="3">
        <v>46013.695826157411</v>
      </c>
      <c r="H254" s="3">
        <v>46013.695780289352</v>
      </c>
      <c r="I254" s="4" t="s">
        <v>96</v>
      </c>
      <c r="J254" t="s">
        <v>1176</v>
      </c>
      <c r="K254" t="s">
        <v>67</v>
      </c>
      <c r="L254" t="s">
        <v>1177</v>
      </c>
      <c r="M254" t="s">
        <v>1178</v>
      </c>
      <c r="N254" t="s">
        <v>67</v>
      </c>
      <c r="O254" t="s">
        <v>1179</v>
      </c>
      <c r="P254" t="s">
        <v>1180</v>
      </c>
      <c r="Q254" t="s">
        <v>67</v>
      </c>
      <c r="R254" t="s">
        <v>67</v>
      </c>
      <c r="S254" s="5"/>
      <c r="T254" t="s">
        <v>72</v>
      </c>
      <c r="U254" t="s">
        <v>87</v>
      </c>
      <c r="V254" t="s">
        <v>74</v>
      </c>
      <c r="W254" t="s">
        <v>87</v>
      </c>
      <c r="AE254" s="2"/>
      <c r="AF254" s="2"/>
      <c r="AG254" s="2"/>
      <c r="AH254" s="2"/>
      <c r="AK254" t="s">
        <v>275</v>
      </c>
      <c r="AL254" s="2">
        <v>662400</v>
      </c>
      <c r="AM254" s="2">
        <v>0</v>
      </c>
      <c r="AN254" s="2"/>
      <c r="AO254" s="2">
        <v>0</v>
      </c>
      <c r="AP254" s="2">
        <v>662400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4"/>
      <c r="AX254" t="s">
        <v>75</v>
      </c>
      <c r="AZ254" t="s">
        <v>1181</v>
      </c>
      <c r="BA254" t="s">
        <v>67</v>
      </c>
      <c r="BB254" t="s">
        <v>1182</v>
      </c>
      <c r="BC254" t="s">
        <v>1183</v>
      </c>
      <c r="BD254" t="s">
        <v>79</v>
      </c>
      <c r="BE254" t="s">
        <v>715</v>
      </c>
      <c r="BF254" s="5">
        <v>46631</v>
      </c>
      <c r="BG254" t="s">
        <v>67</v>
      </c>
      <c r="BH254">
        <v>1</v>
      </c>
      <c r="BI254" s="6">
        <v>1380000</v>
      </c>
      <c r="BJ254" s="6">
        <v>52</v>
      </c>
      <c r="BK254" s="6">
        <v>717600</v>
      </c>
      <c r="BL254" s="6">
        <v>662400</v>
      </c>
      <c r="BM254" s="2">
        <v>662400</v>
      </c>
      <c r="BN254">
        <f>InvoiceTable[[#This Row],[Giảm giá]]*InvoiceTable[[#This Row],[Số lượng]]</f>
        <v>717600</v>
      </c>
    </row>
    <row r="255" spans="1:66" x14ac:dyDescent="0.25">
      <c r="A255" t="s">
        <v>65</v>
      </c>
      <c r="B255" t="s">
        <v>1184</v>
      </c>
      <c r="F255" s="2"/>
      <c r="G255" s="3">
        <v>46013.695403703707</v>
      </c>
      <c r="H255" s="3">
        <v>46013.695404016202</v>
      </c>
      <c r="I255" s="4" t="s">
        <v>67</v>
      </c>
      <c r="J255" t="s">
        <v>1185</v>
      </c>
      <c r="K255" t="s">
        <v>67</v>
      </c>
      <c r="L255" t="s">
        <v>1177</v>
      </c>
      <c r="M255" t="s">
        <v>1178</v>
      </c>
      <c r="N255" t="s">
        <v>67</v>
      </c>
      <c r="O255" t="s">
        <v>1179</v>
      </c>
      <c r="P255" t="s">
        <v>1180</v>
      </c>
      <c r="Q255" t="s">
        <v>67</v>
      </c>
      <c r="R255" t="s">
        <v>67</v>
      </c>
      <c r="S255" s="5"/>
      <c r="T255" t="s">
        <v>72</v>
      </c>
      <c r="U255" t="s">
        <v>87</v>
      </c>
      <c r="V255" t="s">
        <v>74</v>
      </c>
      <c r="W255" t="s">
        <v>87</v>
      </c>
      <c r="AE255" s="2"/>
      <c r="AF255" s="2"/>
      <c r="AG255" s="2"/>
      <c r="AH255" s="2"/>
      <c r="AK255" t="s">
        <v>1186</v>
      </c>
      <c r="AL255" s="2">
        <v>922300</v>
      </c>
      <c r="AM255" s="2">
        <v>0</v>
      </c>
      <c r="AN255" s="2"/>
      <c r="AO255" s="2">
        <v>0</v>
      </c>
      <c r="AP255" s="2">
        <v>922300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4"/>
      <c r="AX255" t="s">
        <v>75</v>
      </c>
      <c r="AZ255" t="s">
        <v>1187</v>
      </c>
      <c r="BA255" t="s">
        <v>67</v>
      </c>
      <c r="BB255" t="s">
        <v>1188</v>
      </c>
      <c r="BC255" t="s">
        <v>1189</v>
      </c>
      <c r="BD255" t="s">
        <v>79</v>
      </c>
      <c r="BE255" t="s">
        <v>434</v>
      </c>
      <c r="BF255" s="5">
        <v>46661</v>
      </c>
      <c r="BH255">
        <v>1</v>
      </c>
      <c r="BI255" s="6">
        <v>935000</v>
      </c>
      <c r="BJ255" s="6">
        <v>42</v>
      </c>
      <c r="BK255" s="6">
        <v>392700</v>
      </c>
      <c r="BL255" s="6">
        <v>542300</v>
      </c>
      <c r="BM255" s="2">
        <v>542300</v>
      </c>
      <c r="BN255">
        <f>InvoiceTable[[#This Row],[Giảm giá]]*InvoiceTable[[#This Row],[Số lượng]]</f>
        <v>392700</v>
      </c>
    </row>
    <row r="256" spans="1:66" x14ac:dyDescent="0.25">
      <c r="A256" t="s">
        <v>65</v>
      </c>
      <c r="B256" t="s">
        <v>1184</v>
      </c>
      <c r="F256" s="2"/>
      <c r="G256" s="3">
        <v>46013.695403703707</v>
      </c>
      <c r="H256" s="3">
        <v>46013.695404016202</v>
      </c>
      <c r="I256" s="4" t="s">
        <v>67</v>
      </c>
      <c r="J256" t="s">
        <v>1185</v>
      </c>
      <c r="K256" t="s">
        <v>67</v>
      </c>
      <c r="L256" t="s">
        <v>1177</v>
      </c>
      <c r="M256" t="s">
        <v>1178</v>
      </c>
      <c r="N256" t="s">
        <v>67</v>
      </c>
      <c r="O256" t="s">
        <v>1179</v>
      </c>
      <c r="P256" t="s">
        <v>1180</v>
      </c>
      <c r="Q256" t="s">
        <v>67</v>
      </c>
      <c r="R256" t="s">
        <v>67</v>
      </c>
      <c r="S256" s="5"/>
      <c r="T256" t="s">
        <v>72</v>
      </c>
      <c r="U256" t="s">
        <v>87</v>
      </c>
      <c r="V256" t="s">
        <v>74</v>
      </c>
      <c r="W256" t="s">
        <v>87</v>
      </c>
      <c r="AE256" s="2"/>
      <c r="AF256" s="2"/>
      <c r="AG256" s="2"/>
      <c r="AH256" s="2"/>
      <c r="AK256" t="s">
        <v>1186</v>
      </c>
      <c r="AL256" s="2">
        <v>922300</v>
      </c>
      <c r="AM256" s="2">
        <v>0</v>
      </c>
      <c r="AN256" s="2"/>
      <c r="AO256" s="2">
        <v>0</v>
      </c>
      <c r="AP256" s="2">
        <v>922300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4"/>
      <c r="AX256" t="s">
        <v>75</v>
      </c>
      <c r="AZ256" t="s">
        <v>213</v>
      </c>
      <c r="BA256" t="s">
        <v>67</v>
      </c>
      <c r="BB256" t="s">
        <v>214</v>
      </c>
      <c r="BC256" t="s">
        <v>215</v>
      </c>
      <c r="BD256" t="s">
        <v>79</v>
      </c>
      <c r="BE256" t="s">
        <v>216</v>
      </c>
      <c r="BF256" s="5">
        <v>46784</v>
      </c>
      <c r="BH256">
        <v>1</v>
      </c>
      <c r="BI256" s="6">
        <v>760000</v>
      </c>
      <c r="BJ256" s="6">
        <v>50</v>
      </c>
      <c r="BK256" s="6">
        <v>380000</v>
      </c>
      <c r="BL256" s="6">
        <v>380000</v>
      </c>
      <c r="BM256" s="2">
        <v>380000</v>
      </c>
      <c r="BN256">
        <f>InvoiceTable[[#This Row],[Giảm giá]]*InvoiceTable[[#This Row],[Số lượng]]</f>
        <v>380000</v>
      </c>
    </row>
    <row r="257" spans="1:66" x14ac:dyDescent="0.25">
      <c r="A257" t="s">
        <v>65</v>
      </c>
      <c r="B257" t="s">
        <v>1190</v>
      </c>
      <c r="F257" s="2"/>
      <c r="G257" s="3">
        <v>46013.684844328702</v>
      </c>
      <c r="H257" s="3">
        <v>46013.68484440972</v>
      </c>
      <c r="I257" s="4" t="s">
        <v>67</v>
      </c>
      <c r="J257" t="s">
        <v>67</v>
      </c>
      <c r="K257" t="s">
        <v>67</v>
      </c>
      <c r="L257" t="s">
        <v>647</v>
      </c>
      <c r="M257" t="s">
        <v>648</v>
      </c>
      <c r="N257" t="s">
        <v>67</v>
      </c>
      <c r="O257" t="s">
        <v>649</v>
      </c>
      <c r="P257" t="s">
        <v>650</v>
      </c>
      <c r="S257" s="5"/>
      <c r="T257" t="s">
        <v>72</v>
      </c>
      <c r="U257" t="s">
        <v>87</v>
      </c>
      <c r="V257" t="s">
        <v>74</v>
      </c>
      <c r="W257" t="s">
        <v>87</v>
      </c>
      <c r="AE257" s="2"/>
      <c r="AF257" s="2"/>
      <c r="AG257" s="2"/>
      <c r="AH257" s="2"/>
      <c r="AL257" s="2">
        <v>19510400</v>
      </c>
      <c r="AM257" s="2">
        <v>0</v>
      </c>
      <c r="AN257" s="2"/>
      <c r="AO257" s="2">
        <v>0</v>
      </c>
      <c r="AP257" s="2">
        <v>19510400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4"/>
      <c r="AX257" t="s">
        <v>75</v>
      </c>
      <c r="AZ257" t="s">
        <v>1132</v>
      </c>
      <c r="BA257" t="s">
        <v>67</v>
      </c>
      <c r="BB257" t="s">
        <v>1133</v>
      </c>
      <c r="BC257" t="s">
        <v>1134</v>
      </c>
      <c r="BD257" t="s">
        <v>79</v>
      </c>
      <c r="BE257" t="s">
        <v>293</v>
      </c>
      <c r="BF257" s="5">
        <v>46722</v>
      </c>
      <c r="BH257">
        <v>14</v>
      </c>
      <c r="BI257" s="6">
        <v>2680000</v>
      </c>
      <c r="BJ257" s="6">
        <v>48</v>
      </c>
      <c r="BK257" s="6">
        <v>1286400</v>
      </c>
      <c r="BL257" s="6">
        <v>1393600</v>
      </c>
      <c r="BM257" s="2">
        <v>19510400</v>
      </c>
      <c r="BN257">
        <f>InvoiceTable[[#This Row],[Giảm giá]]*InvoiceTable[[#This Row],[Số lượng]]</f>
        <v>18009600</v>
      </c>
    </row>
    <row r="258" spans="1:66" x14ac:dyDescent="0.25">
      <c r="A258" t="s">
        <v>65</v>
      </c>
      <c r="B258" t="s">
        <v>1190</v>
      </c>
      <c r="F258" s="2"/>
      <c r="G258" s="3">
        <v>46013.684844328702</v>
      </c>
      <c r="H258" s="3">
        <v>46013.68484440972</v>
      </c>
      <c r="I258" s="4" t="s">
        <v>67</v>
      </c>
      <c r="J258" t="s">
        <v>67</v>
      </c>
      <c r="K258" t="s">
        <v>67</v>
      </c>
      <c r="L258" t="s">
        <v>647</v>
      </c>
      <c r="M258" t="s">
        <v>648</v>
      </c>
      <c r="N258" t="s">
        <v>67</v>
      </c>
      <c r="O258" t="s">
        <v>649</v>
      </c>
      <c r="P258" t="s">
        <v>650</v>
      </c>
      <c r="S258" s="5"/>
      <c r="T258" t="s">
        <v>72</v>
      </c>
      <c r="U258" t="s">
        <v>87</v>
      </c>
      <c r="V258" t="s">
        <v>74</v>
      </c>
      <c r="W258" t="s">
        <v>87</v>
      </c>
      <c r="AE258" s="2"/>
      <c r="AF258" s="2"/>
      <c r="AG258" s="2"/>
      <c r="AH258" s="2"/>
      <c r="AL258" s="2">
        <v>19510400</v>
      </c>
      <c r="AM258" s="2">
        <v>0</v>
      </c>
      <c r="AN258" s="2"/>
      <c r="AO258" s="2">
        <v>0</v>
      </c>
      <c r="AP258" s="2">
        <v>19510400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4"/>
      <c r="AX258" t="s">
        <v>75</v>
      </c>
      <c r="AZ258" t="s">
        <v>1132</v>
      </c>
      <c r="BA258" t="s">
        <v>67</v>
      </c>
      <c r="BB258" t="s">
        <v>1133</v>
      </c>
      <c r="BC258" t="s">
        <v>1134</v>
      </c>
      <c r="BD258" t="s">
        <v>79</v>
      </c>
      <c r="BE258" t="s">
        <v>293</v>
      </c>
      <c r="BF258" s="5">
        <v>46722</v>
      </c>
      <c r="BG258" t="s">
        <v>67</v>
      </c>
      <c r="BH258">
        <v>2</v>
      </c>
      <c r="BI258" s="6">
        <v>2680000</v>
      </c>
      <c r="BJ258" s="6">
        <v>0</v>
      </c>
      <c r="BK258" s="6">
        <v>2680000</v>
      </c>
      <c r="BL258" s="6">
        <v>0</v>
      </c>
      <c r="BM258" s="2">
        <v>0</v>
      </c>
      <c r="BN258">
        <f>InvoiceTable[[#This Row],[Giảm giá]]*InvoiceTable[[#This Row],[Số lượng]]</f>
        <v>5360000</v>
      </c>
    </row>
    <row r="259" spans="1:66" x14ac:dyDescent="0.25">
      <c r="A259" t="s">
        <v>65</v>
      </c>
      <c r="B259" t="s">
        <v>1191</v>
      </c>
      <c r="F259" s="2"/>
      <c r="G259" s="3">
        <v>46013.683933680557</v>
      </c>
      <c r="H259" s="3">
        <v>46013.683933912034</v>
      </c>
      <c r="I259" s="4" t="s">
        <v>67</v>
      </c>
      <c r="J259" t="s">
        <v>67</v>
      </c>
      <c r="K259" t="s">
        <v>67</v>
      </c>
      <c r="L259" t="s">
        <v>111</v>
      </c>
      <c r="M259" t="s">
        <v>112</v>
      </c>
      <c r="N259" t="s">
        <v>67</v>
      </c>
      <c r="O259" t="s">
        <v>113</v>
      </c>
      <c r="P259" t="s">
        <v>114</v>
      </c>
      <c r="Q259" t="s">
        <v>67</v>
      </c>
      <c r="R259" t="s">
        <v>67</v>
      </c>
      <c r="S259" s="5"/>
      <c r="T259" t="s">
        <v>72</v>
      </c>
      <c r="U259" t="s">
        <v>87</v>
      </c>
      <c r="V259" t="s">
        <v>74</v>
      </c>
      <c r="W259" t="s">
        <v>87</v>
      </c>
      <c r="AE259" s="2"/>
      <c r="AF259" s="2"/>
      <c r="AG259" s="2"/>
      <c r="AH259" s="2"/>
      <c r="AL259" s="2">
        <v>14000000</v>
      </c>
      <c r="AM259" s="2">
        <v>7000000</v>
      </c>
      <c r="AN259" s="2"/>
      <c r="AO259" s="2">
        <v>0</v>
      </c>
      <c r="AP259" s="2">
        <v>7000000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4"/>
      <c r="AX259" t="s">
        <v>75</v>
      </c>
      <c r="AZ259" t="s">
        <v>1192</v>
      </c>
      <c r="BA259" t="s">
        <v>67</v>
      </c>
      <c r="BB259" t="s">
        <v>1193</v>
      </c>
      <c r="BC259" t="s">
        <v>134</v>
      </c>
      <c r="BD259" t="s">
        <v>79</v>
      </c>
      <c r="BE259" t="s">
        <v>339</v>
      </c>
      <c r="BF259" s="5">
        <v>47270</v>
      </c>
      <c r="BG259" t="s">
        <v>67</v>
      </c>
      <c r="BH259">
        <v>2</v>
      </c>
      <c r="BI259" s="6">
        <v>5250000</v>
      </c>
      <c r="BJ259" s="6">
        <v>0</v>
      </c>
      <c r="BK259" s="6">
        <v>0</v>
      </c>
      <c r="BL259" s="6">
        <v>5250000</v>
      </c>
      <c r="BM259" s="2">
        <v>10500000</v>
      </c>
      <c r="BN259">
        <f>InvoiceTable[[#This Row],[Giảm giá]]*InvoiceTable[[#This Row],[Số lượng]]</f>
        <v>0</v>
      </c>
    </row>
    <row r="260" spans="1:66" x14ac:dyDescent="0.25">
      <c r="A260" t="s">
        <v>65</v>
      </c>
      <c r="B260" t="s">
        <v>1191</v>
      </c>
      <c r="F260" s="2"/>
      <c r="G260" s="3">
        <v>46013.683933680557</v>
      </c>
      <c r="H260" s="3">
        <v>46013.683933912034</v>
      </c>
      <c r="I260" s="4" t="s">
        <v>67</v>
      </c>
      <c r="J260" t="s">
        <v>67</v>
      </c>
      <c r="K260" t="s">
        <v>67</v>
      </c>
      <c r="L260" t="s">
        <v>111</v>
      </c>
      <c r="M260" t="s">
        <v>112</v>
      </c>
      <c r="N260" t="s">
        <v>67</v>
      </c>
      <c r="O260" t="s">
        <v>113</v>
      </c>
      <c r="P260" t="s">
        <v>114</v>
      </c>
      <c r="Q260" t="s">
        <v>67</v>
      </c>
      <c r="R260" t="s">
        <v>67</v>
      </c>
      <c r="S260" s="5"/>
      <c r="T260" t="s">
        <v>72</v>
      </c>
      <c r="U260" t="s">
        <v>87</v>
      </c>
      <c r="V260" t="s">
        <v>74</v>
      </c>
      <c r="W260" t="s">
        <v>87</v>
      </c>
      <c r="AE260" s="2"/>
      <c r="AF260" s="2"/>
      <c r="AG260" s="2"/>
      <c r="AH260" s="2"/>
      <c r="AL260" s="2">
        <v>14000000</v>
      </c>
      <c r="AM260" s="2">
        <v>7000000</v>
      </c>
      <c r="AN260" s="2"/>
      <c r="AO260" s="2">
        <v>0</v>
      </c>
      <c r="AP260" s="2">
        <v>7000000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4"/>
      <c r="AX260" t="s">
        <v>75</v>
      </c>
      <c r="AZ260" t="s">
        <v>518</v>
      </c>
      <c r="BA260" t="s">
        <v>67</v>
      </c>
      <c r="BB260" t="s">
        <v>519</v>
      </c>
      <c r="BC260" t="s">
        <v>78</v>
      </c>
      <c r="BD260" t="s">
        <v>79</v>
      </c>
      <c r="BE260" t="s">
        <v>80</v>
      </c>
      <c r="BF260" s="5">
        <v>47300</v>
      </c>
      <c r="BH260">
        <v>1</v>
      </c>
      <c r="BI260" s="6">
        <v>3500000</v>
      </c>
      <c r="BJ260" s="6">
        <v>0</v>
      </c>
      <c r="BK260" s="6">
        <v>0</v>
      </c>
      <c r="BL260" s="6">
        <v>3500000</v>
      </c>
      <c r="BM260" s="2">
        <v>3500000</v>
      </c>
      <c r="BN260">
        <f>InvoiceTable[[#This Row],[Giảm giá]]*InvoiceTable[[#This Row],[Số lượng]]</f>
        <v>0</v>
      </c>
    </row>
    <row r="261" spans="1:66" x14ac:dyDescent="0.25">
      <c r="A261" t="s">
        <v>65</v>
      </c>
      <c r="B261" t="s">
        <v>1194</v>
      </c>
      <c r="F261" s="2"/>
      <c r="G261" s="3">
        <v>46013.683573842594</v>
      </c>
      <c r="H261" s="3">
        <v>46013.683574039351</v>
      </c>
      <c r="I261" s="4" t="s">
        <v>67</v>
      </c>
      <c r="J261" t="s">
        <v>67</v>
      </c>
      <c r="K261" t="s">
        <v>67</v>
      </c>
      <c r="L261" t="s">
        <v>1195</v>
      </c>
      <c r="M261" t="s">
        <v>1196</v>
      </c>
      <c r="N261" t="s">
        <v>67</v>
      </c>
      <c r="Q261" t="s">
        <v>67</v>
      </c>
      <c r="R261" t="s">
        <v>67</v>
      </c>
      <c r="S261" s="5"/>
      <c r="T261" t="s">
        <v>72</v>
      </c>
      <c r="U261" t="s">
        <v>87</v>
      </c>
      <c r="V261" t="s">
        <v>74</v>
      </c>
      <c r="W261" t="s">
        <v>87</v>
      </c>
      <c r="AE261" s="2"/>
      <c r="AF261" s="2"/>
      <c r="AG261" s="2"/>
      <c r="AH261" s="2"/>
      <c r="AL261" s="2">
        <v>13150000</v>
      </c>
      <c r="AM261" s="2">
        <v>6575000</v>
      </c>
      <c r="AN261" s="2"/>
      <c r="AO261" s="2">
        <v>0</v>
      </c>
      <c r="AP261" s="2">
        <v>6575000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4"/>
      <c r="AX261" t="s">
        <v>75</v>
      </c>
      <c r="AZ261" t="s">
        <v>1197</v>
      </c>
      <c r="BA261" t="s">
        <v>67</v>
      </c>
      <c r="BB261" t="s">
        <v>1198</v>
      </c>
      <c r="BC261" t="s">
        <v>138</v>
      </c>
      <c r="BD261" t="s">
        <v>79</v>
      </c>
      <c r="BE261" t="s">
        <v>810</v>
      </c>
      <c r="BF261" s="5">
        <v>46539</v>
      </c>
      <c r="BG261" t="s">
        <v>67</v>
      </c>
      <c r="BH261">
        <v>1</v>
      </c>
      <c r="BI261" s="6">
        <v>1350000</v>
      </c>
      <c r="BJ261" s="6">
        <v>0</v>
      </c>
      <c r="BK261" s="6">
        <v>0</v>
      </c>
      <c r="BL261" s="6">
        <v>1350000</v>
      </c>
      <c r="BM261" s="2">
        <v>1350000</v>
      </c>
      <c r="BN261">
        <f>InvoiceTable[[#This Row],[Giảm giá]]*InvoiceTable[[#This Row],[Số lượng]]</f>
        <v>0</v>
      </c>
    </row>
    <row r="262" spans="1:66" x14ac:dyDescent="0.25">
      <c r="A262" t="s">
        <v>65</v>
      </c>
      <c r="B262" t="s">
        <v>1194</v>
      </c>
      <c r="F262" s="2"/>
      <c r="G262" s="3">
        <v>46013.683573842594</v>
      </c>
      <c r="H262" s="3">
        <v>46013.683574039351</v>
      </c>
      <c r="I262" s="4" t="s">
        <v>67</v>
      </c>
      <c r="J262" t="s">
        <v>67</v>
      </c>
      <c r="K262" t="s">
        <v>67</v>
      </c>
      <c r="L262" t="s">
        <v>1195</v>
      </c>
      <c r="M262" t="s">
        <v>1196</v>
      </c>
      <c r="N262" t="s">
        <v>67</v>
      </c>
      <c r="Q262" t="s">
        <v>67</v>
      </c>
      <c r="R262" t="s">
        <v>67</v>
      </c>
      <c r="S262" s="5"/>
      <c r="T262" t="s">
        <v>72</v>
      </c>
      <c r="U262" t="s">
        <v>87</v>
      </c>
      <c r="V262" t="s">
        <v>74</v>
      </c>
      <c r="W262" t="s">
        <v>87</v>
      </c>
      <c r="AE262" s="2"/>
      <c r="AF262" s="2"/>
      <c r="AG262" s="2"/>
      <c r="AH262" s="2"/>
      <c r="AL262" s="2">
        <v>13150000</v>
      </c>
      <c r="AM262" s="2">
        <v>6575000</v>
      </c>
      <c r="AN262" s="2"/>
      <c r="AO262" s="2">
        <v>0</v>
      </c>
      <c r="AP262" s="2">
        <v>6575000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4"/>
      <c r="AX262" t="s">
        <v>75</v>
      </c>
      <c r="AZ262" t="s">
        <v>522</v>
      </c>
      <c r="BA262" t="s">
        <v>67</v>
      </c>
      <c r="BB262" t="s">
        <v>523</v>
      </c>
      <c r="BC262" t="s">
        <v>78</v>
      </c>
      <c r="BD262" t="s">
        <v>79</v>
      </c>
      <c r="BE262" t="s">
        <v>142</v>
      </c>
      <c r="BF262" s="5">
        <v>46844</v>
      </c>
      <c r="BH262">
        <v>1</v>
      </c>
      <c r="BI262" s="6">
        <v>3050000</v>
      </c>
      <c r="BJ262" s="6">
        <v>0</v>
      </c>
      <c r="BK262" s="6">
        <v>0</v>
      </c>
      <c r="BL262" s="6">
        <v>3050000</v>
      </c>
      <c r="BM262" s="2">
        <v>3050000</v>
      </c>
      <c r="BN262">
        <f>InvoiceTable[[#This Row],[Giảm giá]]*InvoiceTable[[#This Row],[Số lượng]]</f>
        <v>0</v>
      </c>
    </row>
    <row r="263" spans="1:66" x14ac:dyDescent="0.25">
      <c r="A263" t="s">
        <v>65</v>
      </c>
      <c r="B263" t="s">
        <v>1194</v>
      </c>
      <c r="F263" s="2"/>
      <c r="G263" s="3">
        <v>46013.683573842594</v>
      </c>
      <c r="H263" s="3">
        <v>46013.683574039351</v>
      </c>
      <c r="I263" s="4" t="s">
        <v>67</v>
      </c>
      <c r="J263" t="s">
        <v>67</v>
      </c>
      <c r="K263" t="s">
        <v>67</v>
      </c>
      <c r="L263" t="s">
        <v>1195</v>
      </c>
      <c r="M263" t="s">
        <v>1196</v>
      </c>
      <c r="N263" t="s">
        <v>67</v>
      </c>
      <c r="Q263" t="s">
        <v>67</v>
      </c>
      <c r="R263" t="s">
        <v>67</v>
      </c>
      <c r="S263" s="5"/>
      <c r="T263" t="s">
        <v>72</v>
      </c>
      <c r="U263" t="s">
        <v>87</v>
      </c>
      <c r="V263" t="s">
        <v>74</v>
      </c>
      <c r="W263" t="s">
        <v>87</v>
      </c>
      <c r="AE263" s="2"/>
      <c r="AF263" s="2"/>
      <c r="AG263" s="2"/>
      <c r="AH263" s="2"/>
      <c r="AL263" s="2">
        <v>13150000</v>
      </c>
      <c r="AM263" s="2">
        <v>6575000</v>
      </c>
      <c r="AN263" s="2"/>
      <c r="AO263" s="2">
        <v>0</v>
      </c>
      <c r="AP263" s="2">
        <v>6575000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4"/>
      <c r="AX263" t="s">
        <v>75</v>
      </c>
      <c r="AZ263" t="s">
        <v>1041</v>
      </c>
      <c r="BB263" t="s">
        <v>1042</v>
      </c>
      <c r="BC263" t="s">
        <v>78</v>
      </c>
      <c r="BD263" t="s">
        <v>79</v>
      </c>
      <c r="BE263" t="s">
        <v>1043</v>
      </c>
      <c r="BF263" s="5">
        <v>46784</v>
      </c>
      <c r="BG263" t="s">
        <v>67</v>
      </c>
      <c r="BH263">
        <v>1</v>
      </c>
      <c r="BI263" s="6">
        <v>3350000</v>
      </c>
      <c r="BJ263" s="6">
        <v>0</v>
      </c>
      <c r="BK263" s="6">
        <v>0</v>
      </c>
      <c r="BL263" s="6">
        <v>3350000</v>
      </c>
      <c r="BM263" s="2">
        <v>3350000</v>
      </c>
      <c r="BN263">
        <f>InvoiceTable[[#This Row],[Giảm giá]]*InvoiceTable[[#This Row],[Số lượng]]</f>
        <v>0</v>
      </c>
    </row>
    <row r="264" spans="1:66" x14ac:dyDescent="0.25">
      <c r="A264" t="s">
        <v>65</v>
      </c>
      <c r="B264" t="s">
        <v>1194</v>
      </c>
      <c r="F264" s="2"/>
      <c r="G264" s="3">
        <v>46013.683573842594</v>
      </c>
      <c r="H264" s="3">
        <v>46013.683574039351</v>
      </c>
      <c r="I264" s="4" t="s">
        <v>67</v>
      </c>
      <c r="J264" t="s">
        <v>67</v>
      </c>
      <c r="K264" t="s">
        <v>67</v>
      </c>
      <c r="L264" t="s">
        <v>1195</v>
      </c>
      <c r="M264" t="s">
        <v>1196</v>
      </c>
      <c r="N264" t="s">
        <v>67</v>
      </c>
      <c r="Q264" t="s">
        <v>67</v>
      </c>
      <c r="R264" t="s">
        <v>67</v>
      </c>
      <c r="S264" s="5"/>
      <c r="T264" t="s">
        <v>72</v>
      </c>
      <c r="U264" t="s">
        <v>87</v>
      </c>
      <c r="V264" t="s">
        <v>74</v>
      </c>
      <c r="W264" t="s">
        <v>87</v>
      </c>
      <c r="AE264" s="2"/>
      <c r="AF264" s="2"/>
      <c r="AG264" s="2"/>
      <c r="AH264" s="2"/>
      <c r="AL264" s="2">
        <v>13150000</v>
      </c>
      <c r="AM264" s="2">
        <v>6575000</v>
      </c>
      <c r="AN264" s="2"/>
      <c r="AO264" s="2">
        <v>0</v>
      </c>
      <c r="AP264" s="2">
        <v>6575000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4"/>
      <c r="AX264" t="s">
        <v>75</v>
      </c>
      <c r="AZ264" t="s">
        <v>1199</v>
      </c>
      <c r="BA264" t="s">
        <v>67</v>
      </c>
      <c r="BB264" t="s">
        <v>1200</v>
      </c>
      <c r="BC264" t="s">
        <v>78</v>
      </c>
      <c r="BD264" t="s">
        <v>79</v>
      </c>
      <c r="BE264" t="s">
        <v>131</v>
      </c>
      <c r="BF264" s="5">
        <v>46874</v>
      </c>
      <c r="BH264">
        <v>2</v>
      </c>
      <c r="BI264" s="6">
        <v>2700000</v>
      </c>
      <c r="BJ264" s="6">
        <v>0</v>
      </c>
      <c r="BK264" s="6">
        <v>0</v>
      </c>
      <c r="BL264" s="6">
        <v>2700000</v>
      </c>
      <c r="BM264" s="2">
        <v>5400000</v>
      </c>
      <c r="BN264">
        <f>InvoiceTable[[#This Row],[Giảm giá]]*InvoiceTable[[#This Row],[Số lượng]]</f>
        <v>0</v>
      </c>
    </row>
    <row r="265" spans="1:66" x14ac:dyDescent="0.25">
      <c r="A265" t="s">
        <v>65</v>
      </c>
      <c r="B265" t="s">
        <v>1201</v>
      </c>
      <c r="F265" s="2"/>
      <c r="G265" s="3">
        <v>46013.677175613426</v>
      </c>
      <c r="H265" s="3">
        <v>46013.677164317131</v>
      </c>
      <c r="I265" s="4" t="s">
        <v>1202</v>
      </c>
      <c r="J265" t="s">
        <v>67</v>
      </c>
      <c r="K265" t="s">
        <v>67</v>
      </c>
      <c r="L265" t="s">
        <v>1203</v>
      </c>
      <c r="M265" t="s">
        <v>1204</v>
      </c>
      <c r="N265" t="s">
        <v>1205</v>
      </c>
      <c r="O265" t="s">
        <v>1206</v>
      </c>
      <c r="P265" t="s">
        <v>1207</v>
      </c>
      <c r="S265" s="5"/>
      <c r="T265" t="s">
        <v>72</v>
      </c>
      <c r="U265" t="s">
        <v>87</v>
      </c>
      <c r="V265" t="s">
        <v>74</v>
      </c>
      <c r="W265" t="s">
        <v>87</v>
      </c>
      <c r="AE265" s="2"/>
      <c r="AF265" s="2"/>
      <c r="AG265" s="2"/>
      <c r="AH265" s="2"/>
      <c r="AL265" s="2">
        <v>1805269</v>
      </c>
      <c r="AM265" s="2">
        <v>0</v>
      </c>
      <c r="AN265" s="2"/>
      <c r="AO265" s="2">
        <v>0</v>
      </c>
      <c r="AP265" s="2">
        <v>1805269</v>
      </c>
      <c r="AQ265" s="2">
        <v>856548</v>
      </c>
      <c r="AR265" s="2">
        <v>0</v>
      </c>
      <c r="AS265" s="2">
        <v>0</v>
      </c>
      <c r="AT265" s="2">
        <v>0</v>
      </c>
      <c r="AU265" s="2">
        <v>856548</v>
      </c>
      <c r="AV265" s="2">
        <v>0</v>
      </c>
      <c r="AW265" s="4"/>
      <c r="AX265" t="s">
        <v>75</v>
      </c>
      <c r="AZ265" t="s">
        <v>1208</v>
      </c>
      <c r="BA265" t="s">
        <v>67</v>
      </c>
      <c r="BB265" t="s">
        <v>1209</v>
      </c>
      <c r="BC265" t="s">
        <v>344</v>
      </c>
      <c r="BD265" t="s">
        <v>79</v>
      </c>
      <c r="BE265" t="s">
        <v>293</v>
      </c>
      <c r="BF265" s="5">
        <v>46722</v>
      </c>
      <c r="BH265">
        <v>1</v>
      </c>
      <c r="BI265" s="6">
        <v>950000</v>
      </c>
      <c r="BJ265" s="6">
        <v>42</v>
      </c>
      <c r="BK265" s="6">
        <v>399000</v>
      </c>
      <c r="BL265" s="6">
        <v>551000</v>
      </c>
      <c r="BM265" s="2">
        <v>551000</v>
      </c>
      <c r="BN265">
        <f>InvoiceTable[[#This Row],[Giảm giá]]*InvoiceTable[[#This Row],[Số lượng]]</f>
        <v>399000</v>
      </c>
    </row>
    <row r="266" spans="1:66" x14ac:dyDescent="0.25">
      <c r="A266" t="s">
        <v>65</v>
      </c>
      <c r="B266" t="s">
        <v>1201</v>
      </c>
      <c r="F266" s="2"/>
      <c r="G266" s="3">
        <v>46013.677175613426</v>
      </c>
      <c r="H266" s="3">
        <v>46013.677164317131</v>
      </c>
      <c r="I266" s="4" t="s">
        <v>1202</v>
      </c>
      <c r="J266" t="s">
        <v>67</v>
      </c>
      <c r="K266" t="s">
        <v>67</v>
      </c>
      <c r="L266" t="s">
        <v>1203</v>
      </c>
      <c r="M266" t="s">
        <v>1204</v>
      </c>
      <c r="N266" t="s">
        <v>1205</v>
      </c>
      <c r="O266" t="s">
        <v>1206</v>
      </c>
      <c r="P266" t="s">
        <v>1207</v>
      </c>
      <c r="S266" s="5"/>
      <c r="T266" t="s">
        <v>72</v>
      </c>
      <c r="U266" t="s">
        <v>87</v>
      </c>
      <c r="V266" t="s">
        <v>74</v>
      </c>
      <c r="W266" t="s">
        <v>87</v>
      </c>
      <c r="AE266" s="2"/>
      <c r="AF266" s="2"/>
      <c r="AG266" s="2"/>
      <c r="AH266" s="2"/>
      <c r="AL266" s="2">
        <v>1805269</v>
      </c>
      <c r="AM266" s="2">
        <v>0</v>
      </c>
      <c r="AN266" s="2"/>
      <c r="AO266" s="2">
        <v>0</v>
      </c>
      <c r="AP266" s="2">
        <v>1805269</v>
      </c>
      <c r="AQ266" s="2">
        <v>856548</v>
      </c>
      <c r="AR266" s="2">
        <v>0</v>
      </c>
      <c r="AS266" s="2">
        <v>0</v>
      </c>
      <c r="AT266" s="2">
        <v>0</v>
      </c>
      <c r="AU266" s="2">
        <v>856548</v>
      </c>
      <c r="AV266" s="2">
        <v>0</v>
      </c>
      <c r="AW266" s="4"/>
      <c r="AX266" t="s">
        <v>75</v>
      </c>
      <c r="AZ266" t="s">
        <v>1210</v>
      </c>
      <c r="BA266" t="s">
        <v>67</v>
      </c>
      <c r="BB266" t="s">
        <v>1211</v>
      </c>
      <c r="BC266" t="s">
        <v>251</v>
      </c>
      <c r="BD266" t="s">
        <v>79</v>
      </c>
      <c r="BE266" t="s">
        <v>293</v>
      </c>
      <c r="BF266" s="5">
        <v>46722</v>
      </c>
      <c r="BH266">
        <v>1</v>
      </c>
      <c r="BI266" s="6">
        <v>520000</v>
      </c>
      <c r="BJ266" s="6">
        <v>42</v>
      </c>
      <c r="BK266" s="6">
        <v>218400</v>
      </c>
      <c r="BL266" s="6">
        <v>301600</v>
      </c>
      <c r="BM266" s="2">
        <v>301600</v>
      </c>
      <c r="BN266">
        <f>InvoiceTable[[#This Row],[Giảm giá]]*InvoiceTable[[#This Row],[Số lượng]]</f>
        <v>218400</v>
      </c>
    </row>
    <row r="267" spans="1:66" x14ac:dyDescent="0.25">
      <c r="A267" t="s">
        <v>65</v>
      </c>
      <c r="B267" t="s">
        <v>1201</v>
      </c>
      <c r="F267" s="2"/>
      <c r="G267" s="3">
        <v>46013.677175613426</v>
      </c>
      <c r="H267" s="3">
        <v>46013.677164317131</v>
      </c>
      <c r="I267" s="4" t="s">
        <v>1202</v>
      </c>
      <c r="J267" t="s">
        <v>67</v>
      </c>
      <c r="K267" t="s">
        <v>67</v>
      </c>
      <c r="L267" t="s">
        <v>1203</v>
      </c>
      <c r="M267" t="s">
        <v>1204</v>
      </c>
      <c r="N267" t="s">
        <v>1205</v>
      </c>
      <c r="O267" t="s">
        <v>1206</v>
      </c>
      <c r="P267" t="s">
        <v>1207</v>
      </c>
      <c r="S267" s="5"/>
      <c r="T267" t="s">
        <v>72</v>
      </c>
      <c r="U267" t="s">
        <v>87</v>
      </c>
      <c r="V267" t="s">
        <v>74</v>
      </c>
      <c r="W267" t="s">
        <v>87</v>
      </c>
      <c r="AE267" s="2"/>
      <c r="AF267" s="2"/>
      <c r="AG267" s="2"/>
      <c r="AH267" s="2"/>
      <c r="AL267" s="2">
        <v>1805269</v>
      </c>
      <c r="AM267" s="2">
        <v>0</v>
      </c>
      <c r="AN267" s="2"/>
      <c r="AO267" s="2">
        <v>0</v>
      </c>
      <c r="AP267" s="2">
        <v>1805269</v>
      </c>
      <c r="AQ267" s="2">
        <v>856548</v>
      </c>
      <c r="AR267" s="2">
        <v>0</v>
      </c>
      <c r="AS267" s="2">
        <v>0</v>
      </c>
      <c r="AT267" s="2">
        <v>0</v>
      </c>
      <c r="AU267" s="2">
        <v>856548</v>
      </c>
      <c r="AV267" s="2">
        <v>0</v>
      </c>
      <c r="AW267" s="4"/>
      <c r="AX267" t="s">
        <v>75</v>
      </c>
      <c r="AZ267" t="s">
        <v>860</v>
      </c>
      <c r="BA267" t="s">
        <v>67</v>
      </c>
      <c r="BB267" t="s">
        <v>861</v>
      </c>
      <c r="BC267" t="s">
        <v>191</v>
      </c>
      <c r="BD267" t="s">
        <v>79</v>
      </c>
      <c r="BE267" t="s">
        <v>862</v>
      </c>
      <c r="BF267" s="5">
        <v>47515</v>
      </c>
      <c r="BH267">
        <v>1</v>
      </c>
      <c r="BI267" s="6">
        <v>470291</v>
      </c>
      <c r="BJ267" s="6">
        <v>42</v>
      </c>
      <c r="BK267" s="6">
        <v>197522.22</v>
      </c>
      <c r="BL267" s="6">
        <v>272768.78000000003</v>
      </c>
      <c r="BM267" s="2">
        <v>272769</v>
      </c>
      <c r="BN267">
        <f>InvoiceTable[[#This Row],[Giảm giá]]*InvoiceTable[[#This Row],[Số lượng]]</f>
        <v>197522.22</v>
      </c>
    </row>
    <row r="268" spans="1:66" x14ac:dyDescent="0.25">
      <c r="A268" t="s">
        <v>65</v>
      </c>
      <c r="B268" t="s">
        <v>1201</v>
      </c>
      <c r="F268" s="2"/>
      <c r="G268" s="3">
        <v>46013.677175613426</v>
      </c>
      <c r="H268" s="3">
        <v>46013.677164317131</v>
      </c>
      <c r="I268" s="4" t="s">
        <v>1202</v>
      </c>
      <c r="J268" t="s">
        <v>67</v>
      </c>
      <c r="K268" t="s">
        <v>67</v>
      </c>
      <c r="L268" t="s">
        <v>1203</v>
      </c>
      <c r="M268" t="s">
        <v>1204</v>
      </c>
      <c r="N268" t="s">
        <v>1205</v>
      </c>
      <c r="O268" t="s">
        <v>1206</v>
      </c>
      <c r="P268" t="s">
        <v>1207</v>
      </c>
      <c r="S268" s="5"/>
      <c r="T268" t="s">
        <v>72</v>
      </c>
      <c r="U268" t="s">
        <v>87</v>
      </c>
      <c r="V268" t="s">
        <v>74</v>
      </c>
      <c r="W268" t="s">
        <v>87</v>
      </c>
      <c r="AE268" s="2"/>
      <c r="AF268" s="2"/>
      <c r="AG268" s="2"/>
      <c r="AH268" s="2"/>
      <c r="AL268" s="2">
        <v>1805269</v>
      </c>
      <c r="AM268" s="2">
        <v>0</v>
      </c>
      <c r="AN268" s="2"/>
      <c r="AO268" s="2">
        <v>0</v>
      </c>
      <c r="AP268" s="2">
        <v>1805269</v>
      </c>
      <c r="AQ268" s="2">
        <v>856548</v>
      </c>
      <c r="AR268" s="2">
        <v>0</v>
      </c>
      <c r="AS268" s="2">
        <v>0</v>
      </c>
      <c r="AT268" s="2">
        <v>0</v>
      </c>
      <c r="AU268" s="2">
        <v>856548</v>
      </c>
      <c r="AV268" s="2">
        <v>0</v>
      </c>
      <c r="AW268" s="4"/>
      <c r="AX268" t="s">
        <v>75</v>
      </c>
      <c r="AZ268" t="s">
        <v>1212</v>
      </c>
      <c r="BA268" t="s">
        <v>67</v>
      </c>
      <c r="BB268" t="s">
        <v>1213</v>
      </c>
      <c r="BC268" t="s">
        <v>770</v>
      </c>
      <c r="BD268" t="s">
        <v>79</v>
      </c>
      <c r="BE268" t="s">
        <v>1214</v>
      </c>
      <c r="BF268" s="5">
        <v>47696</v>
      </c>
      <c r="BH268">
        <v>1</v>
      </c>
      <c r="BI268" s="6">
        <v>320000</v>
      </c>
      <c r="BJ268" s="6">
        <v>32</v>
      </c>
      <c r="BK268" s="6">
        <v>102400</v>
      </c>
      <c r="BL268" s="6">
        <v>217600</v>
      </c>
      <c r="BM268" s="2">
        <v>217600</v>
      </c>
      <c r="BN268">
        <f>InvoiceTable[[#This Row],[Giảm giá]]*InvoiceTable[[#This Row],[Số lượng]]</f>
        <v>102400</v>
      </c>
    </row>
    <row r="269" spans="1:66" x14ac:dyDescent="0.25">
      <c r="A269" t="s">
        <v>65</v>
      </c>
      <c r="B269" t="s">
        <v>1201</v>
      </c>
      <c r="F269" s="2"/>
      <c r="G269" s="3">
        <v>46013.677175613426</v>
      </c>
      <c r="H269" s="3">
        <v>46013.677164317131</v>
      </c>
      <c r="I269" s="4" t="s">
        <v>1202</v>
      </c>
      <c r="J269" t="s">
        <v>67</v>
      </c>
      <c r="K269" t="s">
        <v>67</v>
      </c>
      <c r="L269" t="s">
        <v>1203</v>
      </c>
      <c r="M269" t="s">
        <v>1204</v>
      </c>
      <c r="N269" t="s">
        <v>1205</v>
      </c>
      <c r="O269" t="s">
        <v>1206</v>
      </c>
      <c r="P269" t="s">
        <v>1207</v>
      </c>
      <c r="S269" s="5"/>
      <c r="T269" t="s">
        <v>72</v>
      </c>
      <c r="U269" t="s">
        <v>87</v>
      </c>
      <c r="V269" t="s">
        <v>74</v>
      </c>
      <c r="W269" t="s">
        <v>87</v>
      </c>
      <c r="AE269" s="2"/>
      <c r="AF269" s="2"/>
      <c r="AG269" s="2"/>
      <c r="AH269" s="2"/>
      <c r="AL269" s="2">
        <v>1805269</v>
      </c>
      <c r="AM269" s="2">
        <v>0</v>
      </c>
      <c r="AN269" s="2"/>
      <c r="AO269" s="2">
        <v>0</v>
      </c>
      <c r="AP269" s="2">
        <v>1805269</v>
      </c>
      <c r="AQ269" s="2">
        <v>856548</v>
      </c>
      <c r="AR269" s="2">
        <v>0</v>
      </c>
      <c r="AS269" s="2">
        <v>0</v>
      </c>
      <c r="AT269" s="2">
        <v>0</v>
      </c>
      <c r="AU269" s="2">
        <v>856548</v>
      </c>
      <c r="AV269" s="2">
        <v>0</v>
      </c>
      <c r="AW269" s="4"/>
      <c r="AX269" t="s">
        <v>75</v>
      </c>
      <c r="AZ269" t="s">
        <v>1215</v>
      </c>
      <c r="BA269" t="s">
        <v>67</v>
      </c>
      <c r="BB269" t="s">
        <v>1216</v>
      </c>
      <c r="BC269" t="s">
        <v>770</v>
      </c>
      <c r="BD269" t="s">
        <v>79</v>
      </c>
      <c r="BE269" t="s">
        <v>198</v>
      </c>
      <c r="BF269" s="5">
        <v>46753</v>
      </c>
      <c r="BH269">
        <v>1</v>
      </c>
      <c r="BI269" s="6">
        <v>250000</v>
      </c>
      <c r="BJ269" s="6">
        <v>45</v>
      </c>
      <c r="BK269" s="6">
        <v>112500</v>
      </c>
      <c r="BL269" s="6">
        <v>137500</v>
      </c>
      <c r="BM269" s="2">
        <v>137500</v>
      </c>
      <c r="BN269">
        <f>InvoiceTable[[#This Row],[Giảm giá]]*InvoiceTable[[#This Row],[Số lượng]]</f>
        <v>112500</v>
      </c>
    </row>
    <row r="270" spans="1:66" x14ac:dyDescent="0.25">
      <c r="A270" t="s">
        <v>65</v>
      </c>
      <c r="B270" t="s">
        <v>1201</v>
      </c>
      <c r="F270" s="2"/>
      <c r="G270" s="3">
        <v>46013.677175613426</v>
      </c>
      <c r="H270" s="3">
        <v>46013.677164317131</v>
      </c>
      <c r="I270" s="4" t="s">
        <v>1202</v>
      </c>
      <c r="J270" t="s">
        <v>67</v>
      </c>
      <c r="K270" t="s">
        <v>67</v>
      </c>
      <c r="L270" t="s">
        <v>1203</v>
      </c>
      <c r="M270" t="s">
        <v>1204</v>
      </c>
      <c r="N270" t="s">
        <v>1205</v>
      </c>
      <c r="O270" t="s">
        <v>1206</v>
      </c>
      <c r="P270" t="s">
        <v>1207</v>
      </c>
      <c r="S270" s="5"/>
      <c r="T270" t="s">
        <v>72</v>
      </c>
      <c r="U270" t="s">
        <v>87</v>
      </c>
      <c r="V270" t="s">
        <v>74</v>
      </c>
      <c r="W270" t="s">
        <v>87</v>
      </c>
      <c r="AE270" s="2"/>
      <c r="AF270" s="2"/>
      <c r="AG270" s="2"/>
      <c r="AH270" s="2"/>
      <c r="AL270" s="2">
        <v>1805269</v>
      </c>
      <c r="AM270" s="2">
        <v>0</v>
      </c>
      <c r="AN270" s="2"/>
      <c r="AO270" s="2">
        <v>0</v>
      </c>
      <c r="AP270" s="2">
        <v>1805269</v>
      </c>
      <c r="AQ270" s="2">
        <v>856548</v>
      </c>
      <c r="AR270" s="2">
        <v>0</v>
      </c>
      <c r="AS270" s="2">
        <v>0</v>
      </c>
      <c r="AT270" s="2">
        <v>0</v>
      </c>
      <c r="AU270" s="2">
        <v>856548</v>
      </c>
      <c r="AV270" s="2">
        <v>0</v>
      </c>
      <c r="AW270" s="4"/>
      <c r="AX270" t="s">
        <v>75</v>
      </c>
      <c r="AZ270" t="s">
        <v>1217</v>
      </c>
      <c r="BA270" t="s">
        <v>67</v>
      </c>
      <c r="BB270" t="s">
        <v>1218</v>
      </c>
      <c r="BC270" t="s">
        <v>1219</v>
      </c>
      <c r="BD270" t="s">
        <v>79</v>
      </c>
      <c r="BE270" t="s">
        <v>1220</v>
      </c>
      <c r="BF270" s="5">
        <v>46952</v>
      </c>
      <c r="BG270" t="s">
        <v>67</v>
      </c>
      <c r="BH270">
        <v>1</v>
      </c>
      <c r="BI270" s="6">
        <v>560000</v>
      </c>
      <c r="BJ270" s="6">
        <v>42</v>
      </c>
      <c r="BK270" s="6">
        <v>235200</v>
      </c>
      <c r="BL270" s="6">
        <v>324800</v>
      </c>
      <c r="BM270" s="2">
        <v>324800</v>
      </c>
      <c r="BN270">
        <f>InvoiceTable[[#This Row],[Giảm giá]]*InvoiceTable[[#This Row],[Số lượng]]</f>
        <v>235200</v>
      </c>
    </row>
    <row r="271" spans="1:66" x14ac:dyDescent="0.25">
      <c r="A271" t="s">
        <v>65</v>
      </c>
      <c r="B271" t="s">
        <v>1221</v>
      </c>
      <c r="F271" s="2"/>
      <c r="G271" s="3">
        <v>46013.675435219906</v>
      </c>
      <c r="H271" s="3">
        <v>46013.675435335645</v>
      </c>
      <c r="I271" s="4" t="s">
        <v>67</v>
      </c>
      <c r="J271" t="s">
        <v>1222</v>
      </c>
      <c r="K271" t="s">
        <v>67</v>
      </c>
      <c r="L271" t="s">
        <v>1223</v>
      </c>
      <c r="M271" t="s">
        <v>1224</v>
      </c>
      <c r="N271" t="s">
        <v>1225</v>
      </c>
      <c r="O271" t="s">
        <v>1226</v>
      </c>
      <c r="P271" t="s">
        <v>1227</v>
      </c>
      <c r="S271" s="5"/>
      <c r="T271" t="s">
        <v>72</v>
      </c>
      <c r="U271" t="s">
        <v>102</v>
      </c>
      <c r="V271" t="s">
        <v>74</v>
      </c>
      <c r="W271" t="s">
        <v>87</v>
      </c>
      <c r="AE271" s="2"/>
      <c r="AF271" s="2"/>
      <c r="AG271" s="2"/>
      <c r="AH271" s="2"/>
      <c r="AK271" t="s">
        <v>1228</v>
      </c>
      <c r="AL271" s="2">
        <v>5800000</v>
      </c>
      <c r="AM271" s="2">
        <v>2320000</v>
      </c>
      <c r="AN271" s="2"/>
      <c r="AO271" s="2">
        <v>0</v>
      </c>
      <c r="AP271" s="2">
        <v>3480000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4"/>
      <c r="AX271" t="s">
        <v>75</v>
      </c>
      <c r="AZ271" t="s">
        <v>1229</v>
      </c>
      <c r="BB271" t="s">
        <v>1230</v>
      </c>
      <c r="BC271" t="s">
        <v>204</v>
      </c>
      <c r="BD271" t="s">
        <v>79</v>
      </c>
      <c r="BE271" t="s">
        <v>1231</v>
      </c>
      <c r="BF271" s="5">
        <v>47239</v>
      </c>
      <c r="BG271" t="s">
        <v>67</v>
      </c>
      <c r="BH271">
        <v>2</v>
      </c>
      <c r="BI271" s="6">
        <v>795000</v>
      </c>
      <c r="BJ271" s="6">
        <v>0</v>
      </c>
      <c r="BK271" s="6">
        <v>0</v>
      </c>
      <c r="BL271" s="6">
        <v>795000</v>
      </c>
      <c r="BM271" s="2">
        <v>1590000</v>
      </c>
      <c r="BN271">
        <f>InvoiceTable[[#This Row],[Giảm giá]]*InvoiceTable[[#This Row],[Số lượng]]</f>
        <v>0</v>
      </c>
    </row>
    <row r="272" spans="1:66" x14ac:dyDescent="0.25">
      <c r="A272" t="s">
        <v>65</v>
      </c>
      <c r="B272" t="s">
        <v>1221</v>
      </c>
      <c r="F272" s="2"/>
      <c r="G272" s="3">
        <v>46013.675435219906</v>
      </c>
      <c r="H272" s="3">
        <v>46013.675435335645</v>
      </c>
      <c r="I272" s="4" t="s">
        <v>67</v>
      </c>
      <c r="J272" t="s">
        <v>1222</v>
      </c>
      <c r="K272" t="s">
        <v>67</v>
      </c>
      <c r="L272" t="s">
        <v>1223</v>
      </c>
      <c r="M272" t="s">
        <v>1224</v>
      </c>
      <c r="N272" t="s">
        <v>1225</v>
      </c>
      <c r="O272" t="s">
        <v>1226</v>
      </c>
      <c r="P272" t="s">
        <v>1227</v>
      </c>
      <c r="S272" s="5"/>
      <c r="T272" t="s">
        <v>72</v>
      </c>
      <c r="U272" t="s">
        <v>102</v>
      </c>
      <c r="V272" t="s">
        <v>74</v>
      </c>
      <c r="W272" t="s">
        <v>87</v>
      </c>
      <c r="AE272" s="2"/>
      <c r="AF272" s="2"/>
      <c r="AG272" s="2"/>
      <c r="AH272" s="2"/>
      <c r="AK272" t="s">
        <v>1228</v>
      </c>
      <c r="AL272" s="2">
        <v>5800000</v>
      </c>
      <c r="AM272" s="2">
        <v>2320000</v>
      </c>
      <c r="AN272" s="2"/>
      <c r="AO272" s="2">
        <v>0</v>
      </c>
      <c r="AP272" s="2">
        <v>3480000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4"/>
      <c r="AX272" t="s">
        <v>75</v>
      </c>
      <c r="AZ272" t="s">
        <v>1072</v>
      </c>
      <c r="BA272" t="s">
        <v>67</v>
      </c>
      <c r="BB272" t="s">
        <v>1073</v>
      </c>
      <c r="BC272" t="s">
        <v>204</v>
      </c>
      <c r="BD272" t="s">
        <v>79</v>
      </c>
      <c r="BE272" t="s">
        <v>1074</v>
      </c>
      <c r="BF272" s="5">
        <v>47423</v>
      </c>
      <c r="BH272">
        <v>5</v>
      </c>
      <c r="BI272" s="6">
        <v>545000</v>
      </c>
      <c r="BJ272" s="6">
        <v>0</v>
      </c>
      <c r="BK272" s="6">
        <v>0</v>
      </c>
      <c r="BL272" s="6">
        <v>545000</v>
      </c>
      <c r="BM272" s="2">
        <v>2725000</v>
      </c>
      <c r="BN272">
        <f>InvoiceTable[[#This Row],[Giảm giá]]*InvoiceTable[[#This Row],[Số lượng]]</f>
        <v>0</v>
      </c>
    </row>
    <row r="273" spans="1:66" x14ac:dyDescent="0.25">
      <c r="A273" t="s">
        <v>65</v>
      </c>
      <c r="B273" t="s">
        <v>1221</v>
      </c>
      <c r="F273" s="2"/>
      <c r="G273" s="3">
        <v>46013.675435219906</v>
      </c>
      <c r="H273" s="3">
        <v>46013.675435335645</v>
      </c>
      <c r="I273" s="4" t="s">
        <v>67</v>
      </c>
      <c r="J273" t="s">
        <v>1222</v>
      </c>
      <c r="K273" t="s">
        <v>67</v>
      </c>
      <c r="L273" t="s">
        <v>1223</v>
      </c>
      <c r="M273" t="s">
        <v>1224</v>
      </c>
      <c r="N273" t="s">
        <v>1225</v>
      </c>
      <c r="O273" t="s">
        <v>1226</v>
      </c>
      <c r="P273" t="s">
        <v>1227</v>
      </c>
      <c r="S273" s="5"/>
      <c r="T273" t="s">
        <v>72</v>
      </c>
      <c r="U273" t="s">
        <v>102</v>
      </c>
      <c r="V273" t="s">
        <v>74</v>
      </c>
      <c r="W273" t="s">
        <v>87</v>
      </c>
      <c r="AE273" s="2"/>
      <c r="AF273" s="2"/>
      <c r="AG273" s="2"/>
      <c r="AH273" s="2"/>
      <c r="AK273" t="s">
        <v>1228</v>
      </c>
      <c r="AL273" s="2">
        <v>5800000</v>
      </c>
      <c r="AM273" s="2">
        <v>2320000</v>
      </c>
      <c r="AN273" s="2"/>
      <c r="AO273" s="2">
        <v>0</v>
      </c>
      <c r="AP273" s="2">
        <v>3480000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4"/>
      <c r="AX273" t="s">
        <v>75</v>
      </c>
      <c r="AZ273" t="s">
        <v>241</v>
      </c>
      <c r="BA273" t="s">
        <v>67</v>
      </c>
      <c r="BB273" t="s">
        <v>242</v>
      </c>
      <c r="BC273" t="s">
        <v>204</v>
      </c>
      <c r="BD273" t="s">
        <v>79</v>
      </c>
      <c r="BE273" t="s">
        <v>198</v>
      </c>
      <c r="BF273" s="5">
        <v>46753</v>
      </c>
      <c r="BH273">
        <v>3</v>
      </c>
      <c r="BI273" s="6">
        <v>495000</v>
      </c>
      <c r="BJ273" s="6">
        <v>0</v>
      </c>
      <c r="BK273" s="6">
        <v>0</v>
      </c>
      <c r="BL273" s="6">
        <v>495000</v>
      </c>
      <c r="BM273" s="2">
        <v>1485000</v>
      </c>
      <c r="BN273">
        <f>InvoiceTable[[#This Row],[Giảm giá]]*InvoiceTable[[#This Row],[Số lượng]]</f>
        <v>0</v>
      </c>
    </row>
    <row r="274" spans="1:66" x14ac:dyDescent="0.25">
      <c r="A274" t="s">
        <v>65</v>
      </c>
      <c r="B274" t="s">
        <v>1232</v>
      </c>
      <c r="F274" s="2"/>
      <c r="G274" s="3">
        <v>46013.673291400461</v>
      </c>
      <c r="H274" s="3">
        <v>46013.673291550927</v>
      </c>
      <c r="I274" s="4" t="s">
        <v>67</v>
      </c>
      <c r="J274" t="s">
        <v>67</v>
      </c>
      <c r="K274" t="s">
        <v>67</v>
      </c>
      <c r="L274" t="s">
        <v>1233</v>
      </c>
      <c r="M274" t="s">
        <v>1234</v>
      </c>
      <c r="N274" t="s">
        <v>67</v>
      </c>
      <c r="O274" t="s">
        <v>1235</v>
      </c>
      <c r="P274" t="s">
        <v>1236</v>
      </c>
      <c r="Q274" t="s">
        <v>67</v>
      </c>
      <c r="R274" t="s">
        <v>67</v>
      </c>
      <c r="S274" s="5"/>
      <c r="T274" t="s">
        <v>72</v>
      </c>
      <c r="U274" t="s">
        <v>87</v>
      </c>
      <c r="V274" t="s">
        <v>74</v>
      </c>
      <c r="W274" t="s">
        <v>87</v>
      </c>
      <c r="AE274" s="2"/>
      <c r="AF274" s="2"/>
      <c r="AG274" s="2"/>
      <c r="AH274" s="2"/>
      <c r="AL274" s="2">
        <v>6490000</v>
      </c>
      <c r="AM274" s="2">
        <v>0</v>
      </c>
      <c r="AN274" s="2"/>
      <c r="AO274" s="2">
        <v>0</v>
      </c>
      <c r="AP274" s="2">
        <v>6490000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4"/>
      <c r="AX274" t="s">
        <v>75</v>
      </c>
      <c r="AZ274" t="s">
        <v>424</v>
      </c>
      <c r="BA274" t="s">
        <v>67</v>
      </c>
      <c r="BB274" t="s">
        <v>425</v>
      </c>
      <c r="BC274" t="s">
        <v>426</v>
      </c>
      <c r="BD274" t="s">
        <v>79</v>
      </c>
      <c r="BE274" t="s">
        <v>198</v>
      </c>
      <c r="BF274" s="5">
        <v>46753</v>
      </c>
      <c r="BH274">
        <v>20</v>
      </c>
      <c r="BI274" s="6">
        <v>590000</v>
      </c>
      <c r="BJ274" s="6">
        <v>45</v>
      </c>
      <c r="BK274" s="6">
        <v>265500</v>
      </c>
      <c r="BL274" s="6">
        <v>324500</v>
      </c>
      <c r="BM274" s="2">
        <v>6490000</v>
      </c>
      <c r="BN274">
        <f>InvoiceTable[[#This Row],[Giảm giá]]*InvoiceTable[[#This Row],[Số lượng]]</f>
        <v>5310000</v>
      </c>
    </row>
    <row r="275" spans="1:66" x14ac:dyDescent="0.25">
      <c r="A275" t="s">
        <v>65</v>
      </c>
      <c r="B275" t="s">
        <v>1237</v>
      </c>
      <c r="F275" s="2"/>
      <c r="G275" s="3">
        <v>46013.668687268517</v>
      </c>
      <c r="H275" s="3">
        <v>46013.668675810186</v>
      </c>
      <c r="I275" s="4" t="s">
        <v>1050</v>
      </c>
      <c r="J275" t="s">
        <v>67</v>
      </c>
      <c r="K275" t="s">
        <v>67</v>
      </c>
      <c r="L275" t="s">
        <v>1238</v>
      </c>
      <c r="M275" t="s">
        <v>1239</v>
      </c>
      <c r="N275" t="s">
        <v>67</v>
      </c>
      <c r="O275" t="s">
        <v>67</v>
      </c>
      <c r="Q275" t="s">
        <v>67</v>
      </c>
      <c r="R275" t="s">
        <v>67</v>
      </c>
      <c r="S275" s="5"/>
      <c r="T275" t="s">
        <v>72</v>
      </c>
      <c r="U275" t="s">
        <v>87</v>
      </c>
      <c r="V275" t="s">
        <v>74</v>
      </c>
      <c r="W275" t="s">
        <v>87</v>
      </c>
      <c r="AE275" s="2"/>
      <c r="AF275" s="2"/>
      <c r="AG275" s="2"/>
      <c r="AH275" s="2"/>
      <c r="AL275" s="2">
        <v>1875000</v>
      </c>
      <c r="AM275" s="2">
        <v>0</v>
      </c>
      <c r="AN275" s="2"/>
      <c r="AO275" s="2">
        <v>0</v>
      </c>
      <c r="AP275" s="2">
        <v>1875000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4"/>
      <c r="AX275" t="s">
        <v>75</v>
      </c>
      <c r="AZ275" t="s">
        <v>808</v>
      </c>
      <c r="BA275" t="s">
        <v>67</v>
      </c>
      <c r="BB275" t="s">
        <v>809</v>
      </c>
      <c r="BC275" t="s">
        <v>78</v>
      </c>
      <c r="BD275" t="s">
        <v>79</v>
      </c>
      <c r="BE275" t="s">
        <v>810</v>
      </c>
      <c r="BF275" s="5">
        <v>46539</v>
      </c>
      <c r="BH275">
        <v>1</v>
      </c>
      <c r="BI275" s="6">
        <v>3750000</v>
      </c>
      <c r="BJ275" s="6">
        <v>50</v>
      </c>
      <c r="BK275" s="6">
        <v>1875000</v>
      </c>
      <c r="BL275" s="6">
        <v>1875000</v>
      </c>
      <c r="BM275" s="2">
        <v>1875000</v>
      </c>
      <c r="BN275">
        <f>InvoiceTable[[#This Row],[Giảm giá]]*InvoiceTable[[#This Row],[Số lượng]]</f>
        <v>1875000</v>
      </c>
    </row>
    <row r="276" spans="1:66" x14ac:dyDescent="0.25">
      <c r="A276" t="s">
        <v>65</v>
      </c>
      <c r="B276" t="s">
        <v>1240</v>
      </c>
      <c r="F276" s="2"/>
      <c r="G276" s="3">
        <v>46013.665095173608</v>
      </c>
      <c r="H276" s="3">
        <v>46013.665072187498</v>
      </c>
      <c r="I276" s="4" t="s">
        <v>844</v>
      </c>
      <c r="J276" t="s">
        <v>1241</v>
      </c>
      <c r="K276" t="s">
        <v>67</v>
      </c>
      <c r="L276" t="s">
        <v>1109</v>
      </c>
      <c r="M276" t="s">
        <v>1110</v>
      </c>
      <c r="N276" t="s">
        <v>1111</v>
      </c>
      <c r="O276" t="s">
        <v>1112</v>
      </c>
      <c r="P276" t="s">
        <v>1113</v>
      </c>
      <c r="Q276" t="s">
        <v>1114</v>
      </c>
      <c r="R276" t="s">
        <v>1115</v>
      </c>
      <c r="S276" s="5"/>
      <c r="T276" t="s">
        <v>72</v>
      </c>
      <c r="U276" t="s">
        <v>102</v>
      </c>
      <c r="V276" t="s">
        <v>74</v>
      </c>
      <c r="W276" t="s">
        <v>87</v>
      </c>
      <c r="AE276" s="2"/>
      <c r="AF276" s="2"/>
      <c r="AG276" s="2"/>
      <c r="AH276" s="2"/>
      <c r="AK276" t="s">
        <v>1242</v>
      </c>
      <c r="AL276" s="2">
        <v>950000</v>
      </c>
      <c r="AM276" s="2">
        <v>0</v>
      </c>
      <c r="AN276" s="2"/>
      <c r="AO276" s="2">
        <v>0</v>
      </c>
      <c r="AP276" s="2">
        <v>950000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4"/>
      <c r="AX276" t="s">
        <v>75</v>
      </c>
      <c r="AZ276" t="s">
        <v>480</v>
      </c>
      <c r="BA276" t="s">
        <v>67</v>
      </c>
      <c r="BB276" t="s">
        <v>481</v>
      </c>
      <c r="BC276" t="s">
        <v>90</v>
      </c>
      <c r="BD276" t="s">
        <v>79</v>
      </c>
      <c r="BE276" t="s">
        <v>482</v>
      </c>
      <c r="BF276" s="5">
        <v>46773</v>
      </c>
      <c r="BG276" t="s">
        <v>67</v>
      </c>
      <c r="BH276">
        <v>1</v>
      </c>
      <c r="BI276" s="6">
        <v>1800000</v>
      </c>
      <c r="BJ276" s="6">
        <v>0</v>
      </c>
      <c r="BK276" s="6">
        <v>850000</v>
      </c>
      <c r="BL276" s="6">
        <v>950000</v>
      </c>
      <c r="BM276" s="2">
        <v>950000</v>
      </c>
      <c r="BN276">
        <f>InvoiceTable[[#This Row],[Giảm giá]]*InvoiceTable[[#This Row],[Số lượng]]</f>
        <v>850000</v>
      </c>
    </row>
    <row r="277" spans="1:66" x14ac:dyDescent="0.25">
      <c r="A277" t="s">
        <v>65</v>
      </c>
      <c r="B277" t="s">
        <v>1243</v>
      </c>
      <c r="F277" s="2"/>
      <c r="G277" s="3">
        <v>46013.664010219909</v>
      </c>
      <c r="H277" s="3">
        <v>46013.663964004627</v>
      </c>
      <c r="I277" s="4" t="s">
        <v>96</v>
      </c>
      <c r="J277" t="s">
        <v>67</v>
      </c>
      <c r="K277" t="s">
        <v>67</v>
      </c>
      <c r="L277" t="s">
        <v>1244</v>
      </c>
      <c r="M277" t="s">
        <v>1245</v>
      </c>
      <c r="N277" t="s">
        <v>67</v>
      </c>
      <c r="O277" t="s">
        <v>1246</v>
      </c>
      <c r="P277" t="s">
        <v>1247</v>
      </c>
      <c r="S277" s="5"/>
      <c r="T277" t="s">
        <v>72</v>
      </c>
      <c r="U277" t="s">
        <v>87</v>
      </c>
      <c r="V277" t="s">
        <v>74</v>
      </c>
      <c r="W277" t="s">
        <v>87</v>
      </c>
      <c r="AE277" s="2"/>
      <c r="AF277" s="2"/>
      <c r="AG277" s="2"/>
      <c r="AH277" s="2"/>
      <c r="AK277" t="s">
        <v>1248</v>
      </c>
      <c r="AL277" s="2">
        <v>2030000</v>
      </c>
      <c r="AM277" s="2">
        <v>0</v>
      </c>
      <c r="AN277" s="2"/>
      <c r="AO277" s="2">
        <v>0</v>
      </c>
      <c r="AP277" s="2">
        <v>2030000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4"/>
      <c r="AX277" t="s">
        <v>75</v>
      </c>
      <c r="AZ277" t="s">
        <v>573</v>
      </c>
      <c r="BA277" t="s">
        <v>67</v>
      </c>
      <c r="BB277" t="s">
        <v>89</v>
      </c>
      <c r="BC277" t="s">
        <v>90</v>
      </c>
      <c r="BF277" s="5"/>
      <c r="BG277" t="s">
        <v>67</v>
      </c>
      <c r="BH277">
        <v>1</v>
      </c>
      <c r="BI277" s="6">
        <v>35000</v>
      </c>
      <c r="BJ277" s="6">
        <v>0</v>
      </c>
      <c r="BK277" s="6">
        <v>0</v>
      </c>
      <c r="BL277" s="6">
        <v>35000</v>
      </c>
      <c r="BM277" s="2">
        <v>35000</v>
      </c>
      <c r="BN277">
        <f>InvoiceTable[[#This Row],[Giảm giá]]*InvoiceTable[[#This Row],[Số lượng]]</f>
        <v>0</v>
      </c>
    </row>
    <row r="278" spans="1:66" x14ac:dyDescent="0.25">
      <c r="A278" t="s">
        <v>65</v>
      </c>
      <c r="B278" t="s">
        <v>1243</v>
      </c>
      <c r="F278" s="2"/>
      <c r="G278" s="3">
        <v>46013.664010219909</v>
      </c>
      <c r="H278" s="3">
        <v>46013.663964004627</v>
      </c>
      <c r="I278" s="4" t="s">
        <v>96</v>
      </c>
      <c r="J278" t="s">
        <v>67</v>
      </c>
      <c r="K278" t="s">
        <v>67</v>
      </c>
      <c r="L278" t="s">
        <v>1244</v>
      </c>
      <c r="M278" t="s">
        <v>1245</v>
      </c>
      <c r="N278" t="s">
        <v>67</v>
      </c>
      <c r="O278" t="s">
        <v>1246</v>
      </c>
      <c r="P278" t="s">
        <v>1247</v>
      </c>
      <c r="S278" s="5"/>
      <c r="T278" t="s">
        <v>72</v>
      </c>
      <c r="U278" t="s">
        <v>87</v>
      </c>
      <c r="V278" t="s">
        <v>74</v>
      </c>
      <c r="W278" t="s">
        <v>87</v>
      </c>
      <c r="AE278" s="2"/>
      <c r="AF278" s="2"/>
      <c r="AG278" s="2"/>
      <c r="AH278" s="2"/>
      <c r="AK278" t="s">
        <v>1248</v>
      </c>
      <c r="AL278" s="2">
        <v>2030000</v>
      </c>
      <c r="AM278" s="2">
        <v>0</v>
      </c>
      <c r="AN278" s="2"/>
      <c r="AO278" s="2">
        <v>0</v>
      </c>
      <c r="AP278" s="2">
        <v>2030000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4"/>
      <c r="AX278" t="s">
        <v>75</v>
      </c>
      <c r="AZ278" t="s">
        <v>1249</v>
      </c>
      <c r="BA278" t="s">
        <v>67</v>
      </c>
      <c r="BB278" t="s">
        <v>1250</v>
      </c>
      <c r="BC278" t="s">
        <v>497</v>
      </c>
      <c r="BD278" t="s">
        <v>79</v>
      </c>
      <c r="BE278" t="s">
        <v>810</v>
      </c>
      <c r="BF278" s="5">
        <v>46539</v>
      </c>
      <c r="BH278">
        <v>3</v>
      </c>
      <c r="BI278" s="6">
        <v>240000</v>
      </c>
      <c r="BJ278" s="6">
        <v>0</v>
      </c>
      <c r="BK278" s="6">
        <v>175000</v>
      </c>
      <c r="BL278" s="6">
        <v>65000</v>
      </c>
      <c r="BM278" s="2">
        <v>195000</v>
      </c>
      <c r="BN278">
        <f>InvoiceTable[[#This Row],[Giảm giá]]*InvoiceTable[[#This Row],[Số lượng]]</f>
        <v>525000</v>
      </c>
    </row>
    <row r="279" spans="1:66" x14ac:dyDescent="0.25">
      <c r="A279" t="s">
        <v>65</v>
      </c>
      <c r="B279" t="s">
        <v>1243</v>
      </c>
      <c r="F279" s="2"/>
      <c r="G279" s="3">
        <v>46013.664010219909</v>
      </c>
      <c r="H279" s="3">
        <v>46013.663964004627</v>
      </c>
      <c r="I279" s="4" t="s">
        <v>96</v>
      </c>
      <c r="J279" t="s">
        <v>67</v>
      </c>
      <c r="K279" t="s">
        <v>67</v>
      </c>
      <c r="L279" t="s">
        <v>1244</v>
      </c>
      <c r="M279" t="s">
        <v>1245</v>
      </c>
      <c r="N279" t="s">
        <v>67</v>
      </c>
      <c r="O279" t="s">
        <v>1246</v>
      </c>
      <c r="P279" t="s">
        <v>1247</v>
      </c>
      <c r="S279" s="5"/>
      <c r="T279" t="s">
        <v>72</v>
      </c>
      <c r="U279" t="s">
        <v>87</v>
      </c>
      <c r="V279" t="s">
        <v>74</v>
      </c>
      <c r="W279" t="s">
        <v>87</v>
      </c>
      <c r="AE279" s="2"/>
      <c r="AF279" s="2"/>
      <c r="AG279" s="2"/>
      <c r="AH279" s="2"/>
      <c r="AK279" t="s">
        <v>1248</v>
      </c>
      <c r="AL279" s="2">
        <v>2030000</v>
      </c>
      <c r="AM279" s="2">
        <v>0</v>
      </c>
      <c r="AN279" s="2"/>
      <c r="AO279" s="2">
        <v>0</v>
      </c>
      <c r="AP279" s="2">
        <v>2030000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4"/>
      <c r="AX279" t="s">
        <v>75</v>
      </c>
      <c r="AZ279" t="s">
        <v>1251</v>
      </c>
      <c r="BA279" t="s">
        <v>67</v>
      </c>
      <c r="BB279" t="s">
        <v>1252</v>
      </c>
      <c r="BC279" t="s">
        <v>126</v>
      </c>
      <c r="BD279" t="s">
        <v>79</v>
      </c>
      <c r="BE279" t="s">
        <v>155</v>
      </c>
      <c r="BF279" s="5">
        <v>46600</v>
      </c>
      <c r="BH279">
        <v>30</v>
      </c>
      <c r="BI279" s="6">
        <v>270000</v>
      </c>
      <c r="BJ279" s="6">
        <v>0</v>
      </c>
      <c r="BK279" s="6">
        <v>210000</v>
      </c>
      <c r="BL279" s="6">
        <v>60000</v>
      </c>
      <c r="BM279" s="2">
        <v>1800000</v>
      </c>
      <c r="BN279">
        <f>InvoiceTable[[#This Row],[Giảm giá]]*InvoiceTable[[#This Row],[Số lượng]]</f>
        <v>6300000</v>
      </c>
    </row>
    <row r="280" spans="1:66" x14ac:dyDescent="0.25">
      <c r="A280" t="s">
        <v>65</v>
      </c>
      <c r="B280" t="s">
        <v>1253</v>
      </c>
      <c r="F280" s="2"/>
      <c r="G280" s="3">
        <v>46013.662214733798</v>
      </c>
      <c r="H280" s="3">
        <v>46013.662214849537</v>
      </c>
      <c r="I280" s="4" t="s">
        <v>67</v>
      </c>
      <c r="J280" t="s">
        <v>67</v>
      </c>
      <c r="K280" t="s">
        <v>67</v>
      </c>
      <c r="L280" t="s">
        <v>1244</v>
      </c>
      <c r="M280" t="s">
        <v>1245</v>
      </c>
      <c r="N280" t="s">
        <v>67</v>
      </c>
      <c r="O280" t="s">
        <v>1246</v>
      </c>
      <c r="P280" t="s">
        <v>1247</v>
      </c>
      <c r="S280" s="5"/>
      <c r="T280" t="s">
        <v>72</v>
      </c>
      <c r="U280" t="s">
        <v>87</v>
      </c>
      <c r="V280" t="s">
        <v>74</v>
      </c>
      <c r="W280" t="s">
        <v>87</v>
      </c>
      <c r="AE280" s="2"/>
      <c r="AF280" s="2"/>
      <c r="AG280" s="2"/>
      <c r="AH280" s="2"/>
      <c r="AL280" s="2">
        <v>564000</v>
      </c>
      <c r="AM280" s="2">
        <v>0</v>
      </c>
      <c r="AN280" s="2"/>
      <c r="AO280" s="2">
        <v>0</v>
      </c>
      <c r="AP280" s="2">
        <v>564000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4"/>
      <c r="AX280" t="s">
        <v>75</v>
      </c>
      <c r="AZ280" t="s">
        <v>1254</v>
      </c>
      <c r="BA280" t="s">
        <v>67</v>
      </c>
      <c r="BB280" t="s">
        <v>1255</v>
      </c>
      <c r="BC280" t="s">
        <v>215</v>
      </c>
      <c r="BD280" t="s">
        <v>79</v>
      </c>
      <c r="BE280" t="s">
        <v>378</v>
      </c>
      <c r="BF280" s="5">
        <v>46997</v>
      </c>
      <c r="BH280">
        <v>1</v>
      </c>
      <c r="BI280" s="6">
        <v>1175000</v>
      </c>
      <c r="BJ280" s="6">
        <v>52</v>
      </c>
      <c r="BK280" s="6">
        <v>611000</v>
      </c>
      <c r="BL280" s="6">
        <v>564000</v>
      </c>
      <c r="BM280" s="2">
        <v>564000</v>
      </c>
      <c r="BN280">
        <f>InvoiceTable[[#This Row],[Giảm giá]]*InvoiceTable[[#This Row],[Số lượng]]</f>
        <v>611000</v>
      </c>
    </row>
    <row r="281" spans="1:66" x14ac:dyDescent="0.25">
      <c r="A281" t="s">
        <v>65</v>
      </c>
      <c r="B281" t="s">
        <v>1256</v>
      </c>
      <c r="F281" s="2"/>
      <c r="G281" s="3">
        <v>46013.652995023149</v>
      </c>
      <c r="H281" s="3">
        <v>46013.652995173608</v>
      </c>
      <c r="I281" s="4" t="s">
        <v>67</v>
      </c>
      <c r="J281" t="s">
        <v>67</v>
      </c>
      <c r="K281" t="s">
        <v>67</v>
      </c>
      <c r="L281" t="s">
        <v>1257</v>
      </c>
      <c r="M281" t="s">
        <v>1258</v>
      </c>
      <c r="N281" t="s">
        <v>67</v>
      </c>
      <c r="O281" t="s">
        <v>1259</v>
      </c>
      <c r="P281" t="s">
        <v>1260</v>
      </c>
      <c r="S281" s="5"/>
      <c r="T281" t="s">
        <v>72</v>
      </c>
      <c r="U281" t="s">
        <v>87</v>
      </c>
      <c r="V281" t="s">
        <v>74</v>
      </c>
      <c r="W281" t="s">
        <v>87</v>
      </c>
      <c r="AE281" s="2"/>
      <c r="AF281" s="2"/>
      <c r="AG281" s="2"/>
      <c r="AH281" s="2"/>
      <c r="AK281" t="s">
        <v>1261</v>
      </c>
      <c r="AL281" s="2">
        <v>3950000</v>
      </c>
      <c r="AM281" s="2">
        <v>0</v>
      </c>
      <c r="AN281" s="2"/>
      <c r="AO281" s="2">
        <v>0</v>
      </c>
      <c r="AP281" s="2">
        <v>3950000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4"/>
      <c r="AX281" t="s">
        <v>75</v>
      </c>
      <c r="AZ281" t="s">
        <v>1262</v>
      </c>
      <c r="BA281" t="s">
        <v>67</v>
      </c>
      <c r="BB281" t="s">
        <v>1263</v>
      </c>
      <c r="BC281" t="s">
        <v>1264</v>
      </c>
      <c r="BD281" t="s">
        <v>79</v>
      </c>
      <c r="BE281" t="s">
        <v>378</v>
      </c>
      <c r="BF281" s="5">
        <v>46997</v>
      </c>
      <c r="BH281">
        <v>10</v>
      </c>
      <c r="BI281" s="6">
        <v>898000</v>
      </c>
      <c r="BJ281" s="6">
        <v>0</v>
      </c>
      <c r="BK281" s="6">
        <v>503000</v>
      </c>
      <c r="BL281" s="6">
        <v>395000</v>
      </c>
      <c r="BM281" s="2">
        <v>3950000</v>
      </c>
      <c r="BN281">
        <f>InvoiceTable[[#This Row],[Giảm giá]]*InvoiceTable[[#This Row],[Số lượng]]</f>
        <v>5030000</v>
      </c>
    </row>
    <row r="282" spans="1:66" x14ac:dyDescent="0.25">
      <c r="A282" t="s">
        <v>65</v>
      </c>
      <c r="B282" t="s">
        <v>1265</v>
      </c>
      <c r="F282" s="2"/>
      <c r="G282" s="3">
        <v>46013.65031203704</v>
      </c>
      <c r="H282" s="3">
        <v>46013.650312118058</v>
      </c>
      <c r="I282" s="4" t="s">
        <v>67</v>
      </c>
      <c r="J282" t="s">
        <v>67</v>
      </c>
      <c r="K282" t="s">
        <v>67</v>
      </c>
      <c r="L282" t="s">
        <v>876</v>
      </c>
      <c r="M282" t="s">
        <v>877</v>
      </c>
      <c r="N282" t="s">
        <v>67</v>
      </c>
      <c r="O282" t="s">
        <v>878</v>
      </c>
      <c r="P282" t="s">
        <v>879</v>
      </c>
      <c r="Q282" t="s">
        <v>880</v>
      </c>
      <c r="R282" t="s">
        <v>881</v>
      </c>
      <c r="S282" s="5"/>
      <c r="T282" t="s">
        <v>72</v>
      </c>
      <c r="U282" t="s">
        <v>87</v>
      </c>
      <c r="V282" t="s">
        <v>74</v>
      </c>
      <c r="W282" t="s">
        <v>87</v>
      </c>
      <c r="AE282" s="2"/>
      <c r="AF282" s="2"/>
      <c r="AG282" s="2"/>
      <c r="AH282" s="2"/>
      <c r="AL282" s="2">
        <v>112871440</v>
      </c>
      <c r="AM282" s="2">
        <v>0</v>
      </c>
      <c r="AN282" s="2"/>
      <c r="AO282" s="2">
        <v>0</v>
      </c>
      <c r="AP282" s="2">
        <v>112871440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4"/>
      <c r="AX282" t="s">
        <v>75</v>
      </c>
      <c r="AZ282" t="s">
        <v>1266</v>
      </c>
      <c r="BA282" t="s">
        <v>67</v>
      </c>
      <c r="BB282" t="s">
        <v>1267</v>
      </c>
      <c r="BC282" t="s">
        <v>770</v>
      </c>
      <c r="BD282" t="s">
        <v>79</v>
      </c>
      <c r="BE282" t="s">
        <v>177</v>
      </c>
      <c r="BF282" s="5">
        <v>47027</v>
      </c>
      <c r="BH282">
        <v>2</v>
      </c>
      <c r="BI282" s="6">
        <v>686000</v>
      </c>
      <c r="BJ282" s="6">
        <v>48</v>
      </c>
      <c r="BK282" s="6">
        <v>329280</v>
      </c>
      <c r="BL282" s="6">
        <v>356720</v>
      </c>
      <c r="BM282" s="2">
        <v>713440</v>
      </c>
      <c r="BN282">
        <f>InvoiceTable[[#This Row],[Giảm giá]]*InvoiceTable[[#This Row],[Số lượng]]</f>
        <v>658560</v>
      </c>
    </row>
    <row r="283" spans="1:66" x14ac:dyDescent="0.25">
      <c r="A283" t="s">
        <v>65</v>
      </c>
      <c r="B283" t="s">
        <v>1265</v>
      </c>
      <c r="F283" s="2"/>
      <c r="G283" s="3">
        <v>46013.65031203704</v>
      </c>
      <c r="H283" s="3">
        <v>46013.650312118058</v>
      </c>
      <c r="I283" s="4" t="s">
        <v>67</v>
      </c>
      <c r="J283" t="s">
        <v>67</v>
      </c>
      <c r="K283" t="s">
        <v>67</v>
      </c>
      <c r="L283" t="s">
        <v>876</v>
      </c>
      <c r="M283" t="s">
        <v>877</v>
      </c>
      <c r="N283" t="s">
        <v>67</v>
      </c>
      <c r="O283" t="s">
        <v>878</v>
      </c>
      <c r="P283" t="s">
        <v>879</v>
      </c>
      <c r="Q283" t="s">
        <v>880</v>
      </c>
      <c r="R283" t="s">
        <v>881</v>
      </c>
      <c r="S283" s="5"/>
      <c r="T283" t="s">
        <v>72</v>
      </c>
      <c r="U283" t="s">
        <v>87</v>
      </c>
      <c r="V283" t="s">
        <v>74</v>
      </c>
      <c r="W283" t="s">
        <v>87</v>
      </c>
      <c r="AE283" s="2"/>
      <c r="AF283" s="2"/>
      <c r="AG283" s="2"/>
      <c r="AH283" s="2"/>
      <c r="AL283" s="2">
        <v>112871440</v>
      </c>
      <c r="AM283" s="2">
        <v>0</v>
      </c>
      <c r="AN283" s="2"/>
      <c r="AO283" s="2">
        <v>0</v>
      </c>
      <c r="AP283" s="2">
        <v>112871440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4"/>
      <c r="AX283" t="s">
        <v>75</v>
      </c>
      <c r="AZ283" t="s">
        <v>1268</v>
      </c>
      <c r="BA283" t="s">
        <v>67</v>
      </c>
      <c r="BB283" t="s">
        <v>1269</v>
      </c>
      <c r="BC283" t="s">
        <v>770</v>
      </c>
      <c r="BD283" t="s">
        <v>79</v>
      </c>
      <c r="BE283" t="s">
        <v>715</v>
      </c>
      <c r="BF283" s="5">
        <v>46631</v>
      </c>
      <c r="BH283">
        <v>10</v>
      </c>
      <c r="BI283" s="6">
        <v>690000</v>
      </c>
      <c r="BJ283" s="6">
        <v>48</v>
      </c>
      <c r="BK283" s="6">
        <v>331200</v>
      </c>
      <c r="BL283" s="6">
        <v>358800</v>
      </c>
      <c r="BM283" s="2">
        <v>3588000</v>
      </c>
      <c r="BN283">
        <f>InvoiceTable[[#This Row],[Giảm giá]]*InvoiceTable[[#This Row],[Số lượng]]</f>
        <v>3312000</v>
      </c>
    </row>
    <row r="284" spans="1:66" x14ac:dyDescent="0.25">
      <c r="A284" t="s">
        <v>65</v>
      </c>
      <c r="B284" t="s">
        <v>1265</v>
      </c>
      <c r="F284" s="2"/>
      <c r="G284" s="3">
        <v>46013.65031203704</v>
      </c>
      <c r="H284" s="3">
        <v>46013.650312118058</v>
      </c>
      <c r="I284" s="4" t="s">
        <v>67</v>
      </c>
      <c r="J284" t="s">
        <v>67</v>
      </c>
      <c r="K284" t="s">
        <v>67</v>
      </c>
      <c r="L284" t="s">
        <v>876</v>
      </c>
      <c r="M284" t="s">
        <v>877</v>
      </c>
      <c r="N284" t="s">
        <v>67</v>
      </c>
      <c r="O284" t="s">
        <v>878</v>
      </c>
      <c r="P284" t="s">
        <v>879</v>
      </c>
      <c r="Q284" t="s">
        <v>880</v>
      </c>
      <c r="R284" t="s">
        <v>881</v>
      </c>
      <c r="S284" s="5"/>
      <c r="T284" t="s">
        <v>72</v>
      </c>
      <c r="U284" t="s">
        <v>87</v>
      </c>
      <c r="V284" t="s">
        <v>74</v>
      </c>
      <c r="W284" t="s">
        <v>87</v>
      </c>
      <c r="AE284" s="2"/>
      <c r="AF284" s="2"/>
      <c r="AG284" s="2"/>
      <c r="AH284" s="2"/>
      <c r="AL284" s="2">
        <v>112871440</v>
      </c>
      <c r="AM284" s="2">
        <v>0</v>
      </c>
      <c r="AN284" s="2"/>
      <c r="AO284" s="2">
        <v>0</v>
      </c>
      <c r="AP284" s="2">
        <v>112871440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4"/>
      <c r="AX284" t="s">
        <v>75</v>
      </c>
      <c r="AZ284" t="s">
        <v>515</v>
      </c>
      <c r="BA284" t="s">
        <v>67</v>
      </c>
      <c r="BB284" t="s">
        <v>516</v>
      </c>
      <c r="BC284" t="s">
        <v>78</v>
      </c>
      <c r="BD284" t="s">
        <v>79</v>
      </c>
      <c r="BE284" t="s">
        <v>517</v>
      </c>
      <c r="BF284" s="5">
        <v>47665</v>
      </c>
      <c r="BG284" t="s">
        <v>67</v>
      </c>
      <c r="BH284">
        <v>10</v>
      </c>
      <c r="BI284" s="6">
        <v>3700000</v>
      </c>
      <c r="BJ284" s="6">
        <v>53</v>
      </c>
      <c r="BK284" s="6">
        <v>1961000</v>
      </c>
      <c r="BL284" s="6">
        <v>1739000</v>
      </c>
      <c r="BM284" s="2">
        <v>17390000</v>
      </c>
      <c r="BN284">
        <f>InvoiceTable[[#This Row],[Giảm giá]]*InvoiceTable[[#This Row],[Số lượng]]</f>
        <v>19610000</v>
      </c>
    </row>
    <row r="285" spans="1:66" x14ac:dyDescent="0.25">
      <c r="A285" t="s">
        <v>65</v>
      </c>
      <c r="B285" t="s">
        <v>1265</v>
      </c>
      <c r="F285" s="2"/>
      <c r="G285" s="3">
        <v>46013.65031203704</v>
      </c>
      <c r="H285" s="3">
        <v>46013.650312118058</v>
      </c>
      <c r="I285" s="4" t="s">
        <v>67</v>
      </c>
      <c r="J285" t="s">
        <v>67</v>
      </c>
      <c r="K285" t="s">
        <v>67</v>
      </c>
      <c r="L285" t="s">
        <v>876</v>
      </c>
      <c r="M285" t="s">
        <v>877</v>
      </c>
      <c r="N285" t="s">
        <v>67</v>
      </c>
      <c r="O285" t="s">
        <v>878</v>
      </c>
      <c r="P285" t="s">
        <v>879</v>
      </c>
      <c r="Q285" t="s">
        <v>880</v>
      </c>
      <c r="R285" t="s">
        <v>881</v>
      </c>
      <c r="S285" s="5"/>
      <c r="T285" t="s">
        <v>72</v>
      </c>
      <c r="U285" t="s">
        <v>87</v>
      </c>
      <c r="V285" t="s">
        <v>74</v>
      </c>
      <c r="W285" t="s">
        <v>87</v>
      </c>
      <c r="AE285" s="2"/>
      <c r="AF285" s="2"/>
      <c r="AG285" s="2"/>
      <c r="AH285" s="2"/>
      <c r="AL285" s="2">
        <v>112871440</v>
      </c>
      <c r="AM285" s="2">
        <v>0</v>
      </c>
      <c r="AN285" s="2"/>
      <c r="AO285" s="2">
        <v>0</v>
      </c>
      <c r="AP285" s="2">
        <v>112871440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4"/>
      <c r="AX285" t="s">
        <v>75</v>
      </c>
      <c r="AZ285" t="s">
        <v>518</v>
      </c>
      <c r="BA285" t="s">
        <v>67</v>
      </c>
      <c r="BB285" t="s">
        <v>519</v>
      </c>
      <c r="BC285" t="s">
        <v>78</v>
      </c>
      <c r="BD285" t="s">
        <v>79</v>
      </c>
      <c r="BE285" t="s">
        <v>517</v>
      </c>
      <c r="BF285" s="5">
        <v>47665</v>
      </c>
      <c r="BH285">
        <v>10</v>
      </c>
      <c r="BI285" s="6">
        <v>3500000</v>
      </c>
      <c r="BJ285" s="6">
        <v>53</v>
      </c>
      <c r="BK285" s="6">
        <v>1855000</v>
      </c>
      <c r="BL285" s="6">
        <v>1645000</v>
      </c>
      <c r="BM285" s="2">
        <v>16450000</v>
      </c>
      <c r="BN285">
        <f>InvoiceTable[[#This Row],[Giảm giá]]*InvoiceTable[[#This Row],[Số lượng]]</f>
        <v>18550000</v>
      </c>
    </row>
    <row r="286" spans="1:66" x14ac:dyDescent="0.25">
      <c r="A286" t="s">
        <v>65</v>
      </c>
      <c r="B286" t="s">
        <v>1265</v>
      </c>
      <c r="F286" s="2"/>
      <c r="G286" s="3">
        <v>46013.65031203704</v>
      </c>
      <c r="H286" s="3">
        <v>46013.650312118058</v>
      </c>
      <c r="I286" s="4" t="s">
        <v>67</v>
      </c>
      <c r="J286" t="s">
        <v>67</v>
      </c>
      <c r="K286" t="s">
        <v>67</v>
      </c>
      <c r="L286" t="s">
        <v>876</v>
      </c>
      <c r="M286" t="s">
        <v>877</v>
      </c>
      <c r="N286" t="s">
        <v>67</v>
      </c>
      <c r="O286" t="s">
        <v>878</v>
      </c>
      <c r="P286" t="s">
        <v>879</v>
      </c>
      <c r="Q286" t="s">
        <v>880</v>
      </c>
      <c r="R286" t="s">
        <v>881</v>
      </c>
      <c r="S286" s="5"/>
      <c r="T286" t="s">
        <v>72</v>
      </c>
      <c r="U286" t="s">
        <v>87</v>
      </c>
      <c r="V286" t="s">
        <v>74</v>
      </c>
      <c r="W286" t="s">
        <v>87</v>
      </c>
      <c r="AE286" s="2"/>
      <c r="AF286" s="2"/>
      <c r="AG286" s="2"/>
      <c r="AH286" s="2"/>
      <c r="AL286" s="2">
        <v>112871440</v>
      </c>
      <c r="AM286" s="2">
        <v>0</v>
      </c>
      <c r="AN286" s="2"/>
      <c r="AO286" s="2">
        <v>0</v>
      </c>
      <c r="AP286" s="2">
        <v>112871440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4"/>
      <c r="AX286" t="s">
        <v>75</v>
      </c>
      <c r="AZ286" t="s">
        <v>806</v>
      </c>
      <c r="BA286" t="s">
        <v>67</v>
      </c>
      <c r="BB286" t="s">
        <v>807</v>
      </c>
      <c r="BC286" t="s">
        <v>78</v>
      </c>
      <c r="BD286" t="s">
        <v>79</v>
      </c>
      <c r="BE286" t="s">
        <v>188</v>
      </c>
      <c r="BF286" s="5">
        <v>46905</v>
      </c>
      <c r="BH286">
        <v>30</v>
      </c>
      <c r="BI286" s="6">
        <v>5300000</v>
      </c>
      <c r="BJ286" s="6">
        <v>53</v>
      </c>
      <c r="BK286" s="6">
        <v>2809000</v>
      </c>
      <c r="BL286" s="6">
        <v>2491000</v>
      </c>
      <c r="BM286" s="2">
        <v>74730000</v>
      </c>
      <c r="BN286">
        <f>InvoiceTable[[#This Row],[Giảm giá]]*InvoiceTable[[#This Row],[Số lượng]]</f>
        <v>84270000</v>
      </c>
    </row>
    <row r="287" spans="1:66" x14ac:dyDescent="0.25">
      <c r="A287" t="s">
        <v>65</v>
      </c>
      <c r="B287" t="s">
        <v>1270</v>
      </c>
      <c r="F287" s="2"/>
      <c r="G287" s="3">
        <v>46013.649117627312</v>
      </c>
      <c r="H287" s="3">
        <v>46013.64911770833</v>
      </c>
      <c r="I287" s="4" t="s">
        <v>67</v>
      </c>
      <c r="J287" t="s">
        <v>67</v>
      </c>
      <c r="K287" t="s">
        <v>67</v>
      </c>
      <c r="L287" t="s">
        <v>876</v>
      </c>
      <c r="M287" t="s">
        <v>877</v>
      </c>
      <c r="N287" t="s">
        <v>67</v>
      </c>
      <c r="O287" t="s">
        <v>878</v>
      </c>
      <c r="P287" t="s">
        <v>879</v>
      </c>
      <c r="Q287" t="s">
        <v>880</v>
      </c>
      <c r="R287" t="s">
        <v>881</v>
      </c>
      <c r="S287" s="5"/>
      <c r="T287" t="s">
        <v>72</v>
      </c>
      <c r="U287" t="s">
        <v>87</v>
      </c>
      <c r="V287" t="s">
        <v>74</v>
      </c>
      <c r="W287" t="s">
        <v>87</v>
      </c>
      <c r="AE287" s="2"/>
      <c r="AF287" s="2"/>
      <c r="AG287" s="2"/>
      <c r="AH287" s="2"/>
      <c r="AL287" s="2">
        <v>8100000</v>
      </c>
      <c r="AM287" s="2">
        <v>0</v>
      </c>
      <c r="AN287" s="2"/>
      <c r="AO287" s="2">
        <v>0</v>
      </c>
      <c r="AP287" s="2">
        <v>8100000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4"/>
      <c r="AX287" t="s">
        <v>75</v>
      </c>
      <c r="AZ287" t="s">
        <v>782</v>
      </c>
      <c r="BA287" t="s">
        <v>67</v>
      </c>
      <c r="BB287" t="s">
        <v>783</v>
      </c>
      <c r="BC287" t="s">
        <v>784</v>
      </c>
      <c r="BD287" t="s">
        <v>79</v>
      </c>
      <c r="BE287" t="s">
        <v>785</v>
      </c>
      <c r="BF287" s="5">
        <v>46507</v>
      </c>
      <c r="BH287">
        <v>3</v>
      </c>
      <c r="BI287" s="6">
        <v>3550000</v>
      </c>
      <c r="BJ287" s="6">
        <v>0</v>
      </c>
      <c r="BK287" s="6">
        <v>850000</v>
      </c>
      <c r="BL287" s="6">
        <v>2700000</v>
      </c>
      <c r="BM287" s="2">
        <v>8100000</v>
      </c>
      <c r="BN287">
        <f>InvoiceTable[[#This Row],[Giảm giá]]*InvoiceTable[[#This Row],[Số lượng]]</f>
        <v>2550000</v>
      </c>
    </row>
    <row r="288" spans="1:66" x14ac:dyDescent="0.25">
      <c r="A288" t="s">
        <v>65</v>
      </c>
      <c r="B288" t="s">
        <v>1271</v>
      </c>
      <c r="F288" s="2"/>
      <c r="G288" s="3">
        <v>46013.646576504631</v>
      </c>
      <c r="H288" s="3">
        <v>46013.646576620369</v>
      </c>
      <c r="I288" s="4" t="s">
        <v>67</v>
      </c>
      <c r="J288" t="s">
        <v>1272</v>
      </c>
      <c r="K288" t="s">
        <v>67</v>
      </c>
      <c r="L288" t="s">
        <v>1273</v>
      </c>
      <c r="M288" t="s">
        <v>1274</v>
      </c>
      <c r="N288" t="s">
        <v>67</v>
      </c>
      <c r="O288" t="s">
        <v>1275</v>
      </c>
      <c r="P288" t="s">
        <v>1276</v>
      </c>
      <c r="S288" s="5"/>
      <c r="T288" t="s">
        <v>72</v>
      </c>
      <c r="U288" t="s">
        <v>73</v>
      </c>
      <c r="V288" t="s">
        <v>74</v>
      </c>
      <c r="W288" t="s">
        <v>87</v>
      </c>
      <c r="AE288" s="2"/>
      <c r="AF288" s="2"/>
      <c r="AG288" s="2"/>
      <c r="AH288" s="2"/>
      <c r="AK288" t="s">
        <v>1277</v>
      </c>
      <c r="AL288" s="2">
        <v>2350000</v>
      </c>
      <c r="AM288" s="2">
        <v>0</v>
      </c>
      <c r="AN288" s="2"/>
      <c r="AO288" s="2">
        <v>0</v>
      </c>
      <c r="AP288" s="2">
        <v>2350000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4"/>
      <c r="AX288" t="s">
        <v>75</v>
      </c>
      <c r="AZ288" t="s">
        <v>1278</v>
      </c>
      <c r="BA288" t="s">
        <v>67</v>
      </c>
      <c r="BB288" t="s">
        <v>1279</v>
      </c>
      <c r="BC288" t="s">
        <v>1280</v>
      </c>
      <c r="BD288" t="s">
        <v>79</v>
      </c>
      <c r="BE288" t="s">
        <v>423</v>
      </c>
      <c r="BF288" s="5">
        <v>47543</v>
      </c>
      <c r="BG288" t="s">
        <v>67</v>
      </c>
      <c r="BH288">
        <v>1</v>
      </c>
      <c r="BI288" s="6">
        <v>3500000</v>
      </c>
      <c r="BJ288" s="6">
        <v>0</v>
      </c>
      <c r="BK288" s="6">
        <v>1150000</v>
      </c>
      <c r="BL288" s="6">
        <v>2350000</v>
      </c>
      <c r="BM288" s="2">
        <v>2350000</v>
      </c>
      <c r="BN288">
        <f>InvoiceTable[[#This Row],[Giảm giá]]*InvoiceTable[[#This Row],[Số lượng]]</f>
        <v>1150000</v>
      </c>
    </row>
    <row r="289" spans="1:66" x14ac:dyDescent="0.25">
      <c r="A289" t="s">
        <v>65</v>
      </c>
      <c r="B289" t="s">
        <v>1281</v>
      </c>
      <c r="F289" s="2"/>
      <c r="G289" s="3">
        <v>46013.644919328704</v>
      </c>
      <c r="H289" s="3">
        <v>46013.644919560182</v>
      </c>
      <c r="I289" s="4" t="s">
        <v>67</v>
      </c>
      <c r="J289" t="s">
        <v>1282</v>
      </c>
      <c r="K289" t="s">
        <v>67</v>
      </c>
      <c r="L289" t="s">
        <v>254</v>
      </c>
      <c r="M289" t="s">
        <v>255</v>
      </c>
      <c r="N289" t="s">
        <v>67</v>
      </c>
      <c r="O289" t="s">
        <v>256</v>
      </c>
      <c r="P289" t="s">
        <v>257</v>
      </c>
      <c r="S289" s="5"/>
      <c r="T289" t="s">
        <v>72</v>
      </c>
      <c r="U289" t="s">
        <v>73</v>
      </c>
      <c r="V289" t="s">
        <v>74</v>
      </c>
      <c r="W289" t="s">
        <v>87</v>
      </c>
      <c r="AE289" s="2"/>
      <c r="AF289" s="2"/>
      <c r="AG289" s="2"/>
      <c r="AH289" s="2"/>
      <c r="AK289" t="s">
        <v>1283</v>
      </c>
      <c r="AL289" s="2">
        <v>856400</v>
      </c>
      <c r="AM289" s="2">
        <v>0</v>
      </c>
      <c r="AN289" s="2"/>
      <c r="AO289" s="2">
        <v>0</v>
      </c>
      <c r="AP289" s="2">
        <v>856400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4"/>
      <c r="AX289" t="s">
        <v>75</v>
      </c>
      <c r="AZ289" t="s">
        <v>342</v>
      </c>
      <c r="BA289" t="s">
        <v>67</v>
      </c>
      <c r="BB289" t="s">
        <v>343</v>
      </c>
      <c r="BC289" t="s">
        <v>344</v>
      </c>
      <c r="BD289" t="s">
        <v>79</v>
      </c>
      <c r="BE289" t="s">
        <v>177</v>
      </c>
      <c r="BF289" s="5">
        <v>47027</v>
      </c>
      <c r="BG289" t="s">
        <v>67</v>
      </c>
      <c r="BH289">
        <v>1</v>
      </c>
      <c r="BI289" s="6">
        <v>980000</v>
      </c>
      <c r="BJ289" s="6">
        <v>42</v>
      </c>
      <c r="BK289" s="6">
        <v>411600</v>
      </c>
      <c r="BL289" s="6">
        <v>568400</v>
      </c>
      <c r="BM289" s="2">
        <v>568400</v>
      </c>
      <c r="BN289">
        <f>InvoiceTable[[#This Row],[Giảm giá]]*InvoiceTable[[#This Row],[Số lượng]]</f>
        <v>411600</v>
      </c>
    </row>
    <row r="290" spans="1:66" x14ac:dyDescent="0.25">
      <c r="A290" t="s">
        <v>65</v>
      </c>
      <c r="B290" t="s">
        <v>1281</v>
      </c>
      <c r="F290" s="2"/>
      <c r="G290" s="3">
        <v>46013.644919328704</v>
      </c>
      <c r="H290" s="3">
        <v>46013.644919560182</v>
      </c>
      <c r="I290" s="4" t="s">
        <v>67</v>
      </c>
      <c r="J290" t="s">
        <v>1282</v>
      </c>
      <c r="K290" t="s">
        <v>67</v>
      </c>
      <c r="L290" t="s">
        <v>254</v>
      </c>
      <c r="M290" t="s">
        <v>255</v>
      </c>
      <c r="N290" t="s">
        <v>67</v>
      </c>
      <c r="O290" t="s">
        <v>256</v>
      </c>
      <c r="P290" t="s">
        <v>257</v>
      </c>
      <c r="S290" s="5"/>
      <c r="T290" t="s">
        <v>72</v>
      </c>
      <c r="U290" t="s">
        <v>73</v>
      </c>
      <c r="V290" t="s">
        <v>74</v>
      </c>
      <c r="W290" t="s">
        <v>87</v>
      </c>
      <c r="AE290" s="2"/>
      <c r="AF290" s="2"/>
      <c r="AG290" s="2"/>
      <c r="AH290" s="2"/>
      <c r="AK290" t="s">
        <v>1283</v>
      </c>
      <c r="AL290" s="2">
        <v>856400</v>
      </c>
      <c r="AM290" s="2">
        <v>0</v>
      </c>
      <c r="AN290" s="2"/>
      <c r="AO290" s="2">
        <v>0</v>
      </c>
      <c r="AP290" s="2">
        <v>856400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4"/>
      <c r="AX290" t="s">
        <v>75</v>
      </c>
      <c r="AZ290" t="s">
        <v>1284</v>
      </c>
      <c r="BA290" t="s">
        <v>67</v>
      </c>
      <c r="BB290" t="s">
        <v>1285</v>
      </c>
      <c r="BC290" t="s">
        <v>1219</v>
      </c>
      <c r="BD290" t="s">
        <v>79</v>
      </c>
      <c r="BE290" t="s">
        <v>317</v>
      </c>
      <c r="BF290" s="5">
        <v>46935</v>
      </c>
      <c r="BG290" t="s">
        <v>67</v>
      </c>
      <c r="BH290">
        <v>1</v>
      </c>
      <c r="BI290" s="6">
        <v>480000</v>
      </c>
      <c r="BJ290" s="6">
        <v>40</v>
      </c>
      <c r="BK290" s="6">
        <v>192000</v>
      </c>
      <c r="BL290" s="6">
        <v>288000</v>
      </c>
      <c r="BM290" s="2">
        <v>288000</v>
      </c>
      <c r="BN290">
        <f>InvoiceTable[[#This Row],[Giảm giá]]*InvoiceTable[[#This Row],[Số lượng]]</f>
        <v>192000</v>
      </c>
    </row>
    <row r="291" spans="1:66" x14ac:dyDescent="0.25">
      <c r="A291" t="s">
        <v>65</v>
      </c>
      <c r="B291" t="s">
        <v>1286</v>
      </c>
      <c r="F291" s="2"/>
      <c r="G291" s="3">
        <v>46013.644497997688</v>
      </c>
      <c r="H291" s="3">
        <v>46013.644451851855</v>
      </c>
      <c r="I291" s="4" t="s">
        <v>96</v>
      </c>
      <c r="J291" t="s">
        <v>1287</v>
      </c>
      <c r="K291" t="s">
        <v>67</v>
      </c>
      <c r="L291" t="s">
        <v>796</v>
      </c>
      <c r="M291" t="s">
        <v>797</v>
      </c>
      <c r="N291" t="s">
        <v>67</v>
      </c>
      <c r="O291" t="s">
        <v>798</v>
      </c>
      <c r="P291" t="s">
        <v>799</v>
      </c>
      <c r="Q291" t="s">
        <v>800</v>
      </c>
      <c r="R291" t="s">
        <v>801</v>
      </c>
      <c r="S291" s="5"/>
      <c r="T291" t="s">
        <v>72</v>
      </c>
      <c r="U291" t="s">
        <v>73</v>
      </c>
      <c r="V291" t="s">
        <v>74</v>
      </c>
      <c r="W291" t="s">
        <v>87</v>
      </c>
      <c r="AE291" s="2"/>
      <c r="AF291" s="2"/>
      <c r="AG291" s="2"/>
      <c r="AH291" s="2"/>
      <c r="AK291" t="s">
        <v>240</v>
      </c>
      <c r="AL291" s="2">
        <v>5964920</v>
      </c>
      <c r="AM291" s="2">
        <v>0</v>
      </c>
      <c r="AN291" s="2"/>
      <c r="AO291" s="2">
        <v>0</v>
      </c>
      <c r="AP291" s="2">
        <v>5964920</v>
      </c>
      <c r="AQ291" s="2">
        <v>5964920</v>
      </c>
      <c r="AR291" s="2">
        <v>0</v>
      </c>
      <c r="AS291" s="2">
        <v>0</v>
      </c>
      <c r="AT291" s="2">
        <v>0</v>
      </c>
      <c r="AU291" s="2">
        <v>5964920</v>
      </c>
      <c r="AV291" s="2">
        <v>0</v>
      </c>
      <c r="AW291" s="4"/>
      <c r="AX291" t="s">
        <v>75</v>
      </c>
      <c r="AZ291" t="s">
        <v>1288</v>
      </c>
      <c r="BB291" t="s">
        <v>1289</v>
      </c>
      <c r="BC291" t="s">
        <v>437</v>
      </c>
      <c r="BD291" t="s">
        <v>79</v>
      </c>
      <c r="BE291" t="s">
        <v>198</v>
      </c>
      <c r="BF291" s="5">
        <v>46753</v>
      </c>
      <c r="BH291">
        <v>1</v>
      </c>
      <c r="BI291" s="6">
        <v>1250000</v>
      </c>
      <c r="BJ291" s="6">
        <v>0</v>
      </c>
      <c r="BK291" s="6">
        <v>380000</v>
      </c>
      <c r="BL291" s="6">
        <v>870000</v>
      </c>
      <c r="BM291" s="2">
        <v>870000</v>
      </c>
      <c r="BN291">
        <f>InvoiceTable[[#This Row],[Giảm giá]]*InvoiceTable[[#This Row],[Số lượng]]</f>
        <v>380000</v>
      </c>
    </row>
    <row r="292" spans="1:66" x14ac:dyDescent="0.25">
      <c r="A292" t="s">
        <v>65</v>
      </c>
      <c r="B292" t="s">
        <v>1286</v>
      </c>
      <c r="F292" s="2"/>
      <c r="G292" s="3">
        <v>46013.644497997688</v>
      </c>
      <c r="H292" s="3">
        <v>46013.644451851855</v>
      </c>
      <c r="I292" s="4" t="s">
        <v>96</v>
      </c>
      <c r="J292" t="s">
        <v>1287</v>
      </c>
      <c r="K292" t="s">
        <v>67</v>
      </c>
      <c r="L292" t="s">
        <v>796</v>
      </c>
      <c r="M292" t="s">
        <v>797</v>
      </c>
      <c r="N292" t="s">
        <v>67</v>
      </c>
      <c r="O292" t="s">
        <v>798</v>
      </c>
      <c r="P292" t="s">
        <v>799</v>
      </c>
      <c r="Q292" t="s">
        <v>800</v>
      </c>
      <c r="R292" t="s">
        <v>801</v>
      </c>
      <c r="S292" s="5"/>
      <c r="T292" t="s">
        <v>72</v>
      </c>
      <c r="U292" t="s">
        <v>73</v>
      </c>
      <c r="V292" t="s">
        <v>74</v>
      </c>
      <c r="W292" t="s">
        <v>87</v>
      </c>
      <c r="AE292" s="2"/>
      <c r="AF292" s="2"/>
      <c r="AG292" s="2"/>
      <c r="AH292" s="2"/>
      <c r="AK292" t="s">
        <v>240</v>
      </c>
      <c r="AL292" s="2">
        <v>5964920</v>
      </c>
      <c r="AM292" s="2">
        <v>0</v>
      </c>
      <c r="AN292" s="2"/>
      <c r="AO292" s="2">
        <v>0</v>
      </c>
      <c r="AP292" s="2">
        <v>5964920</v>
      </c>
      <c r="AQ292" s="2">
        <v>5964920</v>
      </c>
      <c r="AR292" s="2">
        <v>0</v>
      </c>
      <c r="AS292" s="2">
        <v>0</v>
      </c>
      <c r="AT292" s="2">
        <v>0</v>
      </c>
      <c r="AU292" s="2">
        <v>5964920</v>
      </c>
      <c r="AV292" s="2">
        <v>0</v>
      </c>
      <c r="AW292" s="4"/>
      <c r="AX292" t="s">
        <v>75</v>
      </c>
      <c r="AZ292" t="s">
        <v>1136</v>
      </c>
      <c r="BB292" t="s">
        <v>1137</v>
      </c>
      <c r="BC292" t="s">
        <v>902</v>
      </c>
      <c r="BD292" t="s">
        <v>79</v>
      </c>
      <c r="BE292" t="s">
        <v>1138</v>
      </c>
      <c r="BF292" s="5">
        <v>47054</v>
      </c>
      <c r="BG292" t="s">
        <v>67</v>
      </c>
      <c r="BH292">
        <v>1</v>
      </c>
      <c r="BI292" s="6">
        <v>2200000</v>
      </c>
      <c r="BJ292" s="6">
        <v>0</v>
      </c>
      <c r="BK292" s="6">
        <v>300000</v>
      </c>
      <c r="BL292" s="6">
        <v>1900000</v>
      </c>
      <c r="BM292" s="2">
        <v>1900000</v>
      </c>
      <c r="BN292">
        <f>InvoiceTable[[#This Row],[Giảm giá]]*InvoiceTable[[#This Row],[Số lượng]]</f>
        <v>300000</v>
      </c>
    </row>
    <row r="293" spans="1:66" x14ac:dyDescent="0.25">
      <c r="A293" t="s">
        <v>65</v>
      </c>
      <c r="B293" t="s">
        <v>1286</v>
      </c>
      <c r="F293" s="2"/>
      <c r="G293" s="3">
        <v>46013.644497997688</v>
      </c>
      <c r="H293" s="3">
        <v>46013.644451851855</v>
      </c>
      <c r="I293" s="4" t="s">
        <v>96</v>
      </c>
      <c r="J293" t="s">
        <v>1287</v>
      </c>
      <c r="K293" t="s">
        <v>67</v>
      </c>
      <c r="L293" t="s">
        <v>796</v>
      </c>
      <c r="M293" t="s">
        <v>797</v>
      </c>
      <c r="N293" t="s">
        <v>67</v>
      </c>
      <c r="O293" t="s">
        <v>798</v>
      </c>
      <c r="P293" t="s">
        <v>799</v>
      </c>
      <c r="Q293" t="s">
        <v>800</v>
      </c>
      <c r="R293" t="s">
        <v>801</v>
      </c>
      <c r="S293" s="5"/>
      <c r="T293" t="s">
        <v>72</v>
      </c>
      <c r="U293" t="s">
        <v>73</v>
      </c>
      <c r="V293" t="s">
        <v>74</v>
      </c>
      <c r="W293" t="s">
        <v>87</v>
      </c>
      <c r="AE293" s="2"/>
      <c r="AF293" s="2"/>
      <c r="AG293" s="2"/>
      <c r="AH293" s="2"/>
      <c r="AK293" t="s">
        <v>240</v>
      </c>
      <c r="AL293" s="2">
        <v>5964920</v>
      </c>
      <c r="AM293" s="2">
        <v>0</v>
      </c>
      <c r="AN293" s="2"/>
      <c r="AO293" s="2">
        <v>0</v>
      </c>
      <c r="AP293" s="2">
        <v>5964920</v>
      </c>
      <c r="AQ293" s="2">
        <v>5964920</v>
      </c>
      <c r="AR293" s="2">
        <v>0</v>
      </c>
      <c r="AS293" s="2">
        <v>0</v>
      </c>
      <c r="AT293" s="2">
        <v>0</v>
      </c>
      <c r="AU293" s="2">
        <v>5964920</v>
      </c>
      <c r="AV293" s="2">
        <v>0</v>
      </c>
      <c r="AW293" s="4"/>
      <c r="AX293" t="s">
        <v>75</v>
      </c>
      <c r="AZ293" t="s">
        <v>1290</v>
      </c>
      <c r="BA293" t="s">
        <v>67</v>
      </c>
      <c r="BB293" t="s">
        <v>1291</v>
      </c>
      <c r="BC293" t="s">
        <v>1292</v>
      </c>
      <c r="BD293" t="s">
        <v>79</v>
      </c>
      <c r="BE293" t="s">
        <v>188</v>
      </c>
      <c r="BF293" s="5">
        <v>46905</v>
      </c>
      <c r="BG293" t="s">
        <v>67</v>
      </c>
      <c r="BH293">
        <v>1</v>
      </c>
      <c r="BI293" s="6">
        <v>399000</v>
      </c>
      <c r="BJ293" s="6">
        <v>42</v>
      </c>
      <c r="BK293" s="6">
        <v>167580</v>
      </c>
      <c r="BL293" s="6">
        <v>231420</v>
      </c>
      <c r="BM293" s="2">
        <v>231420</v>
      </c>
      <c r="BN293">
        <f>InvoiceTable[[#This Row],[Giảm giá]]*InvoiceTable[[#This Row],[Số lượng]]</f>
        <v>167580</v>
      </c>
    </row>
    <row r="294" spans="1:66" x14ac:dyDescent="0.25">
      <c r="A294" t="s">
        <v>65</v>
      </c>
      <c r="B294" t="s">
        <v>1286</v>
      </c>
      <c r="F294" s="2"/>
      <c r="G294" s="3">
        <v>46013.644497997688</v>
      </c>
      <c r="H294" s="3">
        <v>46013.644451851855</v>
      </c>
      <c r="I294" s="4" t="s">
        <v>96</v>
      </c>
      <c r="J294" t="s">
        <v>1287</v>
      </c>
      <c r="K294" t="s">
        <v>67</v>
      </c>
      <c r="L294" t="s">
        <v>796</v>
      </c>
      <c r="M294" t="s">
        <v>797</v>
      </c>
      <c r="N294" t="s">
        <v>67</v>
      </c>
      <c r="O294" t="s">
        <v>798</v>
      </c>
      <c r="P294" t="s">
        <v>799</v>
      </c>
      <c r="Q294" t="s">
        <v>800</v>
      </c>
      <c r="R294" t="s">
        <v>801</v>
      </c>
      <c r="S294" s="5"/>
      <c r="T294" t="s">
        <v>72</v>
      </c>
      <c r="U294" t="s">
        <v>73</v>
      </c>
      <c r="V294" t="s">
        <v>74</v>
      </c>
      <c r="W294" t="s">
        <v>87</v>
      </c>
      <c r="AE294" s="2"/>
      <c r="AF294" s="2"/>
      <c r="AG294" s="2"/>
      <c r="AH294" s="2"/>
      <c r="AK294" t="s">
        <v>240</v>
      </c>
      <c r="AL294" s="2">
        <v>5964920</v>
      </c>
      <c r="AM294" s="2">
        <v>0</v>
      </c>
      <c r="AN294" s="2"/>
      <c r="AO294" s="2">
        <v>0</v>
      </c>
      <c r="AP294" s="2">
        <v>5964920</v>
      </c>
      <c r="AQ294" s="2">
        <v>5964920</v>
      </c>
      <c r="AR294" s="2">
        <v>0</v>
      </c>
      <c r="AS294" s="2">
        <v>0</v>
      </c>
      <c r="AT294" s="2">
        <v>0</v>
      </c>
      <c r="AU294" s="2">
        <v>5964920</v>
      </c>
      <c r="AV294" s="2">
        <v>0</v>
      </c>
      <c r="AW294" s="4"/>
      <c r="AX294" t="s">
        <v>75</v>
      </c>
      <c r="AZ294" t="s">
        <v>1293</v>
      </c>
      <c r="BA294" t="s">
        <v>67</v>
      </c>
      <c r="BB294" t="s">
        <v>1294</v>
      </c>
      <c r="BC294" t="s">
        <v>1295</v>
      </c>
      <c r="BD294" t="s">
        <v>79</v>
      </c>
      <c r="BE294" t="s">
        <v>996</v>
      </c>
      <c r="BF294" s="5">
        <v>46143</v>
      </c>
      <c r="BH294">
        <v>1</v>
      </c>
      <c r="BI294" s="6">
        <v>4950000</v>
      </c>
      <c r="BJ294" s="6">
        <v>47</v>
      </c>
      <c r="BK294" s="6">
        <v>2326500</v>
      </c>
      <c r="BL294" s="6">
        <v>2623500</v>
      </c>
      <c r="BM294" s="2">
        <v>2623500</v>
      </c>
      <c r="BN294">
        <f>InvoiceTable[[#This Row],[Giảm giá]]*InvoiceTable[[#This Row],[Số lượng]]</f>
        <v>2326500</v>
      </c>
    </row>
    <row r="295" spans="1:66" x14ac:dyDescent="0.25">
      <c r="A295" t="s">
        <v>65</v>
      </c>
      <c r="B295" t="s">
        <v>1286</v>
      </c>
      <c r="F295" s="2"/>
      <c r="G295" s="3">
        <v>46013.644497997688</v>
      </c>
      <c r="H295" s="3">
        <v>46013.644451851855</v>
      </c>
      <c r="I295" s="4" t="s">
        <v>96</v>
      </c>
      <c r="J295" t="s">
        <v>1287</v>
      </c>
      <c r="K295" t="s">
        <v>67</v>
      </c>
      <c r="L295" t="s">
        <v>796</v>
      </c>
      <c r="M295" t="s">
        <v>797</v>
      </c>
      <c r="N295" t="s">
        <v>67</v>
      </c>
      <c r="O295" t="s">
        <v>798</v>
      </c>
      <c r="P295" t="s">
        <v>799</v>
      </c>
      <c r="Q295" t="s">
        <v>800</v>
      </c>
      <c r="R295" t="s">
        <v>801</v>
      </c>
      <c r="S295" s="5"/>
      <c r="T295" t="s">
        <v>72</v>
      </c>
      <c r="U295" t="s">
        <v>73</v>
      </c>
      <c r="V295" t="s">
        <v>74</v>
      </c>
      <c r="W295" t="s">
        <v>87</v>
      </c>
      <c r="AE295" s="2"/>
      <c r="AF295" s="2"/>
      <c r="AG295" s="2"/>
      <c r="AH295" s="2"/>
      <c r="AK295" t="s">
        <v>240</v>
      </c>
      <c r="AL295" s="2">
        <v>5964920</v>
      </c>
      <c r="AM295" s="2">
        <v>0</v>
      </c>
      <c r="AN295" s="2"/>
      <c r="AO295" s="2">
        <v>0</v>
      </c>
      <c r="AP295" s="2">
        <v>5964920</v>
      </c>
      <c r="AQ295" s="2">
        <v>5964920</v>
      </c>
      <c r="AR295" s="2">
        <v>0</v>
      </c>
      <c r="AS295" s="2">
        <v>0</v>
      </c>
      <c r="AT295" s="2">
        <v>0</v>
      </c>
      <c r="AU295" s="2">
        <v>5964920</v>
      </c>
      <c r="AV295" s="2">
        <v>0</v>
      </c>
      <c r="AW295" s="4"/>
      <c r="AX295" t="s">
        <v>75</v>
      </c>
      <c r="AZ295" t="s">
        <v>669</v>
      </c>
      <c r="BA295" t="s">
        <v>67</v>
      </c>
      <c r="BB295" t="s">
        <v>670</v>
      </c>
      <c r="BC295" t="s">
        <v>126</v>
      </c>
      <c r="BD295" t="s">
        <v>79</v>
      </c>
      <c r="BE295" t="s">
        <v>159</v>
      </c>
      <c r="BF295" s="5">
        <v>46478</v>
      </c>
      <c r="BH295">
        <v>2</v>
      </c>
      <c r="BI295" s="6">
        <v>350000</v>
      </c>
      <c r="BJ295" s="6">
        <v>0</v>
      </c>
      <c r="BK295" s="6">
        <v>180000</v>
      </c>
      <c r="BL295" s="6">
        <v>170000</v>
      </c>
      <c r="BM295" s="2">
        <v>340000</v>
      </c>
      <c r="BN295">
        <f>InvoiceTable[[#This Row],[Giảm giá]]*InvoiceTable[[#This Row],[Số lượng]]</f>
        <v>360000</v>
      </c>
    </row>
    <row r="296" spans="1:66" x14ac:dyDescent="0.25">
      <c r="A296" t="s">
        <v>65</v>
      </c>
      <c r="B296" t="s">
        <v>1296</v>
      </c>
      <c r="F296" s="2"/>
      <c r="G296" s="3">
        <v>46013.620451932868</v>
      </c>
      <c r="H296" s="3">
        <v>46013.620428784721</v>
      </c>
      <c r="I296" s="4" t="s">
        <v>844</v>
      </c>
      <c r="J296" t="s">
        <v>67</v>
      </c>
      <c r="K296" t="s">
        <v>67</v>
      </c>
      <c r="L296" t="s">
        <v>654</v>
      </c>
      <c r="M296" t="s">
        <v>655</v>
      </c>
      <c r="N296" t="s">
        <v>67</v>
      </c>
      <c r="O296" t="s">
        <v>656</v>
      </c>
      <c r="P296" t="s">
        <v>657</v>
      </c>
      <c r="Q296" t="s">
        <v>658</v>
      </c>
      <c r="R296" t="s">
        <v>67</v>
      </c>
      <c r="S296" s="5"/>
      <c r="T296" t="s">
        <v>72</v>
      </c>
      <c r="U296" t="s">
        <v>87</v>
      </c>
      <c r="V296" t="s">
        <v>74</v>
      </c>
      <c r="W296" t="s">
        <v>87</v>
      </c>
      <c r="AE296" s="2"/>
      <c r="AF296" s="2"/>
      <c r="AG296" s="2"/>
      <c r="AH296" s="2"/>
      <c r="AL296" s="2">
        <v>6163000</v>
      </c>
      <c r="AM296" s="2">
        <v>0</v>
      </c>
      <c r="AN296" s="2"/>
      <c r="AO296" s="2">
        <v>0</v>
      </c>
      <c r="AP296" s="2">
        <v>6163000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4"/>
      <c r="AX296" t="s">
        <v>75</v>
      </c>
      <c r="AZ296" t="s">
        <v>483</v>
      </c>
      <c r="BA296" t="s">
        <v>67</v>
      </c>
      <c r="BB296" t="s">
        <v>484</v>
      </c>
      <c r="BC296" t="s">
        <v>485</v>
      </c>
      <c r="BD296" t="s">
        <v>79</v>
      </c>
      <c r="BE296" t="s">
        <v>117</v>
      </c>
      <c r="BF296" s="5">
        <v>46569</v>
      </c>
      <c r="BH296">
        <v>5</v>
      </c>
      <c r="BI296" s="6">
        <v>600000</v>
      </c>
      <c r="BJ296" s="6">
        <v>45</v>
      </c>
      <c r="BK296" s="6">
        <v>270000</v>
      </c>
      <c r="BL296" s="6">
        <v>330000</v>
      </c>
      <c r="BM296" s="2">
        <v>1650000</v>
      </c>
      <c r="BN296">
        <f>InvoiceTable[[#This Row],[Giảm giá]]*InvoiceTable[[#This Row],[Số lượng]]</f>
        <v>1350000</v>
      </c>
    </row>
    <row r="297" spans="1:66" x14ac:dyDescent="0.25">
      <c r="A297" t="s">
        <v>65</v>
      </c>
      <c r="B297" t="s">
        <v>1296</v>
      </c>
      <c r="F297" s="2"/>
      <c r="G297" s="3">
        <v>46013.620451932868</v>
      </c>
      <c r="H297" s="3">
        <v>46013.620428784721</v>
      </c>
      <c r="I297" s="4" t="s">
        <v>844</v>
      </c>
      <c r="J297" t="s">
        <v>67</v>
      </c>
      <c r="K297" t="s">
        <v>67</v>
      </c>
      <c r="L297" t="s">
        <v>654</v>
      </c>
      <c r="M297" t="s">
        <v>655</v>
      </c>
      <c r="N297" t="s">
        <v>67</v>
      </c>
      <c r="O297" t="s">
        <v>656</v>
      </c>
      <c r="P297" t="s">
        <v>657</v>
      </c>
      <c r="Q297" t="s">
        <v>658</v>
      </c>
      <c r="R297" t="s">
        <v>67</v>
      </c>
      <c r="S297" s="5"/>
      <c r="T297" t="s">
        <v>72</v>
      </c>
      <c r="U297" t="s">
        <v>87</v>
      </c>
      <c r="V297" t="s">
        <v>74</v>
      </c>
      <c r="W297" t="s">
        <v>87</v>
      </c>
      <c r="AE297" s="2"/>
      <c r="AF297" s="2"/>
      <c r="AG297" s="2"/>
      <c r="AH297" s="2"/>
      <c r="AL297" s="2">
        <v>6163000</v>
      </c>
      <c r="AM297" s="2">
        <v>0</v>
      </c>
      <c r="AN297" s="2"/>
      <c r="AO297" s="2">
        <v>0</v>
      </c>
      <c r="AP297" s="2">
        <v>6163000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4"/>
      <c r="AX297" t="s">
        <v>75</v>
      </c>
      <c r="AZ297" t="s">
        <v>486</v>
      </c>
      <c r="BA297" t="s">
        <v>67</v>
      </c>
      <c r="BB297" t="s">
        <v>487</v>
      </c>
      <c r="BC297" t="s">
        <v>485</v>
      </c>
      <c r="BD297" t="s">
        <v>79</v>
      </c>
      <c r="BE297" t="s">
        <v>488</v>
      </c>
      <c r="BF297" s="5">
        <v>46647</v>
      </c>
      <c r="BH297">
        <v>5</v>
      </c>
      <c r="BI297" s="6">
        <v>600000</v>
      </c>
      <c r="BJ297" s="6">
        <v>45</v>
      </c>
      <c r="BK297" s="6">
        <v>270000</v>
      </c>
      <c r="BL297" s="6">
        <v>330000</v>
      </c>
      <c r="BM297" s="2">
        <v>1650000</v>
      </c>
      <c r="BN297">
        <f>InvoiceTable[[#This Row],[Giảm giá]]*InvoiceTable[[#This Row],[Số lượng]]</f>
        <v>1350000</v>
      </c>
    </row>
    <row r="298" spans="1:66" x14ac:dyDescent="0.25">
      <c r="A298" t="s">
        <v>65</v>
      </c>
      <c r="B298" t="s">
        <v>1296</v>
      </c>
      <c r="F298" s="2"/>
      <c r="G298" s="3">
        <v>46013.620451932868</v>
      </c>
      <c r="H298" s="3">
        <v>46013.620428784721</v>
      </c>
      <c r="I298" s="4" t="s">
        <v>844</v>
      </c>
      <c r="J298" t="s">
        <v>67</v>
      </c>
      <c r="K298" t="s">
        <v>67</v>
      </c>
      <c r="L298" t="s">
        <v>654</v>
      </c>
      <c r="M298" t="s">
        <v>655</v>
      </c>
      <c r="N298" t="s">
        <v>67</v>
      </c>
      <c r="O298" t="s">
        <v>656</v>
      </c>
      <c r="P298" t="s">
        <v>657</v>
      </c>
      <c r="Q298" t="s">
        <v>658</v>
      </c>
      <c r="R298" t="s">
        <v>67</v>
      </c>
      <c r="S298" s="5"/>
      <c r="T298" t="s">
        <v>72</v>
      </c>
      <c r="U298" t="s">
        <v>87</v>
      </c>
      <c r="V298" t="s">
        <v>74</v>
      </c>
      <c r="W298" t="s">
        <v>87</v>
      </c>
      <c r="AE298" s="2"/>
      <c r="AF298" s="2"/>
      <c r="AG298" s="2"/>
      <c r="AH298" s="2"/>
      <c r="AL298" s="2">
        <v>6163000</v>
      </c>
      <c r="AM298" s="2">
        <v>0</v>
      </c>
      <c r="AN298" s="2"/>
      <c r="AO298" s="2">
        <v>0</v>
      </c>
      <c r="AP298" s="2">
        <v>6163000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4"/>
      <c r="AX298" t="s">
        <v>75</v>
      </c>
      <c r="AZ298" t="s">
        <v>663</v>
      </c>
      <c r="BA298" t="s">
        <v>67</v>
      </c>
      <c r="BB298" t="s">
        <v>664</v>
      </c>
      <c r="BC298" t="s">
        <v>665</v>
      </c>
      <c r="BD298" t="s">
        <v>79</v>
      </c>
      <c r="BE298" t="s">
        <v>195</v>
      </c>
      <c r="BF298" s="5">
        <v>46419</v>
      </c>
      <c r="BH298">
        <v>5</v>
      </c>
      <c r="BI298" s="6">
        <v>380000</v>
      </c>
      <c r="BJ298" s="6">
        <v>0</v>
      </c>
      <c r="BK298" s="6">
        <v>243000</v>
      </c>
      <c r="BL298" s="6">
        <v>137000</v>
      </c>
      <c r="BM298" s="2">
        <v>685000</v>
      </c>
      <c r="BN298">
        <f>InvoiceTable[[#This Row],[Giảm giá]]*InvoiceTable[[#This Row],[Số lượng]]</f>
        <v>1215000</v>
      </c>
    </row>
    <row r="299" spans="1:66" x14ac:dyDescent="0.25">
      <c r="A299" t="s">
        <v>65</v>
      </c>
      <c r="B299" t="s">
        <v>1296</v>
      </c>
      <c r="F299" s="2"/>
      <c r="G299" s="3">
        <v>46013.620451932868</v>
      </c>
      <c r="H299" s="3">
        <v>46013.620428784721</v>
      </c>
      <c r="I299" s="4" t="s">
        <v>844</v>
      </c>
      <c r="J299" t="s">
        <v>67</v>
      </c>
      <c r="K299" t="s">
        <v>67</v>
      </c>
      <c r="L299" t="s">
        <v>654</v>
      </c>
      <c r="M299" t="s">
        <v>655</v>
      </c>
      <c r="N299" t="s">
        <v>67</v>
      </c>
      <c r="O299" t="s">
        <v>656</v>
      </c>
      <c r="P299" t="s">
        <v>657</v>
      </c>
      <c r="Q299" t="s">
        <v>658</v>
      </c>
      <c r="R299" t="s">
        <v>67</v>
      </c>
      <c r="S299" s="5"/>
      <c r="T299" t="s">
        <v>72</v>
      </c>
      <c r="U299" t="s">
        <v>87</v>
      </c>
      <c r="V299" t="s">
        <v>74</v>
      </c>
      <c r="W299" t="s">
        <v>87</v>
      </c>
      <c r="AE299" s="2"/>
      <c r="AF299" s="2"/>
      <c r="AG299" s="2"/>
      <c r="AH299" s="2"/>
      <c r="AL299" s="2">
        <v>6163000</v>
      </c>
      <c r="AM299" s="2">
        <v>0</v>
      </c>
      <c r="AN299" s="2"/>
      <c r="AO299" s="2">
        <v>0</v>
      </c>
      <c r="AP299" s="2">
        <v>6163000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4"/>
      <c r="AX299" t="s">
        <v>75</v>
      </c>
      <c r="AZ299" t="s">
        <v>669</v>
      </c>
      <c r="BA299" t="s">
        <v>67</v>
      </c>
      <c r="BB299" t="s">
        <v>670</v>
      </c>
      <c r="BC299" t="s">
        <v>126</v>
      </c>
      <c r="BD299" t="s">
        <v>79</v>
      </c>
      <c r="BE299" t="s">
        <v>159</v>
      </c>
      <c r="BF299" s="5">
        <v>46478</v>
      </c>
      <c r="BH299">
        <v>10</v>
      </c>
      <c r="BI299" s="6">
        <v>350000</v>
      </c>
      <c r="BJ299" s="6">
        <v>0</v>
      </c>
      <c r="BK299" s="6">
        <v>215000</v>
      </c>
      <c r="BL299" s="6">
        <v>135000</v>
      </c>
      <c r="BM299" s="2">
        <v>1350000</v>
      </c>
      <c r="BN299">
        <f>InvoiceTable[[#This Row],[Giảm giá]]*InvoiceTable[[#This Row],[Số lượng]]</f>
        <v>2150000</v>
      </c>
    </row>
    <row r="300" spans="1:66" x14ac:dyDescent="0.25">
      <c r="A300" t="s">
        <v>65</v>
      </c>
      <c r="B300" t="s">
        <v>1296</v>
      </c>
      <c r="F300" s="2"/>
      <c r="G300" s="3">
        <v>46013.620451932868</v>
      </c>
      <c r="H300" s="3">
        <v>46013.620428784721</v>
      </c>
      <c r="I300" s="4" t="s">
        <v>844</v>
      </c>
      <c r="J300" t="s">
        <v>67</v>
      </c>
      <c r="K300" t="s">
        <v>67</v>
      </c>
      <c r="L300" t="s">
        <v>654</v>
      </c>
      <c r="M300" t="s">
        <v>655</v>
      </c>
      <c r="N300" t="s">
        <v>67</v>
      </c>
      <c r="O300" t="s">
        <v>656</v>
      </c>
      <c r="P300" t="s">
        <v>657</v>
      </c>
      <c r="Q300" t="s">
        <v>658</v>
      </c>
      <c r="R300" t="s">
        <v>67</v>
      </c>
      <c r="S300" s="5"/>
      <c r="T300" t="s">
        <v>72</v>
      </c>
      <c r="U300" t="s">
        <v>87</v>
      </c>
      <c r="V300" t="s">
        <v>74</v>
      </c>
      <c r="W300" t="s">
        <v>87</v>
      </c>
      <c r="AE300" s="2"/>
      <c r="AF300" s="2"/>
      <c r="AG300" s="2"/>
      <c r="AH300" s="2"/>
      <c r="AL300" s="2">
        <v>6163000</v>
      </c>
      <c r="AM300" s="2">
        <v>0</v>
      </c>
      <c r="AN300" s="2"/>
      <c r="AO300" s="2">
        <v>0</v>
      </c>
      <c r="AP300" s="2">
        <v>6163000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4"/>
      <c r="AX300" t="s">
        <v>75</v>
      </c>
      <c r="AZ300" t="s">
        <v>1297</v>
      </c>
      <c r="BA300" t="s">
        <v>67</v>
      </c>
      <c r="BB300" t="s">
        <v>1298</v>
      </c>
      <c r="BC300" t="s">
        <v>1299</v>
      </c>
      <c r="BD300" t="s">
        <v>79</v>
      </c>
      <c r="BE300" t="s">
        <v>159</v>
      </c>
      <c r="BF300" s="5">
        <v>46478</v>
      </c>
      <c r="BH300">
        <v>9</v>
      </c>
      <c r="BI300" s="6">
        <v>270000</v>
      </c>
      <c r="BJ300" s="6">
        <v>0</v>
      </c>
      <c r="BK300" s="6">
        <v>178000</v>
      </c>
      <c r="BL300" s="6">
        <v>92000</v>
      </c>
      <c r="BM300" s="2">
        <v>828000</v>
      </c>
      <c r="BN300">
        <f>InvoiceTable[[#This Row],[Giảm giá]]*InvoiceTable[[#This Row],[Số lượng]]</f>
        <v>1602000</v>
      </c>
    </row>
    <row r="301" spans="1:66" x14ac:dyDescent="0.25">
      <c r="A301" t="s">
        <v>65</v>
      </c>
      <c r="B301" t="s">
        <v>1300</v>
      </c>
      <c r="F301" s="2"/>
      <c r="G301" s="3">
        <v>46013.617825613423</v>
      </c>
      <c r="H301" s="3">
        <v>46013.617825844907</v>
      </c>
      <c r="I301" s="4" t="s">
        <v>67</v>
      </c>
      <c r="J301" t="s">
        <v>67</v>
      </c>
      <c r="K301" t="s">
        <v>67</v>
      </c>
      <c r="L301" t="s">
        <v>1301</v>
      </c>
      <c r="M301" t="s">
        <v>1302</v>
      </c>
      <c r="N301" t="s">
        <v>67</v>
      </c>
      <c r="O301" t="s">
        <v>1303</v>
      </c>
      <c r="P301" t="s">
        <v>1304</v>
      </c>
      <c r="S301" s="5"/>
      <c r="T301" t="s">
        <v>72</v>
      </c>
      <c r="U301" t="s">
        <v>87</v>
      </c>
      <c r="V301" t="s">
        <v>74</v>
      </c>
      <c r="W301" t="s">
        <v>87</v>
      </c>
      <c r="AE301" s="2"/>
      <c r="AF301" s="2"/>
      <c r="AG301" s="2"/>
      <c r="AH301" s="2"/>
      <c r="AL301" s="2">
        <v>1041200</v>
      </c>
      <c r="AM301" s="2">
        <v>0</v>
      </c>
      <c r="AN301" s="2"/>
      <c r="AO301" s="2">
        <v>0</v>
      </c>
      <c r="AP301" s="2">
        <v>1041200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4"/>
      <c r="AX301" t="s">
        <v>75</v>
      </c>
      <c r="AZ301" t="s">
        <v>1305</v>
      </c>
      <c r="BA301" t="s">
        <v>67</v>
      </c>
      <c r="BB301" t="s">
        <v>1306</v>
      </c>
      <c r="BC301" t="s">
        <v>1219</v>
      </c>
      <c r="BD301" t="s">
        <v>79</v>
      </c>
      <c r="BE301" t="s">
        <v>1307</v>
      </c>
      <c r="BF301" s="5">
        <v>46979</v>
      </c>
      <c r="BH301">
        <v>2</v>
      </c>
      <c r="BI301" s="6">
        <v>150000</v>
      </c>
      <c r="BJ301" s="6">
        <v>42</v>
      </c>
      <c r="BK301" s="6">
        <v>63000</v>
      </c>
      <c r="BL301" s="6">
        <v>87000</v>
      </c>
      <c r="BM301" s="2">
        <v>174000</v>
      </c>
      <c r="BN301">
        <f>InvoiceTable[[#This Row],[Giảm giá]]*InvoiceTable[[#This Row],[Số lượng]]</f>
        <v>126000</v>
      </c>
    </row>
    <row r="302" spans="1:66" x14ac:dyDescent="0.25">
      <c r="A302" t="s">
        <v>65</v>
      </c>
      <c r="B302" t="s">
        <v>1300</v>
      </c>
      <c r="F302" s="2"/>
      <c r="G302" s="3">
        <v>46013.617825613423</v>
      </c>
      <c r="H302" s="3">
        <v>46013.617825844907</v>
      </c>
      <c r="I302" s="4" t="s">
        <v>67</v>
      </c>
      <c r="J302" t="s">
        <v>67</v>
      </c>
      <c r="K302" t="s">
        <v>67</v>
      </c>
      <c r="L302" t="s">
        <v>1301</v>
      </c>
      <c r="M302" t="s">
        <v>1302</v>
      </c>
      <c r="N302" t="s">
        <v>67</v>
      </c>
      <c r="O302" t="s">
        <v>1303</v>
      </c>
      <c r="P302" t="s">
        <v>1304</v>
      </c>
      <c r="S302" s="5"/>
      <c r="T302" t="s">
        <v>72</v>
      </c>
      <c r="U302" t="s">
        <v>87</v>
      </c>
      <c r="V302" t="s">
        <v>74</v>
      </c>
      <c r="W302" t="s">
        <v>87</v>
      </c>
      <c r="AE302" s="2"/>
      <c r="AF302" s="2"/>
      <c r="AG302" s="2"/>
      <c r="AH302" s="2"/>
      <c r="AL302" s="2">
        <v>1041200</v>
      </c>
      <c r="AM302" s="2">
        <v>0</v>
      </c>
      <c r="AN302" s="2"/>
      <c r="AO302" s="2">
        <v>0</v>
      </c>
      <c r="AP302" s="2">
        <v>1041200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4"/>
      <c r="AX302" t="s">
        <v>75</v>
      </c>
      <c r="AZ302" t="s">
        <v>1308</v>
      </c>
      <c r="BA302" t="s">
        <v>67</v>
      </c>
      <c r="BB302" t="s">
        <v>1309</v>
      </c>
      <c r="BC302" t="s">
        <v>1149</v>
      </c>
      <c r="BD302" t="s">
        <v>79</v>
      </c>
      <c r="BE302" t="s">
        <v>810</v>
      </c>
      <c r="BF302" s="5">
        <v>46539</v>
      </c>
      <c r="BH302">
        <v>1</v>
      </c>
      <c r="BI302" s="6">
        <v>480000</v>
      </c>
      <c r="BJ302" s="6">
        <v>45</v>
      </c>
      <c r="BK302" s="6">
        <v>216000</v>
      </c>
      <c r="BL302" s="6">
        <v>264000</v>
      </c>
      <c r="BM302" s="2">
        <v>264000</v>
      </c>
      <c r="BN302">
        <f>InvoiceTable[[#This Row],[Giảm giá]]*InvoiceTable[[#This Row],[Số lượng]]</f>
        <v>216000</v>
      </c>
    </row>
    <row r="303" spans="1:66" x14ac:dyDescent="0.25">
      <c r="A303" t="s">
        <v>65</v>
      </c>
      <c r="B303" t="s">
        <v>1300</v>
      </c>
      <c r="F303" s="2"/>
      <c r="G303" s="3">
        <v>46013.617825613423</v>
      </c>
      <c r="H303" s="3">
        <v>46013.617825844907</v>
      </c>
      <c r="I303" s="4" t="s">
        <v>67</v>
      </c>
      <c r="J303" t="s">
        <v>67</v>
      </c>
      <c r="K303" t="s">
        <v>67</v>
      </c>
      <c r="L303" t="s">
        <v>1301</v>
      </c>
      <c r="M303" t="s">
        <v>1302</v>
      </c>
      <c r="N303" t="s">
        <v>67</v>
      </c>
      <c r="O303" t="s">
        <v>1303</v>
      </c>
      <c r="P303" t="s">
        <v>1304</v>
      </c>
      <c r="S303" s="5"/>
      <c r="T303" t="s">
        <v>72</v>
      </c>
      <c r="U303" t="s">
        <v>87</v>
      </c>
      <c r="V303" t="s">
        <v>74</v>
      </c>
      <c r="W303" t="s">
        <v>87</v>
      </c>
      <c r="AE303" s="2"/>
      <c r="AF303" s="2"/>
      <c r="AG303" s="2"/>
      <c r="AH303" s="2"/>
      <c r="AL303" s="2">
        <v>1041200</v>
      </c>
      <c r="AM303" s="2">
        <v>0</v>
      </c>
      <c r="AN303" s="2"/>
      <c r="AO303" s="2">
        <v>0</v>
      </c>
      <c r="AP303" s="2">
        <v>1041200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4"/>
      <c r="AX303" t="s">
        <v>75</v>
      </c>
      <c r="AZ303" t="s">
        <v>1310</v>
      </c>
      <c r="BA303" t="s">
        <v>67</v>
      </c>
      <c r="BB303" t="s">
        <v>1311</v>
      </c>
      <c r="BC303" t="s">
        <v>1219</v>
      </c>
      <c r="BD303" t="s">
        <v>79</v>
      </c>
      <c r="BE303" t="s">
        <v>1312</v>
      </c>
      <c r="BF303" s="5">
        <v>46983</v>
      </c>
      <c r="BG303" t="s">
        <v>67</v>
      </c>
      <c r="BH303">
        <v>2</v>
      </c>
      <c r="BI303" s="6">
        <v>520000</v>
      </c>
      <c r="BJ303" s="6">
        <v>42</v>
      </c>
      <c r="BK303" s="6">
        <v>218400</v>
      </c>
      <c r="BL303" s="6">
        <v>301600</v>
      </c>
      <c r="BM303" s="2">
        <v>603200</v>
      </c>
      <c r="BN303">
        <f>InvoiceTable[[#This Row],[Giảm giá]]*InvoiceTable[[#This Row],[Số lượng]]</f>
        <v>436800</v>
      </c>
    </row>
    <row r="304" spans="1:66" x14ac:dyDescent="0.25">
      <c r="A304" t="s">
        <v>65</v>
      </c>
      <c r="B304" t="s">
        <v>1313</v>
      </c>
      <c r="F304" s="2"/>
      <c r="G304" s="3">
        <v>46013.616658182873</v>
      </c>
      <c r="H304" s="3">
        <v>46013.616658298612</v>
      </c>
      <c r="I304" s="4" t="s">
        <v>67</v>
      </c>
      <c r="J304" t="s">
        <v>67</v>
      </c>
      <c r="K304" t="s">
        <v>67</v>
      </c>
      <c r="L304" t="s">
        <v>654</v>
      </c>
      <c r="M304" t="s">
        <v>655</v>
      </c>
      <c r="N304" t="s">
        <v>67</v>
      </c>
      <c r="O304" t="s">
        <v>656</v>
      </c>
      <c r="P304" t="s">
        <v>657</v>
      </c>
      <c r="Q304" t="s">
        <v>658</v>
      </c>
      <c r="R304" t="s">
        <v>67</v>
      </c>
      <c r="S304" s="5"/>
      <c r="T304" t="s">
        <v>72</v>
      </c>
      <c r="U304" t="s">
        <v>87</v>
      </c>
      <c r="V304" t="s">
        <v>74</v>
      </c>
      <c r="W304" t="s">
        <v>87</v>
      </c>
      <c r="AE304" s="2"/>
      <c r="AF304" s="2"/>
      <c r="AG304" s="2"/>
      <c r="AH304" s="2"/>
      <c r="AL304" s="2">
        <v>367500</v>
      </c>
      <c r="AM304" s="2">
        <v>0</v>
      </c>
      <c r="AN304" s="2"/>
      <c r="AO304" s="2">
        <v>0</v>
      </c>
      <c r="AP304" s="2">
        <v>367500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4"/>
      <c r="AX304" t="s">
        <v>75</v>
      </c>
      <c r="AZ304" t="s">
        <v>1314</v>
      </c>
      <c r="BA304" t="s">
        <v>67</v>
      </c>
      <c r="BB304" t="s">
        <v>1315</v>
      </c>
      <c r="BC304" t="s">
        <v>261</v>
      </c>
      <c r="BD304" t="s">
        <v>79</v>
      </c>
      <c r="BE304" t="s">
        <v>198</v>
      </c>
      <c r="BF304" s="5">
        <v>46753</v>
      </c>
      <c r="BH304">
        <v>1</v>
      </c>
      <c r="BI304" s="6">
        <v>490000</v>
      </c>
      <c r="BJ304" s="6">
        <v>25</v>
      </c>
      <c r="BK304" s="6">
        <v>122500</v>
      </c>
      <c r="BL304" s="6">
        <v>367500</v>
      </c>
      <c r="BM304" s="2">
        <v>367500</v>
      </c>
      <c r="BN304">
        <f>InvoiceTable[[#This Row],[Giảm giá]]*InvoiceTable[[#This Row],[Số lượng]]</f>
        <v>122500</v>
      </c>
    </row>
    <row r="305" spans="1:66" x14ac:dyDescent="0.25">
      <c r="A305" t="s">
        <v>65</v>
      </c>
      <c r="B305" t="s">
        <v>1316</v>
      </c>
      <c r="F305" s="2"/>
      <c r="G305" s="3">
        <v>46013.601348958335</v>
      </c>
      <c r="H305" s="3">
        <v>46013.601349039352</v>
      </c>
      <c r="I305" s="4" t="s">
        <v>67</v>
      </c>
      <c r="J305" t="s">
        <v>67</v>
      </c>
      <c r="K305" t="s">
        <v>67</v>
      </c>
      <c r="L305" t="s">
        <v>350</v>
      </c>
      <c r="M305" t="s">
        <v>351</v>
      </c>
      <c r="N305" t="s">
        <v>67</v>
      </c>
      <c r="O305" t="s">
        <v>352</v>
      </c>
      <c r="P305" t="s">
        <v>353</v>
      </c>
      <c r="S305" s="5"/>
      <c r="T305" t="s">
        <v>72</v>
      </c>
      <c r="U305" t="s">
        <v>87</v>
      </c>
      <c r="V305" t="s">
        <v>74</v>
      </c>
      <c r="W305" t="s">
        <v>87</v>
      </c>
      <c r="AE305" s="2"/>
      <c r="AF305" s="2"/>
      <c r="AG305" s="2"/>
      <c r="AH305" s="2"/>
      <c r="AK305" t="s">
        <v>1317</v>
      </c>
      <c r="AL305" s="2">
        <v>6490000</v>
      </c>
      <c r="AM305" s="2">
        <v>0</v>
      </c>
      <c r="AN305" s="2"/>
      <c r="AO305" s="2">
        <v>0</v>
      </c>
      <c r="AP305" s="2">
        <v>6490000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4"/>
      <c r="AX305" t="s">
        <v>75</v>
      </c>
      <c r="AZ305" t="s">
        <v>424</v>
      </c>
      <c r="BA305" t="s">
        <v>67</v>
      </c>
      <c r="BB305" t="s">
        <v>425</v>
      </c>
      <c r="BC305" t="s">
        <v>426</v>
      </c>
      <c r="BD305" t="s">
        <v>79</v>
      </c>
      <c r="BE305" t="s">
        <v>198</v>
      </c>
      <c r="BF305" s="5">
        <v>46753</v>
      </c>
      <c r="BH305">
        <v>20</v>
      </c>
      <c r="BI305" s="6">
        <v>590000</v>
      </c>
      <c r="BJ305" s="6">
        <v>45</v>
      </c>
      <c r="BK305" s="6">
        <v>265500</v>
      </c>
      <c r="BL305" s="6">
        <v>324500</v>
      </c>
      <c r="BM305" s="2">
        <v>6490000</v>
      </c>
      <c r="BN305">
        <f>InvoiceTable[[#This Row],[Giảm giá]]*InvoiceTable[[#This Row],[Số lượng]]</f>
        <v>5310000</v>
      </c>
    </row>
    <row r="306" spans="1:66" x14ac:dyDescent="0.25">
      <c r="A306" t="s">
        <v>65</v>
      </c>
      <c r="B306" t="s">
        <v>1318</v>
      </c>
      <c r="F306" s="2"/>
      <c r="G306" s="3">
        <v>46013.600068865744</v>
      </c>
      <c r="H306" s="3">
        <v>46013.600068981483</v>
      </c>
      <c r="I306" s="4" t="s">
        <v>67</v>
      </c>
      <c r="J306" t="s">
        <v>1319</v>
      </c>
      <c r="K306" t="s">
        <v>67</v>
      </c>
      <c r="L306" t="s">
        <v>796</v>
      </c>
      <c r="M306" t="s">
        <v>797</v>
      </c>
      <c r="N306" t="s">
        <v>67</v>
      </c>
      <c r="O306" t="s">
        <v>798</v>
      </c>
      <c r="P306" t="s">
        <v>799</v>
      </c>
      <c r="Q306" t="s">
        <v>800</v>
      </c>
      <c r="R306" t="s">
        <v>801</v>
      </c>
      <c r="S306" s="5"/>
      <c r="T306" t="s">
        <v>72</v>
      </c>
      <c r="U306" t="s">
        <v>73</v>
      </c>
      <c r="V306" t="s">
        <v>74</v>
      </c>
      <c r="W306" t="s">
        <v>87</v>
      </c>
      <c r="AE306" s="2"/>
      <c r="AF306" s="2"/>
      <c r="AG306" s="2"/>
      <c r="AH306" s="2"/>
      <c r="AK306" t="s">
        <v>240</v>
      </c>
      <c r="AL306" s="2">
        <v>3477030</v>
      </c>
      <c r="AM306" s="2">
        <v>0</v>
      </c>
      <c r="AN306" s="2"/>
      <c r="AO306" s="2">
        <v>0</v>
      </c>
      <c r="AP306" s="2">
        <v>3477030</v>
      </c>
      <c r="AQ306" s="2">
        <v>3477030</v>
      </c>
      <c r="AR306" s="2">
        <v>0</v>
      </c>
      <c r="AS306" s="2">
        <v>0</v>
      </c>
      <c r="AT306" s="2">
        <v>0</v>
      </c>
      <c r="AU306" s="2">
        <v>3477030</v>
      </c>
      <c r="AV306" s="2">
        <v>0</v>
      </c>
      <c r="AW306" s="4"/>
      <c r="AX306" t="s">
        <v>75</v>
      </c>
      <c r="AZ306" t="s">
        <v>1320</v>
      </c>
      <c r="BB306" t="s">
        <v>1321</v>
      </c>
      <c r="BC306" t="s">
        <v>173</v>
      </c>
      <c r="BD306" t="s">
        <v>79</v>
      </c>
      <c r="BE306" t="s">
        <v>80</v>
      </c>
      <c r="BF306" s="5">
        <v>47300</v>
      </c>
      <c r="BG306" t="s">
        <v>67</v>
      </c>
      <c r="BH306">
        <v>1</v>
      </c>
      <c r="BI306" s="6">
        <v>1433000</v>
      </c>
      <c r="BJ306" s="6">
        <v>42</v>
      </c>
      <c r="BK306" s="6">
        <v>601860</v>
      </c>
      <c r="BL306" s="6">
        <v>831140</v>
      </c>
      <c r="BM306" s="2">
        <v>831140</v>
      </c>
      <c r="BN306">
        <f>InvoiceTable[[#This Row],[Giảm giá]]*InvoiceTable[[#This Row],[Số lượng]]</f>
        <v>601860</v>
      </c>
    </row>
    <row r="307" spans="1:66" x14ac:dyDescent="0.25">
      <c r="A307" t="s">
        <v>65</v>
      </c>
      <c r="B307" t="s">
        <v>1318</v>
      </c>
      <c r="F307" s="2"/>
      <c r="G307" s="3">
        <v>46013.600068865744</v>
      </c>
      <c r="H307" s="3">
        <v>46013.600068981483</v>
      </c>
      <c r="I307" s="4" t="s">
        <v>67</v>
      </c>
      <c r="J307" t="s">
        <v>1319</v>
      </c>
      <c r="K307" t="s">
        <v>67</v>
      </c>
      <c r="L307" t="s">
        <v>796</v>
      </c>
      <c r="M307" t="s">
        <v>797</v>
      </c>
      <c r="N307" t="s">
        <v>67</v>
      </c>
      <c r="O307" t="s">
        <v>798</v>
      </c>
      <c r="P307" t="s">
        <v>799</v>
      </c>
      <c r="Q307" t="s">
        <v>800</v>
      </c>
      <c r="R307" t="s">
        <v>801</v>
      </c>
      <c r="S307" s="5"/>
      <c r="T307" t="s">
        <v>72</v>
      </c>
      <c r="U307" t="s">
        <v>73</v>
      </c>
      <c r="V307" t="s">
        <v>74</v>
      </c>
      <c r="W307" t="s">
        <v>87</v>
      </c>
      <c r="AE307" s="2"/>
      <c r="AF307" s="2"/>
      <c r="AG307" s="2"/>
      <c r="AH307" s="2"/>
      <c r="AK307" t="s">
        <v>240</v>
      </c>
      <c r="AL307" s="2">
        <v>3477030</v>
      </c>
      <c r="AM307" s="2">
        <v>0</v>
      </c>
      <c r="AN307" s="2"/>
      <c r="AO307" s="2">
        <v>0</v>
      </c>
      <c r="AP307" s="2">
        <v>3477030</v>
      </c>
      <c r="AQ307" s="2">
        <v>3477030</v>
      </c>
      <c r="AR307" s="2">
        <v>0</v>
      </c>
      <c r="AS307" s="2">
        <v>0</v>
      </c>
      <c r="AT307" s="2">
        <v>0</v>
      </c>
      <c r="AU307" s="2">
        <v>3477030</v>
      </c>
      <c r="AV307" s="2">
        <v>0</v>
      </c>
      <c r="AW307" s="4"/>
      <c r="AX307" t="s">
        <v>75</v>
      </c>
      <c r="AZ307" t="s">
        <v>739</v>
      </c>
      <c r="BA307" t="s">
        <v>67</v>
      </c>
      <c r="BB307" t="s">
        <v>740</v>
      </c>
      <c r="BC307" t="s">
        <v>223</v>
      </c>
      <c r="BD307" t="s">
        <v>79</v>
      </c>
      <c r="BE307" t="s">
        <v>741</v>
      </c>
      <c r="BF307" s="5">
        <v>46963</v>
      </c>
      <c r="BH307">
        <v>1</v>
      </c>
      <c r="BI307" s="6">
        <v>1685000</v>
      </c>
      <c r="BJ307" s="6">
        <v>47</v>
      </c>
      <c r="BK307" s="6">
        <v>791950</v>
      </c>
      <c r="BL307" s="6">
        <v>893050</v>
      </c>
      <c r="BM307" s="2">
        <v>893050</v>
      </c>
      <c r="BN307">
        <f>InvoiceTable[[#This Row],[Giảm giá]]*InvoiceTable[[#This Row],[Số lượng]]</f>
        <v>791950</v>
      </c>
    </row>
    <row r="308" spans="1:66" x14ac:dyDescent="0.25">
      <c r="A308" t="s">
        <v>65</v>
      </c>
      <c r="B308" t="s">
        <v>1318</v>
      </c>
      <c r="F308" s="2"/>
      <c r="G308" s="3">
        <v>46013.600068865744</v>
      </c>
      <c r="H308" s="3">
        <v>46013.600068981483</v>
      </c>
      <c r="I308" s="4" t="s">
        <v>67</v>
      </c>
      <c r="J308" t="s">
        <v>1319</v>
      </c>
      <c r="K308" t="s">
        <v>67</v>
      </c>
      <c r="L308" t="s">
        <v>796</v>
      </c>
      <c r="M308" t="s">
        <v>797</v>
      </c>
      <c r="N308" t="s">
        <v>67</v>
      </c>
      <c r="O308" t="s">
        <v>798</v>
      </c>
      <c r="P308" t="s">
        <v>799</v>
      </c>
      <c r="Q308" t="s">
        <v>800</v>
      </c>
      <c r="R308" t="s">
        <v>801</v>
      </c>
      <c r="S308" s="5"/>
      <c r="T308" t="s">
        <v>72</v>
      </c>
      <c r="U308" t="s">
        <v>73</v>
      </c>
      <c r="V308" t="s">
        <v>74</v>
      </c>
      <c r="W308" t="s">
        <v>87</v>
      </c>
      <c r="AE308" s="2"/>
      <c r="AF308" s="2"/>
      <c r="AG308" s="2"/>
      <c r="AH308" s="2"/>
      <c r="AK308" t="s">
        <v>240</v>
      </c>
      <c r="AL308" s="2">
        <v>3477030</v>
      </c>
      <c r="AM308" s="2">
        <v>0</v>
      </c>
      <c r="AN308" s="2"/>
      <c r="AO308" s="2">
        <v>0</v>
      </c>
      <c r="AP308" s="2">
        <v>3477030</v>
      </c>
      <c r="AQ308" s="2">
        <v>3477030</v>
      </c>
      <c r="AR308" s="2">
        <v>0</v>
      </c>
      <c r="AS308" s="2">
        <v>0</v>
      </c>
      <c r="AT308" s="2">
        <v>0</v>
      </c>
      <c r="AU308" s="2">
        <v>3477030</v>
      </c>
      <c r="AV308" s="2">
        <v>0</v>
      </c>
      <c r="AW308" s="4"/>
      <c r="AX308" t="s">
        <v>75</v>
      </c>
      <c r="AZ308" t="s">
        <v>1284</v>
      </c>
      <c r="BA308" t="s">
        <v>67</v>
      </c>
      <c r="BB308" t="s">
        <v>1285</v>
      </c>
      <c r="BC308" t="s">
        <v>1219</v>
      </c>
      <c r="BD308" t="s">
        <v>79</v>
      </c>
      <c r="BE308" t="s">
        <v>317</v>
      </c>
      <c r="BF308" s="5">
        <v>46935</v>
      </c>
      <c r="BH308">
        <v>1</v>
      </c>
      <c r="BI308" s="6">
        <v>480000</v>
      </c>
      <c r="BJ308" s="6">
        <v>40</v>
      </c>
      <c r="BK308" s="6">
        <v>192000</v>
      </c>
      <c r="BL308" s="6">
        <v>288000</v>
      </c>
      <c r="BM308" s="2">
        <v>288000</v>
      </c>
      <c r="BN308">
        <f>InvoiceTable[[#This Row],[Giảm giá]]*InvoiceTable[[#This Row],[Số lượng]]</f>
        <v>192000</v>
      </c>
    </row>
    <row r="309" spans="1:66" x14ac:dyDescent="0.25">
      <c r="A309" t="s">
        <v>65</v>
      </c>
      <c r="B309" t="s">
        <v>1318</v>
      </c>
      <c r="F309" s="2"/>
      <c r="G309" s="3">
        <v>46013.600068865744</v>
      </c>
      <c r="H309" s="3">
        <v>46013.600068981483</v>
      </c>
      <c r="I309" s="4" t="s">
        <v>67</v>
      </c>
      <c r="J309" t="s">
        <v>1319</v>
      </c>
      <c r="K309" t="s">
        <v>67</v>
      </c>
      <c r="L309" t="s">
        <v>796</v>
      </c>
      <c r="M309" t="s">
        <v>797</v>
      </c>
      <c r="N309" t="s">
        <v>67</v>
      </c>
      <c r="O309" t="s">
        <v>798</v>
      </c>
      <c r="P309" t="s">
        <v>799</v>
      </c>
      <c r="Q309" t="s">
        <v>800</v>
      </c>
      <c r="R309" t="s">
        <v>801</v>
      </c>
      <c r="S309" s="5"/>
      <c r="T309" t="s">
        <v>72</v>
      </c>
      <c r="U309" t="s">
        <v>73</v>
      </c>
      <c r="V309" t="s">
        <v>74</v>
      </c>
      <c r="W309" t="s">
        <v>87</v>
      </c>
      <c r="AE309" s="2"/>
      <c r="AF309" s="2"/>
      <c r="AG309" s="2"/>
      <c r="AH309" s="2"/>
      <c r="AK309" t="s">
        <v>240</v>
      </c>
      <c r="AL309" s="2">
        <v>3477030</v>
      </c>
      <c r="AM309" s="2">
        <v>0</v>
      </c>
      <c r="AN309" s="2"/>
      <c r="AO309" s="2">
        <v>0</v>
      </c>
      <c r="AP309" s="2">
        <v>3477030</v>
      </c>
      <c r="AQ309" s="2">
        <v>3477030</v>
      </c>
      <c r="AR309" s="2">
        <v>0</v>
      </c>
      <c r="AS309" s="2">
        <v>0</v>
      </c>
      <c r="AT309" s="2">
        <v>0</v>
      </c>
      <c r="AU309" s="2">
        <v>3477030</v>
      </c>
      <c r="AV309" s="2">
        <v>0</v>
      </c>
      <c r="AW309" s="4"/>
      <c r="AX309" t="s">
        <v>75</v>
      </c>
      <c r="AZ309" t="s">
        <v>259</v>
      </c>
      <c r="BA309" t="s">
        <v>67</v>
      </c>
      <c r="BB309" t="s">
        <v>260</v>
      </c>
      <c r="BC309" t="s">
        <v>261</v>
      </c>
      <c r="BD309" t="s">
        <v>79</v>
      </c>
      <c r="BE309" t="s">
        <v>262</v>
      </c>
      <c r="BF309" s="5">
        <v>46754</v>
      </c>
      <c r="BH309">
        <v>1</v>
      </c>
      <c r="BI309" s="6">
        <v>450000</v>
      </c>
      <c r="BJ309" s="6">
        <v>20</v>
      </c>
      <c r="BK309" s="6">
        <v>90000</v>
      </c>
      <c r="BL309" s="6">
        <v>360000</v>
      </c>
      <c r="BM309" s="2">
        <v>360000</v>
      </c>
      <c r="BN309">
        <f>InvoiceTable[[#This Row],[Giảm giá]]*InvoiceTable[[#This Row],[Số lượng]]</f>
        <v>90000</v>
      </c>
    </row>
    <row r="310" spans="1:66" x14ac:dyDescent="0.25">
      <c r="A310" t="s">
        <v>65</v>
      </c>
      <c r="B310" t="s">
        <v>1318</v>
      </c>
      <c r="F310" s="2"/>
      <c r="G310" s="3">
        <v>46013.600068865744</v>
      </c>
      <c r="H310" s="3">
        <v>46013.600068981483</v>
      </c>
      <c r="I310" s="4" t="s">
        <v>67</v>
      </c>
      <c r="J310" t="s">
        <v>1319</v>
      </c>
      <c r="K310" t="s">
        <v>67</v>
      </c>
      <c r="L310" t="s">
        <v>796</v>
      </c>
      <c r="M310" t="s">
        <v>797</v>
      </c>
      <c r="N310" t="s">
        <v>67</v>
      </c>
      <c r="O310" t="s">
        <v>798</v>
      </c>
      <c r="P310" t="s">
        <v>799</v>
      </c>
      <c r="Q310" t="s">
        <v>800</v>
      </c>
      <c r="R310" t="s">
        <v>801</v>
      </c>
      <c r="S310" s="5"/>
      <c r="T310" t="s">
        <v>72</v>
      </c>
      <c r="U310" t="s">
        <v>73</v>
      </c>
      <c r="V310" t="s">
        <v>74</v>
      </c>
      <c r="W310" t="s">
        <v>87</v>
      </c>
      <c r="AE310" s="2"/>
      <c r="AF310" s="2"/>
      <c r="AG310" s="2"/>
      <c r="AH310" s="2"/>
      <c r="AK310" t="s">
        <v>240</v>
      </c>
      <c r="AL310" s="2">
        <v>3477030</v>
      </c>
      <c r="AM310" s="2">
        <v>0</v>
      </c>
      <c r="AN310" s="2"/>
      <c r="AO310" s="2">
        <v>0</v>
      </c>
      <c r="AP310" s="2">
        <v>3477030</v>
      </c>
      <c r="AQ310" s="2">
        <v>3477030</v>
      </c>
      <c r="AR310" s="2">
        <v>0</v>
      </c>
      <c r="AS310" s="2">
        <v>0</v>
      </c>
      <c r="AT310" s="2">
        <v>0</v>
      </c>
      <c r="AU310" s="2">
        <v>3477030</v>
      </c>
      <c r="AV310" s="2">
        <v>0</v>
      </c>
      <c r="AW310" s="4"/>
      <c r="AX310" t="s">
        <v>75</v>
      </c>
      <c r="AZ310" t="s">
        <v>1322</v>
      </c>
      <c r="BA310" t="s">
        <v>67</v>
      </c>
      <c r="BB310" t="s">
        <v>1323</v>
      </c>
      <c r="BC310" t="s">
        <v>804</v>
      </c>
      <c r="BD310" t="s">
        <v>79</v>
      </c>
      <c r="BE310" t="s">
        <v>715</v>
      </c>
      <c r="BF310" s="5">
        <v>46631</v>
      </c>
      <c r="BG310" t="s">
        <v>67</v>
      </c>
      <c r="BH310">
        <v>2</v>
      </c>
      <c r="BI310" s="6">
        <v>435000</v>
      </c>
      <c r="BJ310" s="6">
        <v>30</v>
      </c>
      <c r="BK310" s="6">
        <v>130500</v>
      </c>
      <c r="BL310" s="6">
        <v>304500</v>
      </c>
      <c r="BM310" s="2">
        <v>609000</v>
      </c>
      <c r="BN310">
        <f>InvoiceTable[[#This Row],[Giảm giá]]*InvoiceTable[[#This Row],[Số lượng]]</f>
        <v>261000</v>
      </c>
    </row>
    <row r="311" spans="1:66" x14ac:dyDescent="0.25">
      <c r="A311" t="s">
        <v>65</v>
      </c>
      <c r="B311" t="s">
        <v>1318</v>
      </c>
      <c r="F311" s="2"/>
      <c r="G311" s="3">
        <v>46013.600068865744</v>
      </c>
      <c r="H311" s="3">
        <v>46013.600068981483</v>
      </c>
      <c r="I311" s="4" t="s">
        <v>67</v>
      </c>
      <c r="J311" t="s">
        <v>1319</v>
      </c>
      <c r="K311" t="s">
        <v>67</v>
      </c>
      <c r="L311" t="s">
        <v>796</v>
      </c>
      <c r="M311" t="s">
        <v>797</v>
      </c>
      <c r="N311" t="s">
        <v>67</v>
      </c>
      <c r="O311" t="s">
        <v>798</v>
      </c>
      <c r="P311" t="s">
        <v>799</v>
      </c>
      <c r="Q311" t="s">
        <v>800</v>
      </c>
      <c r="R311" t="s">
        <v>801</v>
      </c>
      <c r="S311" s="5"/>
      <c r="T311" t="s">
        <v>72</v>
      </c>
      <c r="U311" t="s">
        <v>73</v>
      </c>
      <c r="V311" t="s">
        <v>74</v>
      </c>
      <c r="W311" t="s">
        <v>87</v>
      </c>
      <c r="AE311" s="2"/>
      <c r="AF311" s="2"/>
      <c r="AG311" s="2"/>
      <c r="AH311" s="2"/>
      <c r="AK311" t="s">
        <v>240</v>
      </c>
      <c r="AL311" s="2">
        <v>3477030</v>
      </c>
      <c r="AM311" s="2">
        <v>0</v>
      </c>
      <c r="AN311" s="2"/>
      <c r="AO311" s="2">
        <v>0</v>
      </c>
      <c r="AP311" s="2">
        <v>3477030</v>
      </c>
      <c r="AQ311" s="2">
        <v>3477030</v>
      </c>
      <c r="AR311" s="2">
        <v>0</v>
      </c>
      <c r="AS311" s="2">
        <v>0</v>
      </c>
      <c r="AT311" s="2">
        <v>0</v>
      </c>
      <c r="AU311" s="2">
        <v>3477030</v>
      </c>
      <c r="AV311" s="2">
        <v>0</v>
      </c>
      <c r="AW311" s="4"/>
      <c r="AX311" t="s">
        <v>75</v>
      </c>
      <c r="AZ311" t="s">
        <v>771</v>
      </c>
      <c r="BA311" t="s">
        <v>67</v>
      </c>
      <c r="BB311" t="s">
        <v>772</v>
      </c>
      <c r="BC311" t="s">
        <v>770</v>
      </c>
      <c r="BD311" t="s">
        <v>79</v>
      </c>
      <c r="BE311" t="s">
        <v>773</v>
      </c>
      <c r="BF311" s="5">
        <v>47360</v>
      </c>
      <c r="BH311">
        <v>1</v>
      </c>
      <c r="BI311" s="6">
        <v>399000</v>
      </c>
      <c r="BJ311" s="6">
        <v>44</v>
      </c>
      <c r="BK311" s="6">
        <v>175560</v>
      </c>
      <c r="BL311" s="6">
        <v>223440</v>
      </c>
      <c r="BM311" s="2">
        <v>223440</v>
      </c>
      <c r="BN311">
        <f>InvoiceTable[[#This Row],[Giảm giá]]*InvoiceTable[[#This Row],[Số lượng]]</f>
        <v>175560</v>
      </c>
    </row>
    <row r="312" spans="1:66" x14ac:dyDescent="0.25">
      <c r="A312" t="s">
        <v>65</v>
      </c>
      <c r="B312" t="s">
        <v>1318</v>
      </c>
      <c r="F312" s="2"/>
      <c r="G312" s="3">
        <v>46013.600068865744</v>
      </c>
      <c r="H312" s="3">
        <v>46013.600068981483</v>
      </c>
      <c r="I312" s="4" t="s">
        <v>67</v>
      </c>
      <c r="J312" t="s">
        <v>1319</v>
      </c>
      <c r="K312" t="s">
        <v>67</v>
      </c>
      <c r="L312" t="s">
        <v>796</v>
      </c>
      <c r="M312" t="s">
        <v>797</v>
      </c>
      <c r="N312" t="s">
        <v>67</v>
      </c>
      <c r="O312" t="s">
        <v>798</v>
      </c>
      <c r="P312" t="s">
        <v>799</v>
      </c>
      <c r="Q312" t="s">
        <v>800</v>
      </c>
      <c r="R312" t="s">
        <v>801</v>
      </c>
      <c r="S312" s="5"/>
      <c r="T312" t="s">
        <v>72</v>
      </c>
      <c r="U312" t="s">
        <v>73</v>
      </c>
      <c r="V312" t="s">
        <v>74</v>
      </c>
      <c r="W312" t="s">
        <v>87</v>
      </c>
      <c r="AE312" s="2"/>
      <c r="AF312" s="2"/>
      <c r="AG312" s="2"/>
      <c r="AH312" s="2"/>
      <c r="AK312" t="s">
        <v>240</v>
      </c>
      <c r="AL312" s="2">
        <v>3477030</v>
      </c>
      <c r="AM312" s="2">
        <v>0</v>
      </c>
      <c r="AN312" s="2"/>
      <c r="AO312" s="2">
        <v>0</v>
      </c>
      <c r="AP312" s="2">
        <v>3477030</v>
      </c>
      <c r="AQ312" s="2">
        <v>3477030</v>
      </c>
      <c r="AR312" s="2">
        <v>0</v>
      </c>
      <c r="AS312" s="2">
        <v>0</v>
      </c>
      <c r="AT312" s="2">
        <v>0</v>
      </c>
      <c r="AU312" s="2">
        <v>3477030</v>
      </c>
      <c r="AV312" s="2">
        <v>0</v>
      </c>
      <c r="AW312" s="4"/>
      <c r="AX312" t="s">
        <v>75</v>
      </c>
      <c r="AZ312" t="s">
        <v>355</v>
      </c>
      <c r="BB312" t="s">
        <v>356</v>
      </c>
      <c r="BC312" t="s">
        <v>357</v>
      </c>
      <c r="BD312" t="s">
        <v>79</v>
      </c>
      <c r="BE312" t="s">
        <v>317</v>
      </c>
      <c r="BF312" s="5">
        <v>46935</v>
      </c>
      <c r="BG312" t="s">
        <v>67</v>
      </c>
      <c r="BH312">
        <v>1</v>
      </c>
      <c r="BI312" s="6">
        <v>454000</v>
      </c>
      <c r="BJ312" s="6">
        <v>40</v>
      </c>
      <c r="BK312" s="6">
        <v>181600</v>
      </c>
      <c r="BL312" s="6">
        <v>272400</v>
      </c>
      <c r="BM312" s="2">
        <v>272400</v>
      </c>
      <c r="BN312">
        <f>InvoiceTable[[#This Row],[Giảm giá]]*InvoiceTable[[#This Row],[Số lượng]]</f>
        <v>181600</v>
      </c>
    </row>
    <row r="313" spans="1:66" x14ac:dyDescent="0.25">
      <c r="A313" t="s">
        <v>65</v>
      </c>
      <c r="B313" t="s">
        <v>1324</v>
      </c>
      <c r="F313" s="2"/>
      <c r="G313" s="3">
        <v>46013.599676736114</v>
      </c>
      <c r="H313" s="3">
        <v>46013.599676851853</v>
      </c>
      <c r="I313" s="4" t="s">
        <v>67</v>
      </c>
      <c r="J313" t="s">
        <v>1325</v>
      </c>
      <c r="K313" t="s">
        <v>67</v>
      </c>
      <c r="L313" t="s">
        <v>398</v>
      </c>
      <c r="M313" t="s">
        <v>399</v>
      </c>
      <c r="N313" t="s">
        <v>400</v>
      </c>
      <c r="O313" t="s">
        <v>401</v>
      </c>
      <c r="P313" t="s">
        <v>402</v>
      </c>
      <c r="S313" s="5"/>
      <c r="T313" t="s">
        <v>72</v>
      </c>
      <c r="U313" t="s">
        <v>102</v>
      </c>
      <c r="V313" t="s">
        <v>74</v>
      </c>
      <c r="W313" t="s">
        <v>87</v>
      </c>
      <c r="AE313" s="2"/>
      <c r="AF313" s="2"/>
      <c r="AG313" s="2"/>
      <c r="AH313" s="2"/>
      <c r="AK313" t="s">
        <v>1326</v>
      </c>
      <c r="AL313" s="2">
        <v>1096700</v>
      </c>
      <c r="AM313" s="2">
        <v>0</v>
      </c>
      <c r="AN313" s="2"/>
      <c r="AO313" s="2">
        <v>0</v>
      </c>
      <c r="AP313" s="2">
        <v>1096700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4"/>
      <c r="AX313" t="s">
        <v>75</v>
      </c>
      <c r="AZ313" t="s">
        <v>1327</v>
      </c>
      <c r="BA313" t="s">
        <v>67</v>
      </c>
      <c r="BB313" t="s">
        <v>1328</v>
      </c>
      <c r="BC313" t="s">
        <v>251</v>
      </c>
      <c r="BD313" t="s">
        <v>79</v>
      </c>
      <c r="BE313" t="s">
        <v>177</v>
      </c>
      <c r="BF313" s="5">
        <v>47027</v>
      </c>
      <c r="BH313">
        <v>2</v>
      </c>
      <c r="BI313" s="6">
        <v>495000</v>
      </c>
      <c r="BJ313" s="6">
        <v>44</v>
      </c>
      <c r="BK313" s="6">
        <v>217800</v>
      </c>
      <c r="BL313" s="6">
        <v>277200</v>
      </c>
      <c r="BM313" s="2">
        <v>554400</v>
      </c>
      <c r="BN313">
        <f>InvoiceTable[[#This Row],[Giảm giá]]*InvoiceTable[[#This Row],[Số lượng]]</f>
        <v>435600</v>
      </c>
    </row>
    <row r="314" spans="1:66" x14ac:dyDescent="0.25">
      <c r="A314" t="s">
        <v>65</v>
      </c>
      <c r="B314" t="s">
        <v>1324</v>
      </c>
      <c r="F314" s="2"/>
      <c r="G314" s="3">
        <v>46013.599676736114</v>
      </c>
      <c r="H314" s="3">
        <v>46013.599676851853</v>
      </c>
      <c r="I314" s="4" t="s">
        <v>67</v>
      </c>
      <c r="J314" t="s">
        <v>1325</v>
      </c>
      <c r="K314" t="s">
        <v>67</v>
      </c>
      <c r="L314" t="s">
        <v>398</v>
      </c>
      <c r="M314" t="s">
        <v>399</v>
      </c>
      <c r="N314" t="s">
        <v>400</v>
      </c>
      <c r="O314" t="s">
        <v>401</v>
      </c>
      <c r="P314" t="s">
        <v>402</v>
      </c>
      <c r="S314" s="5"/>
      <c r="T314" t="s">
        <v>72</v>
      </c>
      <c r="U314" t="s">
        <v>102</v>
      </c>
      <c r="V314" t="s">
        <v>74</v>
      </c>
      <c r="W314" t="s">
        <v>87</v>
      </c>
      <c r="AE314" s="2"/>
      <c r="AF314" s="2"/>
      <c r="AG314" s="2"/>
      <c r="AH314" s="2"/>
      <c r="AK314" t="s">
        <v>1326</v>
      </c>
      <c r="AL314" s="2">
        <v>1096700</v>
      </c>
      <c r="AM314" s="2">
        <v>0</v>
      </c>
      <c r="AN314" s="2"/>
      <c r="AO314" s="2">
        <v>0</v>
      </c>
      <c r="AP314" s="2">
        <v>1096700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4"/>
      <c r="AX314" t="s">
        <v>75</v>
      </c>
      <c r="AZ314" t="s">
        <v>1187</v>
      </c>
      <c r="BA314" t="s">
        <v>67</v>
      </c>
      <c r="BB314" t="s">
        <v>1188</v>
      </c>
      <c r="BC314" t="s">
        <v>1189</v>
      </c>
      <c r="BD314" t="s">
        <v>79</v>
      </c>
      <c r="BE314" t="s">
        <v>434</v>
      </c>
      <c r="BF314" s="5">
        <v>46661</v>
      </c>
      <c r="BH314">
        <v>1</v>
      </c>
      <c r="BI314" s="6">
        <v>935000</v>
      </c>
      <c r="BJ314" s="6">
        <v>42</v>
      </c>
      <c r="BK314" s="6">
        <v>392700</v>
      </c>
      <c r="BL314" s="6">
        <v>542300</v>
      </c>
      <c r="BM314" s="2">
        <v>542300</v>
      </c>
      <c r="BN314">
        <f>InvoiceTable[[#This Row],[Giảm giá]]*InvoiceTable[[#This Row],[Số lượng]]</f>
        <v>392700</v>
      </c>
    </row>
    <row r="315" spans="1:66" x14ac:dyDescent="0.25">
      <c r="A315" t="s">
        <v>65</v>
      </c>
      <c r="B315" t="s">
        <v>1329</v>
      </c>
      <c r="F315" s="2"/>
      <c r="G315" s="3">
        <v>46013.598956018519</v>
      </c>
      <c r="H315" s="3">
        <v>46013.598956168978</v>
      </c>
      <c r="I315" s="4" t="s">
        <v>1330</v>
      </c>
      <c r="J315" t="s">
        <v>1331</v>
      </c>
      <c r="K315" t="s">
        <v>67</v>
      </c>
      <c r="L315" t="s">
        <v>350</v>
      </c>
      <c r="M315" t="s">
        <v>351</v>
      </c>
      <c r="N315" t="s">
        <v>67</v>
      </c>
      <c r="O315" t="s">
        <v>352</v>
      </c>
      <c r="P315" t="s">
        <v>353</v>
      </c>
      <c r="S315" s="5"/>
      <c r="T315" t="s">
        <v>72</v>
      </c>
      <c r="U315" t="s">
        <v>87</v>
      </c>
      <c r="V315" t="s">
        <v>74</v>
      </c>
      <c r="W315" t="s">
        <v>87</v>
      </c>
      <c r="AE315" s="2"/>
      <c r="AF315" s="2"/>
      <c r="AG315" s="2"/>
      <c r="AH315" s="2"/>
      <c r="AK315" t="s">
        <v>1332</v>
      </c>
      <c r="AL315" s="2">
        <v>53650000</v>
      </c>
      <c r="AM315" s="2">
        <v>24142500</v>
      </c>
      <c r="AN315" s="2"/>
      <c r="AO315" s="2">
        <v>0</v>
      </c>
      <c r="AP315" s="2">
        <v>29507500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4"/>
      <c r="AX315" t="s">
        <v>75</v>
      </c>
      <c r="AZ315" t="s">
        <v>355</v>
      </c>
      <c r="BB315" t="s">
        <v>356</v>
      </c>
      <c r="BC315" t="s">
        <v>357</v>
      </c>
      <c r="BD315" t="s">
        <v>79</v>
      </c>
      <c r="BE315" t="s">
        <v>317</v>
      </c>
      <c r="BF315" s="5">
        <v>46935</v>
      </c>
      <c r="BG315" t="s">
        <v>67</v>
      </c>
      <c r="BH315">
        <v>50</v>
      </c>
      <c r="BI315" s="6">
        <v>454000</v>
      </c>
      <c r="BJ315" s="6">
        <v>0</v>
      </c>
      <c r="BK315" s="6">
        <v>0</v>
      </c>
      <c r="BL315" s="6">
        <v>454000</v>
      </c>
      <c r="BM315" s="2">
        <v>22700000</v>
      </c>
      <c r="BN315">
        <f>InvoiceTable[[#This Row],[Giảm giá]]*InvoiceTable[[#This Row],[Số lượng]]</f>
        <v>0</v>
      </c>
    </row>
    <row r="316" spans="1:66" x14ac:dyDescent="0.25">
      <c r="A316" t="s">
        <v>65</v>
      </c>
      <c r="B316" t="s">
        <v>1329</v>
      </c>
      <c r="F316" s="2"/>
      <c r="G316" s="3">
        <v>46013.598956018519</v>
      </c>
      <c r="H316" s="3">
        <v>46013.598956168978</v>
      </c>
      <c r="I316" s="4" t="s">
        <v>1330</v>
      </c>
      <c r="J316" t="s">
        <v>1331</v>
      </c>
      <c r="K316" t="s">
        <v>67</v>
      </c>
      <c r="L316" t="s">
        <v>350</v>
      </c>
      <c r="M316" t="s">
        <v>351</v>
      </c>
      <c r="N316" t="s">
        <v>67</v>
      </c>
      <c r="O316" t="s">
        <v>352</v>
      </c>
      <c r="P316" t="s">
        <v>353</v>
      </c>
      <c r="S316" s="5"/>
      <c r="T316" t="s">
        <v>72</v>
      </c>
      <c r="U316" t="s">
        <v>87</v>
      </c>
      <c r="V316" t="s">
        <v>74</v>
      </c>
      <c r="W316" t="s">
        <v>87</v>
      </c>
      <c r="AE316" s="2"/>
      <c r="AF316" s="2"/>
      <c r="AG316" s="2"/>
      <c r="AH316" s="2"/>
      <c r="AK316" t="s">
        <v>1332</v>
      </c>
      <c r="AL316" s="2">
        <v>53650000</v>
      </c>
      <c r="AM316" s="2">
        <v>24142500</v>
      </c>
      <c r="AN316" s="2"/>
      <c r="AO316" s="2">
        <v>0</v>
      </c>
      <c r="AP316" s="2">
        <v>29507500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4"/>
      <c r="AX316" t="s">
        <v>75</v>
      </c>
      <c r="AZ316" t="s">
        <v>1333</v>
      </c>
      <c r="BA316" t="s">
        <v>67</v>
      </c>
      <c r="BB316" t="s">
        <v>1334</v>
      </c>
      <c r="BC316" t="s">
        <v>1067</v>
      </c>
      <c r="BD316" t="s">
        <v>79</v>
      </c>
      <c r="BE316" t="s">
        <v>317</v>
      </c>
      <c r="BF316" s="5">
        <v>46935</v>
      </c>
      <c r="BH316">
        <v>10</v>
      </c>
      <c r="BI316" s="6">
        <v>417000</v>
      </c>
      <c r="BJ316" s="6">
        <v>0</v>
      </c>
      <c r="BK316" s="6">
        <v>0</v>
      </c>
      <c r="BL316" s="6">
        <v>417000</v>
      </c>
      <c r="BM316" s="2">
        <v>4170000</v>
      </c>
      <c r="BN316">
        <f>InvoiceTable[[#This Row],[Giảm giá]]*InvoiceTable[[#This Row],[Số lượng]]</f>
        <v>0</v>
      </c>
    </row>
    <row r="317" spans="1:66" x14ac:dyDescent="0.25">
      <c r="A317" t="s">
        <v>65</v>
      </c>
      <c r="B317" t="s">
        <v>1329</v>
      </c>
      <c r="F317" s="2"/>
      <c r="G317" s="3">
        <v>46013.598956018519</v>
      </c>
      <c r="H317" s="3">
        <v>46013.598956168978</v>
      </c>
      <c r="I317" s="4" t="s">
        <v>1330</v>
      </c>
      <c r="J317" t="s">
        <v>1331</v>
      </c>
      <c r="K317" t="s">
        <v>67</v>
      </c>
      <c r="L317" t="s">
        <v>350</v>
      </c>
      <c r="M317" t="s">
        <v>351</v>
      </c>
      <c r="N317" t="s">
        <v>67</v>
      </c>
      <c r="O317" t="s">
        <v>352</v>
      </c>
      <c r="P317" t="s">
        <v>353</v>
      </c>
      <c r="S317" s="5"/>
      <c r="T317" t="s">
        <v>72</v>
      </c>
      <c r="U317" t="s">
        <v>87</v>
      </c>
      <c r="V317" t="s">
        <v>74</v>
      </c>
      <c r="W317" t="s">
        <v>87</v>
      </c>
      <c r="AE317" s="2"/>
      <c r="AF317" s="2"/>
      <c r="AG317" s="2"/>
      <c r="AH317" s="2"/>
      <c r="AK317" t="s">
        <v>1332</v>
      </c>
      <c r="AL317" s="2">
        <v>53650000</v>
      </c>
      <c r="AM317" s="2">
        <v>24142500</v>
      </c>
      <c r="AN317" s="2"/>
      <c r="AO317" s="2">
        <v>0</v>
      </c>
      <c r="AP317" s="2">
        <v>29507500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4"/>
      <c r="AX317" t="s">
        <v>75</v>
      </c>
      <c r="AZ317" t="s">
        <v>565</v>
      </c>
      <c r="BA317" t="s">
        <v>67</v>
      </c>
      <c r="BB317" t="s">
        <v>566</v>
      </c>
      <c r="BC317" t="s">
        <v>567</v>
      </c>
      <c r="BD317" t="s">
        <v>79</v>
      </c>
      <c r="BE317" t="s">
        <v>94</v>
      </c>
      <c r="BF317" s="5">
        <v>46692</v>
      </c>
      <c r="BH317">
        <v>10</v>
      </c>
      <c r="BI317" s="6">
        <v>488000</v>
      </c>
      <c r="BJ317" s="6">
        <v>0</v>
      </c>
      <c r="BK317" s="6">
        <v>0</v>
      </c>
      <c r="BL317" s="6">
        <v>488000</v>
      </c>
      <c r="BM317" s="2">
        <v>4880000</v>
      </c>
      <c r="BN317">
        <f>InvoiceTable[[#This Row],[Giảm giá]]*InvoiceTable[[#This Row],[Số lượng]]</f>
        <v>0</v>
      </c>
    </row>
    <row r="318" spans="1:66" x14ac:dyDescent="0.25">
      <c r="A318" t="s">
        <v>65</v>
      </c>
      <c r="B318" t="s">
        <v>1329</v>
      </c>
      <c r="F318" s="2"/>
      <c r="G318" s="3">
        <v>46013.598956018519</v>
      </c>
      <c r="H318" s="3">
        <v>46013.598956168978</v>
      </c>
      <c r="I318" s="4" t="s">
        <v>1330</v>
      </c>
      <c r="J318" t="s">
        <v>1331</v>
      </c>
      <c r="K318" t="s">
        <v>67</v>
      </c>
      <c r="L318" t="s">
        <v>350</v>
      </c>
      <c r="M318" t="s">
        <v>351</v>
      </c>
      <c r="N318" t="s">
        <v>67</v>
      </c>
      <c r="O318" t="s">
        <v>352</v>
      </c>
      <c r="P318" t="s">
        <v>353</v>
      </c>
      <c r="S318" s="5"/>
      <c r="T318" t="s">
        <v>72</v>
      </c>
      <c r="U318" t="s">
        <v>87</v>
      </c>
      <c r="V318" t="s">
        <v>74</v>
      </c>
      <c r="W318" t="s">
        <v>87</v>
      </c>
      <c r="AE318" s="2"/>
      <c r="AF318" s="2"/>
      <c r="AG318" s="2"/>
      <c r="AH318" s="2"/>
      <c r="AK318" t="s">
        <v>1332</v>
      </c>
      <c r="AL318" s="2">
        <v>53650000</v>
      </c>
      <c r="AM318" s="2">
        <v>24142500</v>
      </c>
      <c r="AN318" s="2"/>
      <c r="AO318" s="2">
        <v>0</v>
      </c>
      <c r="AP318" s="2">
        <v>29507500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4"/>
      <c r="AX318" t="s">
        <v>75</v>
      </c>
      <c r="AZ318" t="s">
        <v>1335</v>
      </c>
      <c r="BA318" t="s">
        <v>67</v>
      </c>
      <c r="BB318" t="s">
        <v>1336</v>
      </c>
      <c r="BC318" t="s">
        <v>1067</v>
      </c>
      <c r="BD318" t="s">
        <v>79</v>
      </c>
      <c r="BE318" t="s">
        <v>201</v>
      </c>
      <c r="BF318" s="5">
        <v>46966</v>
      </c>
      <c r="BH318">
        <v>5</v>
      </c>
      <c r="BI318" s="6">
        <v>726000</v>
      </c>
      <c r="BJ318" s="6">
        <v>0</v>
      </c>
      <c r="BK318" s="6">
        <v>0</v>
      </c>
      <c r="BL318" s="6">
        <v>726000</v>
      </c>
      <c r="BM318" s="2">
        <v>3630000</v>
      </c>
      <c r="BN318">
        <f>InvoiceTable[[#This Row],[Giảm giá]]*InvoiceTable[[#This Row],[Số lượng]]</f>
        <v>0</v>
      </c>
    </row>
    <row r="319" spans="1:66" x14ac:dyDescent="0.25">
      <c r="A319" t="s">
        <v>65</v>
      </c>
      <c r="B319" t="s">
        <v>1329</v>
      </c>
      <c r="F319" s="2"/>
      <c r="G319" s="3">
        <v>46013.598956018519</v>
      </c>
      <c r="H319" s="3">
        <v>46013.598956168978</v>
      </c>
      <c r="I319" s="4" t="s">
        <v>1330</v>
      </c>
      <c r="J319" t="s">
        <v>1331</v>
      </c>
      <c r="K319" t="s">
        <v>67</v>
      </c>
      <c r="L319" t="s">
        <v>350</v>
      </c>
      <c r="M319" t="s">
        <v>351</v>
      </c>
      <c r="N319" t="s">
        <v>67</v>
      </c>
      <c r="O319" t="s">
        <v>352</v>
      </c>
      <c r="P319" t="s">
        <v>353</v>
      </c>
      <c r="S319" s="5"/>
      <c r="T319" t="s">
        <v>72</v>
      </c>
      <c r="U319" t="s">
        <v>87</v>
      </c>
      <c r="V319" t="s">
        <v>74</v>
      </c>
      <c r="W319" t="s">
        <v>87</v>
      </c>
      <c r="AE319" s="2"/>
      <c r="AF319" s="2"/>
      <c r="AG319" s="2"/>
      <c r="AH319" s="2"/>
      <c r="AK319" t="s">
        <v>1332</v>
      </c>
      <c r="AL319" s="2">
        <v>53650000</v>
      </c>
      <c r="AM319" s="2">
        <v>24142500</v>
      </c>
      <c r="AN319" s="2"/>
      <c r="AO319" s="2">
        <v>0</v>
      </c>
      <c r="AP319" s="2">
        <v>29507500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4"/>
      <c r="AX319" t="s">
        <v>75</v>
      </c>
      <c r="AZ319" t="s">
        <v>1337</v>
      </c>
      <c r="BA319" t="s">
        <v>67</v>
      </c>
      <c r="BB319" t="s">
        <v>1338</v>
      </c>
      <c r="BC319" t="s">
        <v>567</v>
      </c>
      <c r="BD319" t="s">
        <v>79</v>
      </c>
      <c r="BE319" t="s">
        <v>434</v>
      </c>
      <c r="BF319" s="5">
        <v>46661</v>
      </c>
      <c r="BH319">
        <v>10</v>
      </c>
      <c r="BI319" s="6">
        <v>756000</v>
      </c>
      <c r="BJ319" s="6">
        <v>0</v>
      </c>
      <c r="BK319" s="6">
        <v>0</v>
      </c>
      <c r="BL319" s="6">
        <v>756000</v>
      </c>
      <c r="BM319" s="2">
        <v>7560000</v>
      </c>
      <c r="BN319">
        <f>InvoiceTable[[#This Row],[Giảm giá]]*InvoiceTable[[#This Row],[Số lượng]]</f>
        <v>0</v>
      </c>
    </row>
    <row r="320" spans="1:66" x14ac:dyDescent="0.25">
      <c r="A320" t="s">
        <v>65</v>
      </c>
      <c r="B320" t="s">
        <v>1329</v>
      </c>
      <c r="F320" s="2"/>
      <c r="G320" s="3">
        <v>46013.598956018519</v>
      </c>
      <c r="H320" s="3">
        <v>46013.598956168978</v>
      </c>
      <c r="I320" s="4" t="s">
        <v>1330</v>
      </c>
      <c r="J320" t="s">
        <v>1331</v>
      </c>
      <c r="K320" t="s">
        <v>67</v>
      </c>
      <c r="L320" t="s">
        <v>350</v>
      </c>
      <c r="M320" t="s">
        <v>351</v>
      </c>
      <c r="N320" t="s">
        <v>67</v>
      </c>
      <c r="O320" t="s">
        <v>352</v>
      </c>
      <c r="P320" t="s">
        <v>353</v>
      </c>
      <c r="S320" s="5"/>
      <c r="T320" t="s">
        <v>72</v>
      </c>
      <c r="U320" t="s">
        <v>87</v>
      </c>
      <c r="V320" t="s">
        <v>74</v>
      </c>
      <c r="W320" t="s">
        <v>87</v>
      </c>
      <c r="AE320" s="2"/>
      <c r="AF320" s="2"/>
      <c r="AG320" s="2"/>
      <c r="AH320" s="2"/>
      <c r="AK320" t="s">
        <v>1332</v>
      </c>
      <c r="AL320" s="2">
        <v>53650000</v>
      </c>
      <c r="AM320" s="2">
        <v>24142500</v>
      </c>
      <c r="AN320" s="2"/>
      <c r="AO320" s="2">
        <v>0</v>
      </c>
      <c r="AP320" s="2">
        <v>29507500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4"/>
      <c r="AX320" t="s">
        <v>75</v>
      </c>
      <c r="AZ320" t="s">
        <v>1339</v>
      </c>
      <c r="BA320" t="s">
        <v>67</v>
      </c>
      <c r="BB320" t="s">
        <v>1340</v>
      </c>
      <c r="BC320" t="s">
        <v>567</v>
      </c>
      <c r="BD320" t="s">
        <v>79</v>
      </c>
      <c r="BE320" t="s">
        <v>434</v>
      </c>
      <c r="BF320" s="5">
        <v>46661</v>
      </c>
      <c r="BH320">
        <v>30</v>
      </c>
      <c r="BI320" s="6">
        <v>357000</v>
      </c>
      <c r="BJ320" s="6">
        <v>0</v>
      </c>
      <c r="BK320" s="6">
        <v>0</v>
      </c>
      <c r="BL320" s="6">
        <v>357000</v>
      </c>
      <c r="BM320" s="2">
        <v>10710000</v>
      </c>
      <c r="BN320">
        <f>InvoiceTable[[#This Row],[Giảm giá]]*InvoiceTable[[#This Row],[Số lượng]]</f>
        <v>0</v>
      </c>
    </row>
    <row r="321" spans="1:66" x14ac:dyDescent="0.25">
      <c r="A321" t="s">
        <v>65</v>
      </c>
      <c r="B321" t="s">
        <v>1341</v>
      </c>
      <c r="F321" s="2"/>
      <c r="G321" s="3">
        <v>46013.598294988427</v>
      </c>
      <c r="H321" s="3">
        <v>46013.598295219905</v>
      </c>
      <c r="I321" s="4" t="s">
        <v>67</v>
      </c>
      <c r="J321" t="s">
        <v>1342</v>
      </c>
      <c r="K321" t="s">
        <v>67</v>
      </c>
      <c r="L321" t="s">
        <v>1343</v>
      </c>
      <c r="M321" t="s">
        <v>1344</v>
      </c>
      <c r="N321" t="s">
        <v>1345</v>
      </c>
      <c r="O321" t="s">
        <v>1346</v>
      </c>
      <c r="P321" t="s">
        <v>1347</v>
      </c>
      <c r="S321" s="5"/>
      <c r="T321" t="s">
        <v>72</v>
      </c>
      <c r="U321" t="s">
        <v>73</v>
      </c>
      <c r="V321" t="s">
        <v>74</v>
      </c>
      <c r="W321" t="s">
        <v>87</v>
      </c>
      <c r="AE321" s="2"/>
      <c r="AF321" s="2"/>
      <c r="AG321" s="2"/>
      <c r="AH321" s="2"/>
      <c r="AK321" t="s">
        <v>1348</v>
      </c>
      <c r="AL321" s="2">
        <v>3200000</v>
      </c>
      <c r="AM321" s="2">
        <v>0</v>
      </c>
      <c r="AN321" s="2"/>
      <c r="AO321" s="2">
        <v>0</v>
      </c>
      <c r="AP321" s="2">
        <v>3200000</v>
      </c>
      <c r="AQ321" s="2">
        <v>3200000</v>
      </c>
      <c r="AR321" s="2">
        <v>0</v>
      </c>
      <c r="AS321" s="2">
        <v>0</v>
      </c>
      <c r="AT321" s="2">
        <v>0</v>
      </c>
      <c r="AU321" s="2">
        <v>3200000</v>
      </c>
      <c r="AV321" s="2">
        <v>0</v>
      </c>
      <c r="AW321" s="4"/>
      <c r="AX321" t="s">
        <v>75</v>
      </c>
      <c r="AZ321" t="s">
        <v>1349</v>
      </c>
      <c r="BA321" t="s">
        <v>67</v>
      </c>
      <c r="BB321" t="s">
        <v>1350</v>
      </c>
      <c r="BC321" t="s">
        <v>784</v>
      </c>
      <c r="BD321" t="s">
        <v>79</v>
      </c>
      <c r="BE321" t="s">
        <v>1351</v>
      </c>
      <c r="BF321" s="5">
        <v>46477</v>
      </c>
      <c r="BG321" t="s">
        <v>67</v>
      </c>
      <c r="BH321">
        <v>1</v>
      </c>
      <c r="BI321" s="6">
        <v>3972000</v>
      </c>
      <c r="BJ321" s="6">
        <v>0</v>
      </c>
      <c r="BK321" s="6">
        <v>772000</v>
      </c>
      <c r="BL321" s="6">
        <v>3200000</v>
      </c>
      <c r="BM321" s="2">
        <v>3200000</v>
      </c>
      <c r="BN321">
        <f>InvoiceTable[[#This Row],[Giảm giá]]*InvoiceTable[[#This Row],[Số lượng]]</f>
        <v>772000</v>
      </c>
    </row>
    <row r="322" spans="1:66" x14ac:dyDescent="0.25">
      <c r="A322" t="s">
        <v>65</v>
      </c>
      <c r="B322" t="s">
        <v>1352</v>
      </c>
      <c r="F322" s="2"/>
      <c r="G322" s="3">
        <v>46013.597886805554</v>
      </c>
      <c r="H322" s="3">
        <v>46013.597887268515</v>
      </c>
      <c r="I322" s="4" t="s">
        <v>67</v>
      </c>
      <c r="J322" t="s">
        <v>67</v>
      </c>
      <c r="K322" t="s">
        <v>67</v>
      </c>
      <c r="L322" t="s">
        <v>1353</v>
      </c>
      <c r="M322" t="s">
        <v>1354</v>
      </c>
      <c r="N322" t="s">
        <v>1355</v>
      </c>
      <c r="O322" t="s">
        <v>1356</v>
      </c>
      <c r="P322" t="s">
        <v>1357</v>
      </c>
      <c r="S322" s="5"/>
      <c r="T322" t="s">
        <v>72</v>
      </c>
      <c r="U322" t="s">
        <v>102</v>
      </c>
      <c r="V322" t="s">
        <v>74</v>
      </c>
      <c r="W322" t="s">
        <v>102</v>
      </c>
      <c r="AE322" s="2"/>
      <c r="AF322" s="2"/>
      <c r="AG322" s="2"/>
      <c r="AH322" s="2"/>
      <c r="AK322" t="s">
        <v>1358</v>
      </c>
      <c r="AL322" s="2">
        <v>1053800</v>
      </c>
      <c r="AM322" s="2">
        <v>0</v>
      </c>
      <c r="AN322" s="2"/>
      <c r="AO322" s="2">
        <v>0</v>
      </c>
      <c r="AP322" s="2">
        <v>1053800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4"/>
      <c r="AX322" t="s">
        <v>75</v>
      </c>
      <c r="AZ322" t="s">
        <v>1359</v>
      </c>
      <c r="BA322" t="s">
        <v>67</v>
      </c>
      <c r="BB322" t="s">
        <v>1360</v>
      </c>
      <c r="BC322" t="s">
        <v>1361</v>
      </c>
      <c r="BD322" t="s">
        <v>79</v>
      </c>
      <c r="BE322" t="s">
        <v>1362</v>
      </c>
      <c r="BF322" s="5">
        <v>46926</v>
      </c>
      <c r="BG322" t="s">
        <v>67</v>
      </c>
      <c r="BH322">
        <v>4</v>
      </c>
      <c r="BI322" s="6">
        <v>479000</v>
      </c>
      <c r="BJ322" s="6">
        <v>45</v>
      </c>
      <c r="BK322" s="6">
        <v>215550</v>
      </c>
      <c r="BL322" s="6">
        <v>263450</v>
      </c>
      <c r="BM322" s="2">
        <v>1053800</v>
      </c>
      <c r="BN322">
        <f>InvoiceTable[[#This Row],[Giảm giá]]*InvoiceTable[[#This Row],[Số lượng]]</f>
        <v>862200</v>
      </c>
    </row>
    <row r="323" spans="1:66" x14ac:dyDescent="0.25">
      <c r="A323" t="s">
        <v>65</v>
      </c>
      <c r="B323" t="s">
        <v>1363</v>
      </c>
      <c r="F323" s="2"/>
      <c r="G323" s="3">
        <v>46013.595777002316</v>
      </c>
      <c r="H323" s="3">
        <v>46013.595730821762</v>
      </c>
      <c r="I323" s="4" t="s">
        <v>96</v>
      </c>
      <c r="J323" t="s">
        <v>67</v>
      </c>
      <c r="K323" t="s">
        <v>67</v>
      </c>
      <c r="L323" t="s">
        <v>933</v>
      </c>
      <c r="M323" t="s">
        <v>934</v>
      </c>
      <c r="N323" t="s">
        <v>67</v>
      </c>
      <c r="O323" t="s">
        <v>935</v>
      </c>
      <c r="S323" s="5"/>
      <c r="T323" t="s">
        <v>72</v>
      </c>
      <c r="U323" t="s">
        <v>87</v>
      </c>
      <c r="V323" t="s">
        <v>74</v>
      </c>
      <c r="W323" t="s">
        <v>87</v>
      </c>
      <c r="AE323" s="2"/>
      <c r="AF323" s="2"/>
      <c r="AG323" s="2"/>
      <c r="AH323" s="2"/>
      <c r="AK323" t="s">
        <v>1364</v>
      </c>
      <c r="AL323" s="2">
        <v>489800</v>
      </c>
      <c r="AM323" s="2">
        <v>0</v>
      </c>
      <c r="AN323" s="2"/>
      <c r="AO323" s="2">
        <v>0</v>
      </c>
      <c r="AP323" s="2">
        <v>489800</v>
      </c>
      <c r="AQ323" s="2">
        <v>489800</v>
      </c>
      <c r="AR323" s="2">
        <v>0</v>
      </c>
      <c r="AS323" s="2">
        <v>0</v>
      </c>
      <c r="AT323" s="2">
        <v>0</v>
      </c>
      <c r="AU323" s="2">
        <v>489800</v>
      </c>
      <c r="AV323" s="2">
        <v>0</v>
      </c>
      <c r="AW323" s="4"/>
      <c r="AX323" t="s">
        <v>75</v>
      </c>
      <c r="AZ323" t="s">
        <v>1365</v>
      </c>
      <c r="BA323" t="s">
        <v>67</v>
      </c>
      <c r="BB323" t="s">
        <v>1366</v>
      </c>
      <c r="BC323" t="s">
        <v>939</v>
      </c>
      <c r="BD323" t="s">
        <v>79</v>
      </c>
      <c r="BE323" t="s">
        <v>317</v>
      </c>
      <c r="BF323" s="5">
        <v>46935</v>
      </c>
      <c r="BH323">
        <v>1</v>
      </c>
      <c r="BI323" s="6">
        <v>790000</v>
      </c>
      <c r="BJ323" s="6">
        <v>38</v>
      </c>
      <c r="BK323" s="6">
        <v>300200</v>
      </c>
      <c r="BL323" s="6">
        <v>489800</v>
      </c>
      <c r="BM323" s="2">
        <v>489800</v>
      </c>
      <c r="BN323">
        <f>InvoiceTable[[#This Row],[Giảm giá]]*InvoiceTable[[#This Row],[Số lượng]]</f>
        <v>300200</v>
      </c>
    </row>
    <row r="324" spans="1:66" x14ac:dyDescent="0.25">
      <c r="A324" t="s">
        <v>65</v>
      </c>
      <c r="B324" t="s">
        <v>1367</v>
      </c>
      <c r="F324" s="2"/>
      <c r="G324" s="3">
        <v>46013.59474591435</v>
      </c>
      <c r="H324" s="3">
        <v>46013.594746215276</v>
      </c>
      <c r="I324" s="4" t="s">
        <v>67</v>
      </c>
      <c r="J324" t="s">
        <v>67</v>
      </c>
      <c r="K324" t="s">
        <v>67</v>
      </c>
      <c r="L324" t="s">
        <v>1368</v>
      </c>
      <c r="M324" t="s">
        <v>1369</v>
      </c>
      <c r="N324" t="s">
        <v>67</v>
      </c>
      <c r="O324" t="s">
        <v>1370</v>
      </c>
      <c r="Q324" t="s">
        <v>67</v>
      </c>
      <c r="R324" t="s">
        <v>67</v>
      </c>
      <c r="S324" s="5"/>
      <c r="T324" t="s">
        <v>72</v>
      </c>
      <c r="U324" t="s">
        <v>87</v>
      </c>
      <c r="V324" t="s">
        <v>74</v>
      </c>
      <c r="W324" t="s">
        <v>87</v>
      </c>
      <c r="AE324" s="2"/>
      <c r="AF324" s="2"/>
      <c r="AG324" s="2"/>
      <c r="AH324" s="2"/>
      <c r="AK324" t="s">
        <v>1371</v>
      </c>
      <c r="AL324" s="2">
        <v>738550</v>
      </c>
      <c r="AM324" s="2">
        <v>0</v>
      </c>
      <c r="AN324" s="2"/>
      <c r="AO324" s="2">
        <v>0</v>
      </c>
      <c r="AP324" s="2">
        <v>738550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4"/>
      <c r="AX324" t="s">
        <v>75</v>
      </c>
      <c r="AZ324" t="s">
        <v>1372</v>
      </c>
      <c r="BA324" t="s">
        <v>67</v>
      </c>
      <c r="BB324" t="s">
        <v>1373</v>
      </c>
      <c r="BC324" t="s">
        <v>251</v>
      </c>
      <c r="BD324" t="s">
        <v>79</v>
      </c>
      <c r="BE324" t="s">
        <v>155</v>
      </c>
      <c r="BF324" s="5">
        <v>46600</v>
      </c>
      <c r="BG324" t="s">
        <v>67</v>
      </c>
      <c r="BH324">
        <v>1</v>
      </c>
      <c r="BI324" s="6">
        <v>620000</v>
      </c>
      <c r="BJ324" s="6">
        <v>42</v>
      </c>
      <c r="BK324" s="6">
        <v>260400</v>
      </c>
      <c r="BL324" s="6">
        <v>359600</v>
      </c>
      <c r="BM324" s="2">
        <v>359600</v>
      </c>
      <c r="BN324">
        <f>InvoiceTable[[#This Row],[Giảm giá]]*InvoiceTable[[#This Row],[Số lượng]]</f>
        <v>260400</v>
      </c>
    </row>
    <row r="325" spans="1:66" x14ac:dyDescent="0.25">
      <c r="A325" t="s">
        <v>65</v>
      </c>
      <c r="B325" t="s">
        <v>1367</v>
      </c>
      <c r="F325" s="2"/>
      <c r="G325" s="3">
        <v>46013.59474591435</v>
      </c>
      <c r="H325" s="3">
        <v>46013.594746215276</v>
      </c>
      <c r="I325" s="4" t="s">
        <v>67</v>
      </c>
      <c r="J325" t="s">
        <v>67</v>
      </c>
      <c r="K325" t="s">
        <v>67</v>
      </c>
      <c r="L325" t="s">
        <v>1368</v>
      </c>
      <c r="M325" t="s">
        <v>1369</v>
      </c>
      <c r="N325" t="s">
        <v>67</v>
      </c>
      <c r="O325" t="s">
        <v>1370</v>
      </c>
      <c r="Q325" t="s">
        <v>67</v>
      </c>
      <c r="R325" t="s">
        <v>67</v>
      </c>
      <c r="S325" s="5"/>
      <c r="T325" t="s">
        <v>72</v>
      </c>
      <c r="U325" t="s">
        <v>87</v>
      </c>
      <c r="V325" t="s">
        <v>74</v>
      </c>
      <c r="W325" t="s">
        <v>87</v>
      </c>
      <c r="AE325" s="2"/>
      <c r="AF325" s="2"/>
      <c r="AG325" s="2"/>
      <c r="AH325" s="2"/>
      <c r="AK325" t="s">
        <v>1371</v>
      </c>
      <c r="AL325" s="2">
        <v>738550</v>
      </c>
      <c r="AM325" s="2">
        <v>0</v>
      </c>
      <c r="AN325" s="2"/>
      <c r="AO325" s="2">
        <v>0</v>
      </c>
      <c r="AP325" s="2">
        <v>738550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4"/>
      <c r="AX325" t="s">
        <v>75</v>
      </c>
      <c r="AZ325" t="s">
        <v>1374</v>
      </c>
      <c r="BA325" t="s">
        <v>67</v>
      </c>
      <c r="BB325" t="s">
        <v>1375</v>
      </c>
      <c r="BC325" t="s">
        <v>1376</v>
      </c>
      <c r="BD325" t="s">
        <v>79</v>
      </c>
      <c r="BE325" t="s">
        <v>317</v>
      </c>
      <c r="BF325" s="5">
        <v>46935</v>
      </c>
      <c r="BH325">
        <v>1</v>
      </c>
      <c r="BI325" s="6">
        <v>715000</v>
      </c>
      <c r="BJ325" s="6">
        <v>47</v>
      </c>
      <c r="BK325" s="6">
        <v>336050</v>
      </c>
      <c r="BL325" s="6">
        <v>378950</v>
      </c>
      <c r="BM325" s="2">
        <v>378950</v>
      </c>
      <c r="BN325">
        <f>InvoiceTable[[#This Row],[Giảm giá]]*InvoiceTable[[#This Row],[Số lượng]]</f>
        <v>336050</v>
      </c>
    </row>
    <row r="326" spans="1:66" x14ac:dyDescent="0.25">
      <c r="A326" t="s">
        <v>65</v>
      </c>
      <c r="B326" t="s">
        <v>1377</v>
      </c>
      <c r="F326" s="2"/>
      <c r="G326" s="3">
        <v>46013.593848761571</v>
      </c>
      <c r="H326" s="3">
        <v>46013.59383730324</v>
      </c>
      <c r="I326" s="4" t="s">
        <v>1050</v>
      </c>
      <c r="J326" t="s">
        <v>1378</v>
      </c>
      <c r="K326" t="s">
        <v>67</v>
      </c>
      <c r="L326" t="s">
        <v>1379</v>
      </c>
      <c r="M326" t="s">
        <v>1380</v>
      </c>
      <c r="N326" t="s">
        <v>1381</v>
      </c>
      <c r="O326" t="s">
        <v>1382</v>
      </c>
      <c r="P326" t="s">
        <v>1383</v>
      </c>
      <c r="S326" s="5"/>
      <c r="T326" t="s">
        <v>72</v>
      </c>
      <c r="U326" t="s">
        <v>73</v>
      </c>
      <c r="V326" t="s">
        <v>74</v>
      </c>
      <c r="W326" t="s">
        <v>87</v>
      </c>
      <c r="AE326" s="2"/>
      <c r="AF326" s="2"/>
      <c r="AG326" s="2"/>
      <c r="AH326" s="2"/>
      <c r="AL326" s="2">
        <v>1844442</v>
      </c>
      <c r="AM326" s="2">
        <v>0</v>
      </c>
      <c r="AN326" s="2"/>
      <c r="AO326" s="2">
        <v>0</v>
      </c>
      <c r="AP326" s="2">
        <v>1844442</v>
      </c>
      <c r="AQ326" s="2">
        <v>1844442</v>
      </c>
      <c r="AR326" s="2">
        <v>1844442</v>
      </c>
      <c r="AS326" s="2">
        <v>0</v>
      </c>
      <c r="AT326" s="2">
        <v>0</v>
      </c>
      <c r="AU326" s="2">
        <v>0</v>
      </c>
      <c r="AV326" s="2">
        <v>0</v>
      </c>
      <c r="AW326" s="4"/>
      <c r="AX326" t="s">
        <v>75</v>
      </c>
      <c r="AZ326" t="s">
        <v>1384</v>
      </c>
      <c r="BA326" t="s">
        <v>67</v>
      </c>
      <c r="BB326" t="s">
        <v>1385</v>
      </c>
      <c r="BC326" t="s">
        <v>93</v>
      </c>
      <c r="BD326" t="s">
        <v>79</v>
      </c>
      <c r="BE326" t="s">
        <v>293</v>
      </c>
      <c r="BF326" s="5">
        <v>46722</v>
      </c>
      <c r="BH326">
        <v>2</v>
      </c>
      <c r="BI326" s="6">
        <v>540000</v>
      </c>
      <c r="BJ326" s="6">
        <v>35</v>
      </c>
      <c r="BK326" s="6">
        <v>189000</v>
      </c>
      <c r="BL326" s="6">
        <v>351000</v>
      </c>
      <c r="BM326" s="2">
        <v>702000</v>
      </c>
      <c r="BN326">
        <f>InvoiceTable[[#This Row],[Giảm giá]]*InvoiceTable[[#This Row],[Số lượng]]</f>
        <v>378000</v>
      </c>
    </row>
    <row r="327" spans="1:66" x14ac:dyDescent="0.25">
      <c r="A327" t="s">
        <v>65</v>
      </c>
      <c r="B327" t="s">
        <v>1377</v>
      </c>
      <c r="F327" s="2"/>
      <c r="G327" s="3">
        <v>46013.593848761571</v>
      </c>
      <c r="H327" s="3">
        <v>46013.59383730324</v>
      </c>
      <c r="I327" s="4" t="s">
        <v>1050</v>
      </c>
      <c r="J327" t="s">
        <v>1378</v>
      </c>
      <c r="K327" t="s">
        <v>67</v>
      </c>
      <c r="L327" t="s">
        <v>1379</v>
      </c>
      <c r="M327" t="s">
        <v>1380</v>
      </c>
      <c r="N327" t="s">
        <v>1381</v>
      </c>
      <c r="O327" t="s">
        <v>1382</v>
      </c>
      <c r="P327" t="s">
        <v>1383</v>
      </c>
      <c r="S327" s="5"/>
      <c r="T327" t="s">
        <v>72</v>
      </c>
      <c r="U327" t="s">
        <v>73</v>
      </c>
      <c r="V327" t="s">
        <v>74</v>
      </c>
      <c r="W327" t="s">
        <v>87</v>
      </c>
      <c r="AE327" s="2"/>
      <c r="AF327" s="2"/>
      <c r="AG327" s="2"/>
      <c r="AH327" s="2"/>
      <c r="AL327" s="2">
        <v>1844442</v>
      </c>
      <c r="AM327" s="2">
        <v>0</v>
      </c>
      <c r="AN327" s="2"/>
      <c r="AO327" s="2">
        <v>0</v>
      </c>
      <c r="AP327" s="2">
        <v>1844442</v>
      </c>
      <c r="AQ327" s="2">
        <v>1844442</v>
      </c>
      <c r="AR327" s="2">
        <v>1844442</v>
      </c>
      <c r="AS327" s="2">
        <v>0</v>
      </c>
      <c r="AT327" s="2">
        <v>0</v>
      </c>
      <c r="AU327" s="2">
        <v>0</v>
      </c>
      <c r="AV327" s="2">
        <v>0</v>
      </c>
      <c r="AW327" s="4"/>
      <c r="AX327" t="s">
        <v>75</v>
      </c>
      <c r="AZ327" t="s">
        <v>1386</v>
      </c>
      <c r="BA327" t="s">
        <v>67</v>
      </c>
      <c r="BB327" t="s">
        <v>1387</v>
      </c>
      <c r="BC327" t="s">
        <v>251</v>
      </c>
      <c r="BD327" t="s">
        <v>79</v>
      </c>
      <c r="BE327" t="s">
        <v>810</v>
      </c>
      <c r="BF327" s="5">
        <v>46539</v>
      </c>
      <c r="BH327">
        <v>1</v>
      </c>
      <c r="BI327" s="6">
        <v>605000</v>
      </c>
      <c r="BJ327" s="6">
        <v>42</v>
      </c>
      <c r="BK327" s="6">
        <v>254100</v>
      </c>
      <c r="BL327" s="6">
        <v>350900</v>
      </c>
      <c r="BM327" s="2">
        <v>350900</v>
      </c>
      <c r="BN327">
        <f>InvoiceTable[[#This Row],[Giảm giá]]*InvoiceTable[[#This Row],[Số lượng]]</f>
        <v>254100</v>
      </c>
    </row>
    <row r="328" spans="1:66" x14ac:dyDescent="0.25">
      <c r="A328" t="s">
        <v>65</v>
      </c>
      <c r="B328" t="s">
        <v>1377</v>
      </c>
      <c r="F328" s="2"/>
      <c r="G328" s="3">
        <v>46013.593848761571</v>
      </c>
      <c r="H328" s="3">
        <v>46013.59383730324</v>
      </c>
      <c r="I328" s="4" t="s">
        <v>1050</v>
      </c>
      <c r="J328" t="s">
        <v>1378</v>
      </c>
      <c r="K328" t="s">
        <v>67</v>
      </c>
      <c r="L328" t="s">
        <v>1379</v>
      </c>
      <c r="M328" t="s">
        <v>1380</v>
      </c>
      <c r="N328" t="s">
        <v>1381</v>
      </c>
      <c r="O328" t="s">
        <v>1382</v>
      </c>
      <c r="P328" t="s">
        <v>1383</v>
      </c>
      <c r="S328" s="5"/>
      <c r="T328" t="s">
        <v>72</v>
      </c>
      <c r="U328" t="s">
        <v>73</v>
      </c>
      <c r="V328" t="s">
        <v>74</v>
      </c>
      <c r="W328" t="s">
        <v>87</v>
      </c>
      <c r="AE328" s="2"/>
      <c r="AF328" s="2"/>
      <c r="AG328" s="2"/>
      <c r="AH328" s="2"/>
      <c r="AL328" s="2">
        <v>1844442</v>
      </c>
      <c r="AM328" s="2">
        <v>0</v>
      </c>
      <c r="AN328" s="2"/>
      <c r="AO328" s="2">
        <v>0</v>
      </c>
      <c r="AP328" s="2">
        <v>1844442</v>
      </c>
      <c r="AQ328" s="2">
        <v>1844442</v>
      </c>
      <c r="AR328" s="2">
        <v>1844442</v>
      </c>
      <c r="AS328" s="2">
        <v>0</v>
      </c>
      <c r="AT328" s="2">
        <v>0</v>
      </c>
      <c r="AU328" s="2">
        <v>0</v>
      </c>
      <c r="AV328" s="2">
        <v>0</v>
      </c>
      <c r="AW328" s="4"/>
      <c r="AX328" t="s">
        <v>75</v>
      </c>
      <c r="AZ328" t="s">
        <v>919</v>
      </c>
      <c r="BA328" t="s">
        <v>67</v>
      </c>
      <c r="BB328" t="s">
        <v>920</v>
      </c>
      <c r="BC328" t="s">
        <v>822</v>
      </c>
      <c r="BD328" t="s">
        <v>79</v>
      </c>
      <c r="BE328" t="s">
        <v>921</v>
      </c>
      <c r="BF328" s="5">
        <v>47392</v>
      </c>
      <c r="BG328" t="s">
        <v>67</v>
      </c>
      <c r="BH328">
        <v>1</v>
      </c>
      <c r="BI328" s="6">
        <v>1364727</v>
      </c>
      <c r="BJ328" s="6">
        <v>42</v>
      </c>
      <c r="BK328" s="6">
        <v>573185.34</v>
      </c>
      <c r="BL328" s="6">
        <v>791541.66</v>
      </c>
      <c r="BM328" s="2">
        <v>791542</v>
      </c>
      <c r="BN328">
        <f>InvoiceTable[[#This Row],[Giảm giá]]*InvoiceTable[[#This Row],[Số lượng]]</f>
        <v>573185.34</v>
      </c>
    </row>
    <row r="329" spans="1:66" x14ac:dyDescent="0.25">
      <c r="A329" t="s">
        <v>65</v>
      </c>
      <c r="B329" t="s">
        <v>1388</v>
      </c>
      <c r="F329" s="2"/>
      <c r="G329" s="3">
        <v>46013.589983414349</v>
      </c>
      <c r="H329" s="3">
        <v>46013.589983564816</v>
      </c>
      <c r="I329" s="4" t="s">
        <v>67</v>
      </c>
      <c r="J329" t="s">
        <v>1389</v>
      </c>
      <c r="K329" t="s">
        <v>67</v>
      </c>
      <c r="L329" t="s">
        <v>1109</v>
      </c>
      <c r="M329" t="s">
        <v>1110</v>
      </c>
      <c r="N329" t="s">
        <v>1111</v>
      </c>
      <c r="O329" t="s">
        <v>1112</v>
      </c>
      <c r="P329" t="s">
        <v>1113</v>
      </c>
      <c r="Q329" t="s">
        <v>1114</v>
      </c>
      <c r="R329" t="s">
        <v>1115</v>
      </c>
      <c r="S329" s="5"/>
      <c r="T329" t="s">
        <v>72</v>
      </c>
      <c r="U329" t="s">
        <v>102</v>
      </c>
      <c r="V329" t="s">
        <v>74</v>
      </c>
      <c r="W329" t="s">
        <v>87</v>
      </c>
      <c r="AE329" s="2"/>
      <c r="AF329" s="2"/>
      <c r="AG329" s="2"/>
      <c r="AH329" s="2"/>
      <c r="AK329" t="s">
        <v>1390</v>
      </c>
      <c r="AL329" s="2">
        <v>640000</v>
      </c>
      <c r="AM329" s="2">
        <v>0</v>
      </c>
      <c r="AN329" s="2"/>
      <c r="AO329" s="2">
        <v>0</v>
      </c>
      <c r="AP329" s="2">
        <v>640000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4"/>
      <c r="AX329" t="s">
        <v>75</v>
      </c>
      <c r="AZ329" t="s">
        <v>663</v>
      </c>
      <c r="BA329" t="s">
        <v>67</v>
      </c>
      <c r="BB329" t="s">
        <v>664</v>
      </c>
      <c r="BC329" t="s">
        <v>665</v>
      </c>
      <c r="BD329" t="s">
        <v>79</v>
      </c>
      <c r="BE329" t="s">
        <v>195</v>
      </c>
      <c r="BF329" s="5">
        <v>46419</v>
      </c>
      <c r="BH329">
        <v>4</v>
      </c>
      <c r="BI329" s="6">
        <v>380000</v>
      </c>
      <c r="BJ329" s="6">
        <v>0</v>
      </c>
      <c r="BK329" s="6">
        <v>220000</v>
      </c>
      <c r="BL329" s="6">
        <v>160000</v>
      </c>
      <c r="BM329" s="2">
        <v>640000</v>
      </c>
      <c r="BN329">
        <f>InvoiceTable[[#This Row],[Giảm giá]]*InvoiceTable[[#This Row],[Số lượng]]</f>
        <v>880000</v>
      </c>
    </row>
    <row r="330" spans="1:66" x14ac:dyDescent="0.25">
      <c r="A330" t="s">
        <v>65</v>
      </c>
      <c r="B330" t="s">
        <v>1391</v>
      </c>
      <c r="F330" s="2"/>
      <c r="G330" s="3">
        <v>46013.586941747686</v>
      </c>
      <c r="H330" s="3">
        <v>46013.586930474536</v>
      </c>
      <c r="I330" s="4" t="s">
        <v>1392</v>
      </c>
      <c r="J330" t="s">
        <v>67</v>
      </c>
      <c r="K330" t="s">
        <v>67</v>
      </c>
      <c r="L330" t="s">
        <v>1393</v>
      </c>
      <c r="M330" t="s">
        <v>1394</v>
      </c>
      <c r="N330" t="s">
        <v>67</v>
      </c>
      <c r="O330" t="s">
        <v>1395</v>
      </c>
      <c r="P330" t="s">
        <v>1396</v>
      </c>
      <c r="S330" s="5"/>
      <c r="T330" t="s">
        <v>72</v>
      </c>
      <c r="U330" t="s">
        <v>87</v>
      </c>
      <c r="V330" t="s">
        <v>74</v>
      </c>
      <c r="W330" t="s">
        <v>87</v>
      </c>
      <c r="AE330" s="2"/>
      <c r="AF330" s="2"/>
      <c r="AG330" s="2"/>
      <c r="AH330" s="2"/>
      <c r="AL330" s="2">
        <v>15660000</v>
      </c>
      <c r="AM330" s="2">
        <v>0</v>
      </c>
      <c r="AN330" s="2"/>
      <c r="AO330" s="2">
        <v>0</v>
      </c>
      <c r="AP330" s="2">
        <v>15660000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4"/>
      <c r="AX330" t="s">
        <v>75</v>
      </c>
      <c r="AZ330" t="s">
        <v>103</v>
      </c>
      <c r="BB330" t="s">
        <v>104</v>
      </c>
      <c r="BC330" t="s">
        <v>105</v>
      </c>
      <c r="BD330" t="s">
        <v>79</v>
      </c>
      <c r="BE330" t="s">
        <v>106</v>
      </c>
      <c r="BF330" s="5">
        <v>46327</v>
      </c>
      <c r="BH330">
        <v>1</v>
      </c>
      <c r="BI330" s="6">
        <v>6930000</v>
      </c>
      <c r="BJ330" s="6">
        <v>0</v>
      </c>
      <c r="BK330" s="6">
        <v>2830000</v>
      </c>
      <c r="BL330" s="6">
        <v>4100000</v>
      </c>
      <c r="BM330" s="2">
        <v>4100000</v>
      </c>
      <c r="BN330">
        <f>InvoiceTable[[#This Row],[Giảm giá]]*InvoiceTable[[#This Row],[Số lượng]]</f>
        <v>2830000</v>
      </c>
    </row>
    <row r="331" spans="1:66" x14ac:dyDescent="0.25">
      <c r="A331" t="s">
        <v>65</v>
      </c>
      <c r="B331" t="s">
        <v>1391</v>
      </c>
      <c r="F331" s="2"/>
      <c r="G331" s="3">
        <v>46013.586941747686</v>
      </c>
      <c r="H331" s="3">
        <v>46013.586930474536</v>
      </c>
      <c r="I331" s="4" t="s">
        <v>1392</v>
      </c>
      <c r="J331" t="s">
        <v>67</v>
      </c>
      <c r="K331" t="s">
        <v>67</v>
      </c>
      <c r="L331" t="s">
        <v>1393</v>
      </c>
      <c r="M331" t="s">
        <v>1394</v>
      </c>
      <c r="N331" t="s">
        <v>67</v>
      </c>
      <c r="O331" t="s">
        <v>1395</v>
      </c>
      <c r="P331" t="s">
        <v>1396</v>
      </c>
      <c r="S331" s="5"/>
      <c r="T331" t="s">
        <v>72</v>
      </c>
      <c r="U331" t="s">
        <v>87</v>
      </c>
      <c r="V331" t="s">
        <v>74</v>
      </c>
      <c r="W331" t="s">
        <v>87</v>
      </c>
      <c r="AE331" s="2"/>
      <c r="AF331" s="2"/>
      <c r="AG331" s="2"/>
      <c r="AH331" s="2"/>
      <c r="AL331" s="2">
        <v>15660000</v>
      </c>
      <c r="AM331" s="2">
        <v>0</v>
      </c>
      <c r="AN331" s="2"/>
      <c r="AO331" s="2">
        <v>0</v>
      </c>
      <c r="AP331" s="2">
        <v>15660000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4"/>
      <c r="AX331" t="s">
        <v>75</v>
      </c>
      <c r="AZ331" t="s">
        <v>1397</v>
      </c>
      <c r="BA331" t="s">
        <v>67</v>
      </c>
      <c r="BB331" t="s">
        <v>1398</v>
      </c>
      <c r="BC331" t="s">
        <v>126</v>
      </c>
      <c r="BD331" t="s">
        <v>79</v>
      </c>
      <c r="BE331" t="s">
        <v>131</v>
      </c>
      <c r="BF331" s="5">
        <v>46874</v>
      </c>
      <c r="BG331" t="s">
        <v>67</v>
      </c>
      <c r="BH331">
        <v>38</v>
      </c>
      <c r="BI331" s="6">
        <v>350000</v>
      </c>
      <c r="BJ331" s="6">
        <v>0</v>
      </c>
      <c r="BK331" s="6">
        <v>230000</v>
      </c>
      <c r="BL331" s="6">
        <v>120000</v>
      </c>
      <c r="BM331" s="2">
        <v>4560000</v>
      </c>
      <c r="BN331">
        <f>InvoiceTable[[#This Row],[Giảm giá]]*InvoiceTable[[#This Row],[Số lượng]]</f>
        <v>8740000</v>
      </c>
    </row>
    <row r="332" spans="1:66" x14ac:dyDescent="0.25">
      <c r="A332" t="s">
        <v>65</v>
      </c>
      <c r="B332" t="s">
        <v>1391</v>
      </c>
      <c r="F332" s="2"/>
      <c r="G332" s="3">
        <v>46013.586941747686</v>
      </c>
      <c r="H332" s="3">
        <v>46013.586930474536</v>
      </c>
      <c r="I332" s="4" t="s">
        <v>1392</v>
      </c>
      <c r="J332" t="s">
        <v>67</v>
      </c>
      <c r="K332" t="s">
        <v>67</v>
      </c>
      <c r="L332" t="s">
        <v>1393</v>
      </c>
      <c r="M332" t="s">
        <v>1394</v>
      </c>
      <c r="N332" t="s">
        <v>67</v>
      </c>
      <c r="O332" t="s">
        <v>1395</v>
      </c>
      <c r="P332" t="s">
        <v>1396</v>
      </c>
      <c r="S332" s="5"/>
      <c r="T332" t="s">
        <v>72</v>
      </c>
      <c r="U332" t="s">
        <v>87</v>
      </c>
      <c r="V332" t="s">
        <v>74</v>
      </c>
      <c r="W332" t="s">
        <v>87</v>
      </c>
      <c r="AE332" s="2"/>
      <c r="AF332" s="2"/>
      <c r="AG332" s="2"/>
      <c r="AH332" s="2"/>
      <c r="AL332" s="2">
        <v>15660000</v>
      </c>
      <c r="AM332" s="2">
        <v>0</v>
      </c>
      <c r="AN332" s="2"/>
      <c r="AO332" s="2">
        <v>0</v>
      </c>
      <c r="AP332" s="2">
        <v>15660000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4"/>
      <c r="AX332" t="s">
        <v>75</v>
      </c>
      <c r="AZ332" t="s">
        <v>669</v>
      </c>
      <c r="BA332" t="s">
        <v>67</v>
      </c>
      <c r="BB332" t="s">
        <v>670</v>
      </c>
      <c r="BC332" t="s">
        <v>126</v>
      </c>
      <c r="BD332" t="s">
        <v>79</v>
      </c>
      <c r="BE332" t="s">
        <v>159</v>
      </c>
      <c r="BF332" s="5">
        <v>46478</v>
      </c>
      <c r="BH332">
        <v>50</v>
      </c>
      <c r="BI332" s="6">
        <v>350000</v>
      </c>
      <c r="BJ332" s="6">
        <v>0</v>
      </c>
      <c r="BK332" s="6">
        <v>210000</v>
      </c>
      <c r="BL332" s="6">
        <v>140000</v>
      </c>
      <c r="BM332" s="2">
        <v>7000000</v>
      </c>
      <c r="BN332">
        <f>InvoiceTable[[#This Row],[Giảm giá]]*InvoiceTable[[#This Row],[Số lượng]]</f>
        <v>10500000</v>
      </c>
    </row>
    <row r="333" spans="1:66" x14ac:dyDescent="0.25">
      <c r="A333" t="s">
        <v>65</v>
      </c>
      <c r="B333" t="s">
        <v>1399</v>
      </c>
      <c r="F333" s="2"/>
      <c r="G333" s="3">
        <v>46013.58505559028</v>
      </c>
      <c r="H333" s="3">
        <v>46013.585055671298</v>
      </c>
      <c r="I333" s="4" t="s">
        <v>67</v>
      </c>
      <c r="J333" t="s">
        <v>67</v>
      </c>
      <c r="K333" t="s">
        <v>67</v>
      </c>
      <c r="L333" t="s">
        <v>1393</v>
      </c>
      <c r="M333" t="s">
        <v>1394</v>
      </c>
      <c r="N333" t="s">
        <v>67</v>
      </c>
      <c r="O333" t="s">
        <v>1395</v>
      </c>
      <c r="P333" t="s">
        <v>1396</v>
      </c>
      <c r="S333" s="5"/>
      <c r="T333" t="s">
        <v>72</v>
      </c>
      <c r="U333" t="s">
        <v>87</v>
      </c>
      <c r="V333" t="s">
        <v>74</v>
      </c>
      <c r="W333" t="s">
        <v>87</v>
      </c>
      <c r="AE333" s="2"/>
      <c r="AF333" s="2"/>
      <c r="AG333" s="2"/>
      <c r="AH333" s="2"/>
      <c r="AL333" s="2">
        <v>5257200</v>
      </c>
      <c r="AM333" s="2">
        <v>0</v>
      </c>
      <c r="AN333" s="2"/>
      <c r="AO333" s="2">
        <v>0</v>
      </c>
      <c r="AP333" s="2">
        <v>5257200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4"/>
      <c r="AX333" t="s">
        <v>75</v>
      </c>
      <c r="AZ333" t="s">
        <v>739</v>
      </c>
      <c r="BA333" t="s">
        <v>67</v>
      </c>
      <c r="BB333" t="s">
        <v>740</v>
      </c>
      <c r="BC333" t="s">
        <v>223</v>
      </c>
      <c r="BD333" t="s">
        <v>79</v>
      </c>
      <c r="BE333" t="s">
        <v>741</v>
      </c>
      <c r="BF333" s="5">
        <v>46963</v>
      </c>
      <c r="BH333">
        <v>6</v>
      </c>
      <c r="BI333" s="6">
        <v>1685000</v>
      </c>
      <c r="BJ333" s="6">
        <v>48</v>
      </c>
      <c r="BK333" s="6">
        <v>808800</v>
      </c>
      <c r="BL333" s="6">
        <v>876200</v>
      </c>
      <c r="BM333" s="2">
        <v>5257200</v>
      </c>
      <c r="BN333">
        <f>InvoiceTable[[#This Row],[Giảm giá]]*InvoiceTable[[#This Row],[Số lượng]]</f>
        <v>4852800</v>
      </c>
    </row>
    <row r="334" spans="1:66" x14ac:dyDescent="0.25">
      <c r="A334" t="s">
        <v>65</v>
      </c>
      <c r="B334" t="s">
        <v>1400</v>
      </c>
      <c r="F334" s="2"/>
      <c r="G334" s="3">
        <v>46013.583670601853</v>
      </c>
      <c r="H334" s="3">
        <v>46013.583670798609</v>
      </c>
      <c r="I334" s="4" t="s">
        <v>67</v>
      </c>
      <c r="J334" t="s">
        <v>67</v>
      </c>
      <c r="K334" t="s">
        <v>67</v>
      </c>
      <c r="L334" t="s">
        <v>111</v>
      </c>
      <c r="M334" t="s">
        <v>112</v>
      </c>
      <c r="N334" t="s">
        <v>67</v>
      </c>
      <c r="O334" t="s">
        <v>113</v>
      </c>
      <c r="P334" t="s">
        <v>114</v>
      </c>
      <c r="Q334" t="s">
        <v>67</v>
      </c>
      <c r="R334" t="s">
        <v>67</v>
      </c>
      <c r="S334" s="5"/>
      <c r="T334" t="s">
        <v>72</v>
      </c>
      <c r="U334" t="s">
        <v>87</v>
      </c>
      <c r="V334" t="s">
        <v>74</v>
      </c>
      <c r="W334" t="s">
        <v>87</v>
      </c>
      <c r="AE334" s="2"/>
      <c r="AF334" s="2"/>
      <c r="AG334" s="2"/>
      <c r="AH334" s="2"/>
      <c r="AK334" t="s">
        <v>1401</v>
      </c>
      <c r="AL334" s="2">
        <v>25120000</v>
      </c>
      <c r="AM334" s="2">
        <v>12560000</v>
      </c>
      <c r="AN334" s="2"/>
      <c r="AO334" s="2">
        <v>0</v>
      </c>
      <c r="AP334" s="2">
        <v>12560000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4"/>
      <c r="AX334" t="s">
        <v>75</v>
      </c>
      <c r="AZ334" t="s">
        <v>129</v>
      </c>
      <c r="BA334" t="s">
        <v>67</v>
      </c>
      <c r="BB334" t="s">
        <v>130</v>
      </c>
      <c r="BC334" t="s">
        <v>78</v>
      </c>
      <c r="BD334" t="s">
        <v>79</v>
      </c>
      <c r="BE334" t="s">
        <v>131</v>
      </c>
      <c r="BF334" s="5">
        <v>46874</v>
      </c>
      <c r="BG334" t="s">
        <v>67</v>
      </c>
      <c r="BH334">
        <v>3</v>
      </c>
      <c r="BI334" s="6">
        <v>3050000</v>
      </c>
      <c r="BJ334" s="6">
        <v>0</v>
      </c>
      <c r="BK334" s="6">
        <v>0</v>
      </c>
      <c r="BL334" s="6">
        <v>3050000</v>
      </c>
      <c r="BM334" s="2">
        <v>9150000</v>
      </c>
      <c r="BN334">
        <f>InvoiceTable[[#This Row],[Giảm giá]]*InvoiceTable[[#This Row],[Số lượng]]</f>
        <v>0</v>
      </c>
    </row>
    <row r="335" spans="1:66" x14ac:dyDescent="0.25">
      <c r="A335" t="s">
        <v>65</v>
      </c>
      <c r="B335" t="s">
        <v>1400</v>
      </c>
      <c r="F335" s="2"/>
      <c r="G335" s="3">
        <v>46013.583670601853</v>
      </c>
      <c r="H335" s="3">
        <v>46013.583670798609</v>
      </c>
      <c r="I335" s="4" t="s">
        <v>67</v>
      </c>
      <c r="J335" t="s">
        <v>67</v>
      </c>
      <c r="K335" t="s">
        <v>67</v>
      </c>
      <c r="L335" t="s">
        <v>111</v>
      </c>
      <c r="M335" t="s">
        <v>112</v>
      </c>
      <c r="N335" t="s">
        <v>67</v>
      </c>
      <c r="O335" t="s">
        <v>113</v>
      </c>
      <c r="P335" t="s">
        <v>114</v>
      </c>
      <c r="Q335" t="s">
        <v>67</v>
      </c>
      <c r="R335" t="s">
        <v>67</v>
      </c>
      <c r="S335" s="5"/>
      <c r="T335" t="s">
        <v>72</v>
      </c>
      <c r="U335" t="s">
        <v>87</v>
      </c>
      <c r="V335" t="s">
        <v>74</v>
      </c>
      <c r="W335" t="s">
        <v>87</v>
      </c>
      <c r="AE335" s="2"/>
      <c r="AF335" s="2"/>
      <c r="AG335" s="2"/>
      <c r="AH335" s="2"/>
      <c r="AK335" t="s">
        <v>1401</v>
      </c>
      <c r="AL335" s="2">
        <v>25120000</v>
      </c>
      <c r="AM335" s="2">
        <v>12560000</v>
      </c>
      <c r="AN335" s="2"/>
      <c r="AO335" s="2">
        <v>0</v>
      </c>
      <c r="AP335" s="2">
        <v>12560000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4"/>
      <c r="AX335" t="s">
        <v>75</v>
      </c>
      <c r="AZ335" t="s">
        <v>1402</v>
      </c>
      <c r="BA335" t="s">
        <v>67</v>
      </c>
      <c r="BB335" t="s">
        <v>1403</v>
      </c>
      <c r="BC335" t="s">
        <v>138</v>
      </c>
      <c r="BD335" t="s">
        <v>79</v>
      </c>
      <c r="BE335" t="s">
        <v>434</v>
      </c>
      <c r="BF335" s="5">
        <v>46661</v>
      </c>
      <c r="BH335">
        <v>2</v>
      </c>
      <c r="BI335" s="6">
        <v>1350000</v>
      </c>
      <c r="BJ335" s="6">
        <v>0</v>
      </c>
      <c r="BK335" s="6">
        <v>0</v>
      </c>
      <c r="BL335" s="6">
        <v>1350000</v>
      </c>
      <c r="BM335" s="2">
        <v>2700000</v>
      </c>
      <c r="BN335">
        <f>InvoiceTable[[#This Row],[Giảm giá]]*InvoiceTable[[#This Row],[Số lượng]]</f>
        <v>0</v>
      </c>
    </row>
    <row r="336" spans="1:66" x14ac:dyDescent="0.25">
      <c r="A336" t="s">
        <v>65</v>
      </c>
      <c r="B336" t="s">
        <v>1400</v>
      </c>
      <c r="F336" s="2"/>
      <c r="G336" s="3">
        <v>46013.583670601853</v>
      </c>
      <c r="H336" s="3">
        <v>46013.583670798609</v>
      </c>
      <c r="I336" s="4" t="s">
        <v>67</v>
      </c>
      <c r="J336" t="s">
        <v>67</v>
      </c>
      <c r="K336" t="s">
        <v>67</v>
      </c>
      <c r="L336" t="s">
        <v>111</v>
      </c>
      <c r="M336" t="s">
        <v>112</v>
      </c>
      <c r="N336" t="s">
        <v>67</v>
      </c>
      <c r="O336" t="s">
        <v>113</v>
      </c>
      <c r="P336" t="s">
        <v>114</v>
      </c>
      <c r="Q336" t="s">
        <v>67</v>
      </c>
      <c r="R336" t="s">
        <v>67</v>
      </c>
      <c r="S336" s="5"/>
      <c r="T336" t="s">
        <v>72</v>
      </c>
      <c r="U336" t="s">
        <v>87</v>
      </c>
      <c r="V336" t="s">
        <v>74</v>
      </c>
      <c r="W336" t="s">
        <v>87</v>
      </c>
      <c r="AE336" s="2"/>
      <c r="AF336" s="2"/>
      <c r="AG336" s="2"/>
      <c r="AH336" s="2"/>
      <c r="AK336" t="s">
        <v>1401</v>
      </c>
      <c r="AL336" s="2">
        <v>25120000</v>
      </c>
      <c r="AM336" s="2">
        <v>12560000</v>
      </c>
      <c r="AN336" s="2"/>
      <c r="AO336" s="2">
        <v>0</v>
      </c>
      <c r="AP336" s="2">
        <v>12560000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4"/>
      <c r="AX336" t="s">
        <v>75</v>
      </c>
      <c r="AZ336" t="s">
        <v>527</v>
      </c>
      <c r="BA336" t="s">
        <v>67</v>
      </c>
      <c r="BB336" t="s">
        <v>528</v>
      </c>
      <c r="BC336" t="s">
        <v>78</v>
      </c>
      <c r="BD336" t="s">
        <v>79</v>
      </c>
      <c r="BE336" t="s">
        <v>317</v>
      </c>
      <c r="BF336" s="5">
        <v>46935</v>
      </c>
      <c r="BH336">
        <v>1</v>
      </c>
      <c r="BI336" s="6">
        <v>3800000</v>
      </c>
      <c r="BJ336" s="6">
        <v>0</v>
      </c>
      <c r="BK336" s="6">
        <v>0</v>
      </c>
      <c r="BL336" s="6">
        <v>3800000</v>
      </c>
      <c r="BM336" s="2">
        <v>3800000</v>
      </c>
      <c r="BN336">
        <f>InvoiceTable[[#This Row],[Giảm giá]]*InvoiceTable[[#This Row],[Số lượng]]</f>
        <v>0</v>
      </c>
    </row>
    <row r="337" spans="1:66" x14ac:dyDescent="0.25">
      <c r="A337" t="s">
        <v>65</v>
      </c>
      <c r="B337" t="s">
        <v>1400</v>
      </c>
      <c r="F337" s="2"/>
      <c r="G337" s="3">
        <v>46013.583670601853</v>
      </c>
      <c r="H337" s="3">
        <v>46013.583670798609</v>
      </c>
      <c r="I337" s="4" t="s">
        <v>67</v>
      </c>
      <c r="J337" t="s">
        <v>67</v>
      </c>
      <c r="K337" t="s">
        <v>67</v>
      </c>
      <c r="L337" t="s">
        <v>111</v>
      </c>
      <c r="M337" t="s">
        <v>112</v>
      </c>
      <c r="N337" t="s">
        <v>67</v>
      </c>
      <c r="O337" t="s">
        <v>113</v>
      </c>
      <c r="P337" t="s">
        <v>114</v>
      </c>
      <c r="Q337" t="s">
        <v>67</v>
      </c>
      <c r="R337" t="s">
        <v>67</v>
      </c>
      <c r="S337" s="5"/>
      <c r="T337" t="s">
        <v>72</v>
      </c>
      <c r="U337" t="s">
        <v>87</v>
      </c>
      <c r="V337" t="s">
        <v>74</v>
      </c>
      <c r="W337" t="s">
        <v>87</v>
      </c>
      <c r="AE337" s="2"/>
      <c r="AF337" s="2"/>
      <c r="AG337" s="2"/>
      <c r="AH337" s="2"/>
      <c r="AK337" t="s">
        <v>1401</v>
      </c>
      <c r="AL337" s="2">
        <v>25120000</v>
      </c>
      <c r="AM337" s="2">
        <v>12560000</v>
      </c>
      <c r="AN337" s="2"/>
      <c r="AO337" s="2">
        <v>0</v>
      </c>
      <c r="AP337" s="2">
        <v>12560000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4"/>
      <c r="AX337" t="s">
        <v>75</v>
      </c>
      <c r="AZ337" t="s">
        <v>518</v>
      </c>
      <c r="BA337" t="s">
        <v>67</v>
      </c>
      <c r="BB337" t="s">
        <v>519</v>
      </c>
      <c r="BC337" t="s">
        <v>78</v>
      </c>
      <c r="BD337" t="s">
        <v>79</v>
      </c>
      <c r="BE337" t="s">
        <v>80</v>
      </c>
      <c r="BF337" s="5">
        <v>47300</v>
      </c>
      <c r="BH337">
        <v>1</v>
      </c>
      <c r="BI337" s="6">
        <v>3500000</v>
      </c>
      <c r="BJ337" s="6">
        <v>0</v>
      </c>
      <c r="BK337" s="6">
        <v>0</v>
      </c>
      <c r="BL337" s="6">
        <v>3500000</v>
      </c>
      <c r="BM337" s="2">
        <v>3500000</v>
      </c>
      <c r="BN337">
        <f>InvoiceTable[[#This Row],[Giảm giá]]*InvoiceTable[[#This Row],[Số lượng]]</f>
        <v>0</v>
      </c>
    </row>
    <row r="338" spans="1:66" x14ac:dyDescent="0.25">
      <c r="A338" t="s">
        <v>65</v>
      </c>
      <c r="B338" t="s">
        <v>1400</v>
      </c>
      <c r="F338" s="2"/>
      <c r="G338" s="3">
        <v>46013.583670601853</v>
      </c>
      <c r="H338" s="3">
        <v>46013.583670798609</v>
      </c>
      <c r="I338" s="4" t="s">
        <v>67</v>
      </c>
      <c r="J338" t="s">
        <v>67</v>
      </c>
      <c r="K338" t="s">
        <v>67</v>
      </c>
      <c r="L338" t="s">
        <v>111</v>
      </c>
      <c r="M338" t="s">
        <v>112</v>
      </c>
      <c r="N338" t="s">
        <v>67</v>
      </c>
      <c r="O338" t="s">
        <v>113</v>
      </c>
      <c r="P338" t="s">
        <v>114</v>
      </c>
      <c r="Q338" t="s">
        <v>67</v>
      </c>
      <c r="R338" t="s">
        <v>67</v>
      </c>
      <c r="S338" s="5"/>
      <c r="T338" t="s">
        <v>72</v>
      </c>
      <c r="U338" t="s">
        <v>87</v>
      </c>
      <c r="V338" t="s">
        <v>74</v>
      </c>
      <c r="W338" t="s">
        <v>87</v>
      </c>
      <c r="AE338" s="2"/>
      <c r="AF338" s="2"/>
      <c r="AG338" s="2"/>
      <c r="AH338" s="2"/>
      <c r="AK338" t="s">
        <v>1401</v>
      </c>
      <c r="AL338" s="2">
        <v>25120000</v>
      </c>
      <c r="AM338" s="2">
        <v>12560000</v>
      </c>
      <c r="AN338" s="2"/>
      <c r="AO338" s="2">
        <v>0</v>
      </c>
      <c r="AP338" s="2">
        <v>12560000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4"/>
      <c r="AX338" t="s">
        <v>75</v>
      </c>
      <c r="AZ338" t="s">
        <v>504</v>
      </c>
      <c r="BA338" t="s">
        <v>67</v>
      </c>
      <c r="BB338" t="s">
        <v>505</v>
      </c>
      <c r="BC338" t="s">
        <v>78</v>
      </c>
      <c r="BD338" t="s">
        <v>79</v>
      </c>
      <c r="BE338" t="s">
        <v>506</v>
      </c>
      <c r="BF338" s="5">
        <v>47604</v>
      </c>
      <c r="BH338">
        <v>3</v>
      </c>
      <c r="BI338" s="6">
        <v>1990000</v>
      </c>
      <c r="BJ338" s="6">
        <v>0</v>
      </c>
      <c r="BK338" s="6">
        <v>0</v>
      </c>
      <c r="BL338" s="6">
        <v>1990000</v>
      </c>
      <c r="BM338" s="2">
        <v>5970000</v>
      </c>
      <c r="BN338">
        <f>InvoiceTable[[#This Row],[Giảm giá]]*InvoiceTable[[#This Row],[Số lượng]]</f>
        <v>0</v>
      </c>
    </row>
    <row r="339" spans="1:66" x14ac:dyDescent="0.25">
      <c r="A339" t="s">
        <v>65</v>
      </c>
      <c r="B339" t="s">
        <v>1404</v>
      </c>
      <c r="F339" s="2"/>
      <c r="G339" s="3">
        <v>46013.580834988425</v>
      </c>
      <c r="H339" s="3">
        <v>46013.58083515046</v>
      </c>
      <c r="I339" s="4" t="s">
        <v>67</v>
      </c>
      <c r="J339" t="s">
        <v>67</v>
      </c>
      <c r="K339" t="s">
        <v>67</v>
      </c>
      <c r="L339" t="s">
        <v>111</v>
      </c>
      <c r="M339" t="s">
        <v>112</v>
      </c>
      <c r="N339" t="s">
        <v>67</v>
      </c>
      <c r="O339" t="s">
        <v>113</v>
      </c>
      <c r="P339" t="s">
        <v>114</v>
      </c>
      <c r="Q339" t="s">
        <v>67</v>
      </c>
      <c r="R339" t="s">
        <v>67</v>
      </c>
      <c r="S339" s="5"/>
      <c r="T339" t="s">
        <v>72</v>
      </c>
      <c r="U339" t="s">
        <v>87</v>
      </c>
      <c r="V339" t="s">
        <v>74</v>
      </c>
      <c r="W339" t="s">
        <v>87</v>
      </c>
      <c r="AE339" s="2"/>
      <c r="AF339" s="2"/>
      <c r="AG339" s="2"/>
      <c r="AH339" s="2"/>
      <c r="AL339" s="2">
        <v>43500000</v>
      </c>
      <c r="AM339" s="2">
        <v>21750000</v>
      </c>
      <c r="AN339" s="2"/>
      <c r="AO339" s="2">
        <v>0</v>
      </c>
      <c r="AP339" s="2">
        <v>21750000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4"/>
      <c r="AX339" t="s">
        <v>75</v>
      </c>
      <c r="AZ339" t="s">
        <v>1405</v>
      </c>
      <c r="BA339" t="s">
        <v>67</v>
      </c>
      <c r="BB339" t="s">
        <v>1406</v>
      </c>
      <c r="BC339" t="s">
        <v>1407</v>
      </c>
      <c r="BD339" t="s">
        <v>79</v>
      </c>
      <c r="BE339" t="s">
        <v>106</v>
      </c>
      <c r="BF339" s="5">
        <v>46327</v>
      </c>
      <c r="BG339" t="s">
        <v>67</v>
      </c>
      <c r="BH339">
        <v>1</v>
      </c>
      <c r="BI339" s="6">
        <v>9500000</v>
      </c>
      <c r="BJ339" s="6">
        <v>0</v>
      </c>
      <c r="BK339" s="6">
        <v>0</v>
      </c>
      <c r="BL339" s="6">
        <v>9500000</v>
      </c>
      <c r="BM339" s="2">
        <v>9500000</v>
      </c>
      <c r="BN339">
        <f>InvoiceTable[[#This Row],[Giảm giá]]*InvoiceTable[[#This Row],[Số lượng]]</f>
        <v>0</v>
      </c>
    </row>
    <row r="340" spans="1:66" x14ac:dyDescent="0.25">
      <c r="A340" t="s">
        <v>65</v>
      </c>
      <c r="B340" t="s">
        <v>1404</v>
      </c>
      <c r="F340" s="2"/>
      <c r="G340" s="3">
        <v>46013.580834988425</v>
      </c>
      <c r="H340" s="3">
        <v>46013.58083515046</v>
      </c>
      <c r="I340" s="4" t="s">
        <v>67</v>
      </c>
      <c r="J340" t="s">
        <v>67</v>
      </c>
      <c r="K340" t="s">
        <v>67</v>
      </c>
      <c r="L340" t="s">
        <v>111</v>
      </c>
      <c r="M340" t="s">
        <v>112</v>
      </c>
      <c r="N340" t="s">
        <v>67</v>
      </c>
      <c r="O340" t="s">
        <v>113</v>
      </c>
      <c r="P340" t="s">
        <v>114</v>
      </c>
      <c r="Q340" t="s">
        <v>67</v>
      </c>
      <c r="R340" t="s">
        <v>67</v>
      </c>
      <c r="S340" s="5"/>
      <c r="T340" t="s">
        <v>72</v>
      </c>
      <c r="U340" t="s">
        <v>87</v>
      </c>
      <c r="V340" t="s">
        <v>74</v>
      </c>
      <c r="W340" t="s">
        <v>87</v>
      </c>
      <c r="AE340" s="2"/>
      <c r="AF340" s="2"/>
      <c r="AG340" s="2"/>
      <c r="AH340" s="2"/>
      <c r="AL340" s="2">
        <v>43500000</v>
      </c>
      <c r="AM340" s="2">
        <v>21750000</v>
      </c>
      <c r="AN340" s="2"/>
      <c r="AO340" s="2">
        <v>0</v>
      </c>
      <c r="AP340" s="2">
        <v>21750000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4"/>
      <c r="AX340" t="s">
        <v>75</v>
      </c>
      <c r="AZ340" t="s">
        <v>1408</v>
      </c>
      <c r="BA340" t="s">
        <v>67</v>
      </c>
      <c r="BB340" t="s">
        <v>1409</v>
      </c>
      <c r="BC340" t="s">
        <v>138</v>
      </c>
      <c r="BD340" t="s">
        <v>79</v>
      </c>
      <c r="BE340" t="s">
        <v>142</v>
      </c>
      <c r="BF340" s="5">
        <v>46844</v>
      </c>
      <c r="BH340">
        <v>5</v>
      </c>
      <c r="BI340" s="6">
        <v>4700000</v>
      </c>
      <c r="BJ340" s="6">
        <v>0</v>
      </c>
      <c r="BK340" s="6">
        <v>0</v>
      </c>
      <c r="BL340" s="6">
        <v>4700000</v>
      </c>
      <c r="BM340" s="2">
        <v>23500000</v>
      </c>
      <c r="BN340">
        <f>InvoiceTable[[#This Row],[Giảm giá]]*InvoiceTable[[#This Row],[Số lượng]]</f>
        <v>0</v>
      </c>
    </row>
    <row r="341" spans="1:66" x14ac:dyDescent="0.25">
      <c r="A341" t="s">
        <v>65</v>
      </c>
      <c r="B341" t="s">
        <v>1404</v>
      </c>
      <c r="F341" s="2"/>
      <c r="G341" s="3">
        <v>46013.580834988425</v>
      </c>
      <c r="H341" s="3">
        <v>46013.58083515046</v>
      </c>
      <c r="I341" s="4" t="s">
        <v>67</v>
      </c>
      <c r="J341" t="s">
        <v>67</v>
      </c>
      <c r="K341" t="s">
        <v>67</v>
      </c>
      <c r="L341" t="s">
        <v>111</v>
      </c>
      <c r="M341" t="s">
        <v>112</v>
      </c>
      <c r="N341" t="s">
        <v>67</v>
      </c>
      <c r="O341" t="s">
        <v>113</v>
      </c>
      <c r="P341" t="s">
        <v>114</v>
      </c>
      <c r="Q341" t="s">
        <v>67</v>
      </c>
      <c r="R341" t="s">
        <v>67</v>
      </c>
      <c r="S341" s="5"/>
      <c r="T341" t="s">
        <v>72</v>
      </c>
      <c r="U341" t="s">
        <v>87</v>
      </c>
      <c r="V341" t="s">
        <v>74</v>
      </c>
      <c r="W341" t="s">
        <v>87</v>
      </c>
      <c r="AE341" s="2"/>
      <c r="AF341" s="2"/>
      <c r="AG341" s="2"/>
      <c r="AH341" s="2"/>
      <c r="AL341" s="2">
        <v>43500000</v>
      </c>
      <c r="AM341" s="2">
        <v>21750000</v>
      </c>
      <c r="AN341" s="2"/>
      <c r="AO341" s="2">
        <v>0</v>
      </c>
      <c r="AP341" s="2">
        <v>21750000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4"/>
      <c r="AX341" t="s">
        <v>75</v>
      </c>
      <c r="AZ341" t="s">
        <v>518</v>
      </c>
      <c r="BA341" t="s">
        <v>67</v>
      </c>
      <c r="BB341" t="s">
        <v>519</v>
      </c>
      <c r="BC341" t="s">
        <v>78</v>
      </c>
      <c r="BD341" t="s">
        <v>79</v>
      </c>
      <c r="BE341" t="s">
        <v>517</v>
      </c>
      <c r="BF341" s="5">
        <v>47665</v>
      </c>
      <c r="BH341">
        <v>3</v>
      </c>
      <c r="BI341" s="6">
        <v>3500000</v>
      </c>
      <c r="BJ341" s="6">
        <v>0</v>
      </c>
      <c r="BK341" s="6">
        <v>0</v>
      </c>
      <c r="BL341" s="6">
        <v>3500000</v>
      </c>
      <c r="BM341" s="2">
        <v>10500000</v>
      </c>
      <c r="BN341">
        <f>InvoiceTable[[#This Row],[Giảm giá]]*InvoiceTable[[#This Row],[Số lượng]]</f>
        <v>0</v>
      </c>
    </row>
    <row r="342" spans="1:66" x14ac:dyDescent="0.25">
      <c r="A342" t="s">
        <v>65</v>
      </c>
      <c r="B342" t="s">
        <v>1410</v>
      </c>
      <c r="F342" s="2"/>
      <c r="G342" s="3">
        <v>46013.580246493053</v>
      </c>
      <c r="H342" s="3">
        <v>46013.580246608799</v>
      </c>
      <c r="I342" s="4" t="s">
        <v>67</v>
      </c>
      <c r="J342" t="s">
        <v>67</v>
      </c>
      <c r="K342" t="s">
        <v>67</v>
      </c>
      <c r="L342" t="s">
        <v>111</v>
      </c>
      <c r="M342" t="s">
        <v>112</v>
      </c>
      <c r="N342" t="s">
        <v>67</v>
      </c>
      <c r="O342" t="s">
        <v>113</v>
      </c>
      <c r="P342" t="s">
        <v>114</v>
      </c>
      <c r="Q342" t="s">
        <v>67</v>
      </c>
      <c r="R342" t="s">
        <v>67</v>
      </c>
      <c r="S342" s="5"/>
      <c r="T342" t="s">
        <v>72</v>
      </c>
      <c r="U342" t="s">
        <v>87</v>
      </c>
      <c r="V342" t="s">
        <v>74</v>
      </c>
      <c r="W342" t="s">
        <v>87</v>
      </c>
      <c r="AE342" s="2"/>
      <c r="AF342" s="2"/>
      <c r="AG342" s="2"/>
      <c r="AH342" s="2"/>
      <c r="AK342" t="s">
        <v>1411</v>
      </c>
      <c r="AL342" s="2">
        <v>3395000</v>
      </c>
      <c r="AM342" s="2">
        <v>0</v>
      </c>
      <c r="AN342" s="2"/>
      <c r="AO342" s="2">
        <v>0</v>
      </c>
      <c r="AP342" s="2">
        <v>3395000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4"/>
      <c r="AX342" t="s">
        <v>75</v>
      </c>
      <c r="AZ342" t="s">
        <v>1412</v>
      </c>
      <c r="BA342" t="s">
        <v>67</v>
      </c>
      <c r="BB342" t="s">
        <v>1413</v>
      </c>
      <c r="BC342" t="s">
        <v>78</v>
      </c>
      <c r="BD342" t="s">
        <v>79</v>
      </c>
      <c r="BE342" t="s">
        <v>159</v>
      </c>
      <c r="BF342" s="5">
        <v>46478</v>
      </c>
      <c r="BG342" t="s">
        <v>67</v>
      </c>
      <c r="BH342">
        <v>1</v>
      </c>
      <c r="BI342" s="6">
        <v>4800000</v>
      </c>
      <c r="BJ342" s="6">
        <v>50</v>
      </c>
      <c r="BK342" s="6">
        <v>2400000</v>
      </c>
      <c r="BL342" s="6">
        <v>2400000</v>
      </c>
      <c r="BM342" s="2">
        <v>2400000</v>
      </c>
      <c r="BN342">
        <f>InvoiceTable[[#This Row],[Giảm giá]]*InvoiceTable[[#This Row],[Số lượng]]</f>
        <v>2400000</v>
      </c>
    </row>
    <row r="343" spans="1:66" x14ac:dyDescent="0.25">
      <c r="A343" t="s">
        <v>65</v>
      </c>
      <c r="B343" t="s">
        <v>1410</v>
      </c>
      <c r="F343" s="2"/>
      <c r="G343" s="3">
        <v>46013.580246493053</v>
      </c>
      <c r="H343" s="3">
        <v>46013.580246608799</v>
      </c>
      <c r="I343" s="4" t="s">
        <v>67</v>
      </c>
      <c r="J343" t="s">
        <v>67</v>
      </c>
      <c r="K343" t="s">
        <v>67</v>
      </c>
      <c r="L343" t="s">
        <v>111</v>
      </c>
      <c r="M343" t="s">
        <v>112</v>
      </c>
      <c r="N343" t="s">
        <v>67</v>
      </c>
      <c r="O343" t="s">
        <v>113</v>
      </c>
      <c r="P343" t="s">
        <v>114</v>
      </c>
      <c r="Q343" t="s">
        <v>67</v>
      </c>
      <c r="R343" t="s">
        <v>67</v>
      </c>
      <c r="S343" s="5"/>
      <c r="T343" t="s">
        <v>72</v>
      </c>
      <c r="U343" t="s">
        <v>87</v>
      </c>
      <c r="V343" t="s">
        <v>74</v>
      </c>
      <c r="W343" t="s">
        <v>87</v>
      </c>
      <c r="AE343" s="2"/>
      <c r="AF343" s="2"/>
      <c r="AG343" s="2"/>
      <c r="AH343" s="2"/>
      <c r="AK343" t="s">
        <v>1411</v>
      </c>
      <c r="AL343" s="2">
        <v>3395000</v>
      </c>
      <c r="AM343" s="2">
        <v>0</v>
      </c>
      <c r="AN343" s="2"/>
      <c r="AO343" s="2">
        <v>0</v>
      </c>
      <c r="AP343" s="2">
        <v>3395000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4"/>
      <c r="AX343" t="s">
        <v>75</v>
      </c>
      <c r="AZ343" t="s">
        <v>504</v>
      </c>
      <c r="BA343" t="s">
        <v>67</v>
      </c>
      <c r="BB343" t="s">
        <v>505</v>
      </c>
      <c r="BC343" t="s">
        <v>78</v>
      </c>
      <c r="BD343" t="s">
        <v>79</v>
      </c>
      <c r="BE343" t="s">
        <v>506</v>
      </c>
      <c r="BF343" s="5">
        <v>47604</v>
      </c>
      <c r="BH343">
        <v>1</v>
      </c>
      <c r="BI343" s="6">
        <v>1990000</v>
      </c>
      <c r="BJ343" s="6">
        <v>50</v>
      </c>
      <c r="BK343" s="6">
        <v>995000</v>
      </c>
      <c r="BL343" s="6">
        <v>995000</v>
      </c>
      <c r="BM343" s="2">
        <v>995000</v>
      </c>
      <c r="BN343">
        <f>InvoiceTable[[#This Row],[Giảm giá]]*InvoiceTable[[#This Row],[Số lượng]]</f>
        <v>995000</v>
      </c>
    </row>
    <row r="344" spans="1:66" x14ac:dyDescent="0.25">
      <c r="A344" t="s">
        <v>65</v>
      </c>
      <c r="B344" t="s">
        <v>1414</v>
      </c>
      <c r="F344" s="2"/>
      <c r="G344" s="3">
        <v>46013.579708877318</v>
      </c>
      <c r="H344" s="3">
        <v>46013.579709108795</v>
      </c>
      <c r="I344" s="4" t="s">
        <v>67</v>
      </c>
      <c r="J344" t="s">
        <v>67</v>
      </c>
      <c r="K344" t="s">
        <v>67</v>
      </c>
      <c r="L344" t="s">
        <v>111</v>
      </c>
      <c r="M344" t="s">
        <v>112</v>
      </c>
      <c r="N344" t="s">
        <v>67</v>
      </c>
      <c r="O344" t="s">
        <v>113</v>
      </c>
      <c r="P344" t="s">
        <v>114</v>
      </c>
      <c r="Q344" t="s">
        <v>67</v>
      </c>
      <c r="R344" t="s">
        <v>67</v>
      </c>
      <c r="S344" s="5"/>
      <c r="T344" t="s">
        <v>72</v>
      </c>
      <c r="U344" t="s">
        <v>87</v>
      </c>
      <c r="V344" t="s">
        <v>74</v>
      </c>
      <c r="W344" t="s">
        <v>87</v>
      </c>
      <c r="AE344" s="2"/>
      <c r="AF344" s="2"/>
      <c r="AG344" s="2"/>
      <c r="AH344" s="2"/>
      <c r="AK344" t="s">
        <v>1415</v>
      </c>
      <c r="AL344" s="2">
        <v>995000</v>
      </c>
      <c r="AM344" s="2">
        <v>0</v>
      </c>
      <c r="AN344" s="2"/>
      <c r="AO344" s="2">
        <v>0</v>
      </c>
      <c r="AP344" s="2">
        <v>995000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4"/>
      <c r="AX344" t="s">
        <v>75</v>
      </c>
      <c r="AZ344" t="s">
        <v>504</v>
      </c>
      <c r="BA344" t="s">
        <v>67</v>
      </c>
      <c r="BB344" t="s">
        <v>505</v>
      </c>
      <c r="BC344" t="s">
        <v>78</v>
      </c>
      <c r="BD344" t="s">
        <v>79</v>
      </c>
      <c r="BE344" t="s">
        <v>506</v>
      </c>
      <c r="BF344" s="5">
        <v>47604</v>
      </c>
      <c r="BH344">
        <v>1</v>
      </c>
      <c r="BI344" s="6">
        <v>1990000</v>
      </c>
      <c r="BJ344" s="6">
        <v>50</v>
      </c>
      <c r="BK344" s="6">
        <v>995000</v>
      </c>
      <c r="BL344" s="6">
        <v>995000</v>
      </c>
      <c r="BM344" s="2">
        <v>995000</v>
      </c>
      <c r="BN344">
        <f>InvoiceTable[[#This Row],[Giảm giá]]*InvoiceTable[[#This Row],[Số lượng]]</f>
        <v>995000</v>
      </c>
    </row>
    <row r="345" spans="1:66" x14ac:dyDescent="0.25">
      <c r="A345" t="s">
        <v>65</v>
      </c>
      <c r="B345" t="s">
        <v>1416</v>
      </c>
      <c r="F345" s="2"/>
      <c r="G345" s="3">
        <v>46013.577845138891</v>
      </c>
      <c r="H345" s="3">
        <v>46013.577845173611</v>
      </c>
      <c r="I345" s="4" t="s">
        <v>67</v>
      </c>
      <c r="J345" t="s">
        <v>67</v>
      </c>
      <c r="K345" t="s">
        <v>67</v>
      </c>
      <c r="L345" t="s">
        <v>111</v>
      </c>
      <c r="M345" t="s">
        <v>112</v>
      </c>
      <c r="N345" t="s">
        <v>67</v>
      </c>
      <c r="O345" t="s">
        <v>113</v>
      </c>
      <c r="P345" t="s">
        <v>114</v>
      </c>
      <c r="Q345" t="s">
        <v>67</v>
      </c>
      <c r="R345" t="s">
        <v>67</v>
      </c>
      <c r="S345" s="5"/>
      <c r="T345" t="s">
        <v>72</v>
      </c>
      <c r="U345" t="s">
        <v>87</v>
      </c>
      <c r="V345" t="s">
        <v>74</v>
      </c>
      <c r="W345" t="s">
        <v>87</v>
      </c>
      <c r="AE345" s="2"/>
      <c r="AF345" s="2"/>
      <c r="AG345" s="2"/>
      <c r="AH345" s="2"/>
      <c r="AK345" t="s">
        <v>1417</v>
      </c>
      <c r="AL345" s="2">
        <v>2650000</v>
      </c>
      <c r="AM345" s="2">
        <v>0</v>
      </c>
      <c r="AN345" s="2"/>
      <c r="AO345" s="2">
        <v>0</v>
      </c>
      <c r="AP345" s="2">
        <v>2650000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4"/>
      <c r="AX345" t="s">
        <v>75</v>
      </c>
      <c r="AZ345" t="s">
        <v>806</v>
      </c>
      <c r="BA345" t="s">
        <v>67</v>
      </c>
      <c r="BB345" t="s">
        <v>807</v>
      </c>
      <c r="BC345" t="s">
        <v>78</v>
      </c>
      <c r="BD345" t="s">
        <v>79</v>
      </c>
      <c r="BE345" t="s">
        <v>188</v>
      </c>
      <c r="BF345" s="5">
        <v>46905</v>
      </c>
      <c r="BH345">
        <v>1</v>
      </c>
      <c r="BI345" s="6">
        <v>5300000</v>
      </c>
      <c r="BJ345" s="6">
        <v>50</v>
      </c>
      <c r="BK345" s="6">
        <v>2650000</v>
      </c>
      <c r="BL345" s="6">
        <v>2650000</v>
      </c>
      <c r="BM345" s="2">
        <v>2650000</v>
      </c>
      <c r="BN345">
        <f>InvoiceTable[[#This Row],[Giảm giá]]*InvoiceTable[[#This Row],[Số lượng]]</f>
        <v>2650000</v>
      </c>
    </row>
    <row r="346" spans="1:66" x14ac:dyDescent="0.25">
      <c r="A346" t="s">
        <v>65</v>
      </c>
      <c r="B346" t="s">
        <v>1418</v>
      </c>
      <c r="F346" s="2"/>
      <c r="G346" s="3">
        <v>46013.577539664351</v>
      </c>
      <c r="H346" s="3">
        <v>46013.577539733793</v>
      </c>
      <c r="I346" s="4" t="s">
        <v>67</v>
      </c>
      <c r="J346" t="s">
        <v>67</v>
      </c>
      <c r="K346" t="s">
        <v>67</v>
      </c>
      <c r="L346" t="s">
        <v>111</v>
      </c>
      <c r="M346" t="s">
        <v>112</v>
      </c>
      <c r="N346" t="s">
        <v>67</v>
      </c>
      <c r="O346" t="s">
        <v>113</v>
      </c>
      <c r="P346" t="s">
        <v>114</v>
      </c>
      <c r="Q346" t="s">
        <v>67</v>
      </c>
      <c r="R346" t="s">
        <v>67</v>
      </c>
      <c r="S346" s="5"/>
      <c r="T346" t="s">
        <v>72</v>
      </c>
      <c r="U346" t="s">
        <v>87</v>
      </c>
      <c r="V346" t="s">
        <v>74</v>
      </c>
      <c r="W346" t="s">
        <v>87</v>
      </c>
      <c r="AE346" s="2"/>
      <c r="AF346" s="2"/>
      <c r="AG346" s="2"/>
      <c r="AH346" s="2"/>
      <c r="AK346" t="s">
        <v>1419</v>
      </c>
      <c r="AL346" s="2">
        <v>15800000</v>
      </c>
      <c r="AM346" s="2">
        <v>7900000</v>
      </c>
      <c r="AN346" s="2"/>
      <c r="AO346" s="2">
        <v>0</v>
      </c>
      <c r="AP346" s="2">
        <v>7900000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4"/>
      <c r="AX346" t="s">
        <v>75</v>
      </c>
      <c r="AZ346" t="s">
        <v>806</v>
      </c>
      <c r="BA346" t="s">
        <v>67</v>
      </c>
      <c r="BB346" t="s">
        <v>807</v>
      </c>
      <c r="BC346" t="s">
        <v>78</v>
      </c>
      <c r="BD346" t="s">
        <v>79</v>
      </c>
      <c r="BE346" t="s">
        <v>188</v>
      </c>
      <c r="BF346" s="5">
        <v>46905</v>
      </c>
      <c r="BH346">
        <v>1</v>
      </c>
      <c r="BI346" s="6">
        <v>5300000</v>
      </c>
      <c r="BJ346" s="6">
        <v>0</v>
      </c>
      <c r="BK346" s="6">
        <v>0</v>
      </c>
      <c r="BL346" s="6">
        <v>5300000</v>
      </c>
      <c r="BM346" s="2">
        <v>5300000</v>
      </c>
      <c r="BN346">
        <f>InvoiceTable[[#This Row],[Giảm giá]]*InvoiceTable[[#This Row],[Số lượng]]</f>
        <v>0</v>
      </c>
    </row>
    <row r="347" spans="1:66" x14ac:dyDescent="0.25">
      <c r="A347" t="s">
        <v>65</v>
      </c>
      <c r="B347" t="s">
        <v>1418</v>
      </c>
      <c r="F347" s="2"/>
      <c r="G347" s="3">
        <v>46013.577539664351</v>
      </c>
      <c r="H347" s="3">
        <v>46013.577539733793</v>
      </c>
      <c r="I347" s="4" t="s">
        <v>67</v>
      </c>
      <c r="J347" t="s">
        <v>67</v>
      </c>
      <c r="K347" t="s">
        <v>67</v>
      </c>
      <c r="L347" t="s">
        <v>111</v>
      </c>
      <c r="M347" t="s">
        <v>112</v>
      </c>
      <c r="N347" t="s">
        <v>67</v>
      </c>
      <c r="O347" t="s">
        <v>113</v>
      </c>
      <c r="P347" t="s">
        <v>114</v>
      </c>
      <c r="Q347" t="s">
        <v>67</v>
      </c>
      <c r="R347" t="s">
        <v>67</v>
      </c>
      <c r="S347" s="5"/>
      <c r="T347" t="s">
        <v>72</v>
      </c>
      <c r="U347" t="s">
        <v>87</v>
      </c>
      <c r="V347" t="s">
        <v>74</v>
      </c>
      <c r="W347" t="s">
        <v>87</v>
      </c>
      <c r="AE347" s="2"/>
      <c r="AF347" s="2"/>
      <c r="AG347" s="2"/>
      <c r="AH347" s="2"/>
      <c r="AK347" t="s">
        <v>1419</v>
      </c>
      <c r="AL347" s="2">
        <v>15800000</v>
      </c>
      <c r="AM347" s="2">
        <v>7900000</v>
      </c>
      <c r="AN347" s="2"/>
      <c r="AO347" s="2">
        <v>0</v>
      </c>
      <c r="AP347" s="2">
        <v>7900000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4"/>
      <c r="AX347" t="s">
        <v>75</v>
      </c>
      <c r="AZ347" t="s">
        <v>518</v>
      </c>
      <c r="BA347" t="s">
        <v>67</v>
      </c>
      <c r="BB347" t="s">
        <v>519</v>
      </c>
      <c r="BC347" t="s">
        <v>78</v>
      </c>
      <c r="BD347" t="s">
        <v>79</v>
      </c>
      <c r="BE347" t="s">
        <v>80</v>
      </c>
      <c r="BF347" s="5">
        <v>47300</v>
      </c>
      <c r="BH347">
        <v>3</v>
      </c>
      <c r="BI347" s="6">
        <v>3500000</v>
      </c>
      <c r="BJ347" s="6">
        <v>0</v>
      </c>
      <c r="BK347" s="6">
        <v>0</v>
      </c>
      <c r="BL347" s="6">
        <v>3500000</v>
      </c>
      <c r="BM347" s="2">
        <v>10500000</v>
      </c>
      <c r="BN347">
        <f>InvoiceTable[[#This Row],[Giảm giá]]*InvoiceTable[[#This Row],[Số lượng]]</f>
        <v>0</v>
      </c>
    </row>
    <row r="348" spans="1:66" x14ac:dyDescent="0.25">
      <c r="A348" t="s">
        <v>65</v>
      </c>
      <c r="B348" t="s">
        <v>1420</v>
      </c>
      <c r="F348" s="2"/>
      <c r="G348" s="3">
        <v>46013.576783252312</v>
      </c>
      <c r="H348" s="3">
        <v>46013.576783368058</v>
      </c>
      <c r="I348" s="4" t="s">
        <v>67</v>
      </c>
      <c r="J348" t="s">
        <v>67</v>
      </c>
      <c r="K348" t="s">
        <v>67</v>
      </c>
      <c r="L348" t="s">
        <v>455</v>
      </c>
      <c r="M348" t="s">
        <v>456</v>
      </c>
      <c r="N348" t="s">
        <v>67</v>
      </c>
      <c r="O348" t="s">
        <v>457</v>
      </c>
      <c r="P348" t="s">
        <v>458</v>
      </c>
      <c r="Q348" t="s">
        <v>459</v>
      </c>
      <c r="R348" t="s">
        <v>460</v>
      </c>
      <c r="S348" s="5"/>
      <c r="T348" t="s">
        <v>72</v>
      </c>
      <c r="U348" t="s">
        <v>87</v>
      </c>
      <c r="V348" t="s">
        <v>74</v>
      </c>
      <c r="W348" t="s">
        <v>87</v>
      </c>
      <c r="AE348" s="2"/>
      <c r="AF348" s="2"/>
      <c r="AG348" s="2"/>
      <c r="AH348" s="2"/>
      <c r="AK348" t="s">
        <v>1421</v>
      </c>
      <c r="AL348" s="2">
        <v>0</v>
      </c>
      <c r="AM348" s="2">
        <v>0</v>
      </c>
      <c r="AN348" s="2"/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4"/>
      <c r="AX348" t="s">
        <v>75</v>
      </c>
      <c r="AZ348" t="s">
        <v>704</v>
      </c>
      <c r="BA348" t="s">
        <v>67</v>
      </c>
      <c r="BB348" t="s">
        <v>705</v>
      </c>
      <c r="BC348" t="s">
        <v>706</v>
      </c>
      <c r="BD348" t="s">
        <v>79</v>
      </c>
      <c r="BE348" t="s">
        <v>378</v>
      </c>
      <c r="BF348" s="5">
        <v>46997</v>
      </c>
      <c r="BH348">
        <v>1</v>
      </c>
      <c r="BI348" s="6">
        <v>860000</v>
      </c>
      <c r="BJ348" s="6">
        <v>0</v>
      </c>
      <c r="BK348" s="6">
        <v>860000</v>
      </c>
      <c r="BL348" s="6">
        <v>0</v>
      </c>
      <c r="BM348" s="2">
        <v>0</v>
      </c>
      <c r="BN348">
        <f>InvoiceTable[[#This Row],[Giảm giá]]*InvoiceTable[[#This Row],[Số lượng]]</f>
        <v>860000</v>
      </c>
    </row>
    <row r="349" spans="1:66" x14ac:dyDescent="0.25">
      <c r="A349" t="s">
        <v>65</v>
      </c>
      <c r="B349" t="s">
        <v>1422</v>
      </c>
      <c r="F349" s="2"/>
      <c r="G349" s="3">
        <v>46013.57477353009</v>
      </c>
      <c r="H349" s="3">
        <v>46013.574773692133</v>
      </c>
      <c r="I349" s="4" t="s">
        <v>67</v>
      </c>
      <c r="J349" t="s">
        <v>1423</v>
      </c>
      <c r="K349" t="s">
        <v>67</v>
      </c>
      <c r="L349" t="s">
        <v>1424</v>
      </c>
      <c r="M349" t="s">
        <v>1425</v>
      </c>
      <c r="N349" t="s">
        <v>1426</v>
      </c>
      <c r="O349" t="s">
        <v>1427</v>
      </c>
      <c r="P349" t="s">
        <v>1428</v>
      </c>
      <c r="S349" s="5"/>
      <c r="T349" t="s">
        <v>72</v>
      </c>
      <c r="U349" t="s">
        <v>73</v>
      </c>
      <c r="V349" t="s">
        <v>74</v>
      </c>
      <c r="W349" t="s">
        <v>87</v>
      </c>
      <c r="AE349" s="2"/>
      <c r="AF349" s="2"/>
      <c r="AG349" s="2"/>
      <c r="AH349" s="2"/>
      <c r="AK349" t="s">
        <v>1429</v>
      </c>
      <c r="AL349" s="2">
        <v>791542</v>
      </c>
      <c r="AM349" s="2">
        <v>0</v>
      </c>
      <c r="AN349" s="2"/>
      <c r="AO349" s="2">
        <v>0</v>
      </c>
      <c r="AP349" s="2">
        <v>791542</v>
      </c>
      <c r="AQ349" s="2">
        <v>791542</v>
      </c>
      <c r="AR349" s="2">
        <v>0</v>
      </c>
      <c r="AS349" s="2">
        <v>0</v>
      </c>
      <c r="AT349" s="2">
        <v>0</v>
      </c>
      <c r="AU349" s="2">
        <v>791542</v>
      </c>
      <c r="AV349" s="2">
        <v>0</v>
      </c>
      <c r="AW349" s="4"/>
      <c r="AX349" t="s">
        <v>75</v>
      </c>
      <c r="AZ349" t="s">
        <v>919</v>
      </c>
      <c r="BA349" t="s">
        <v>67</v>
      </c>
      <c r="BB349" t="s">
        <v>920</v>
      </c>
      <c r="BC349" t="s">
        <v>822</v>
      </c>
      <c r="BD349" t="s">
        <v>79</v>
      </c>
      <c r="BE349" t="s">
        <v>921</v>
      </c>
      <c r="BF349" s="5">
        <v>47392</v>
      </c>
      <c r="BG349" t="s">
        <v>67</v>
      </c>
      <c r="BH349">
        <v>1</v>
      </c>
      <c r="BI349" s="6">
        <v>1364727</v>
      </c>
      <c r="BJ349" s="6">
        <v>42</v>
      </c>
      <c r="BK349" s="6">
        <v>573185.34</v>
      </c>
      <c r="BL349" s="6">
        <v>791541.66</v>
      </c>
      <c r="BM349" s="2">
        <v>791542</v>
      </c>
      <c r="BN349">
        <f>InvoiceTable[[#This Row],[Giảm giá]]*InvoiceTable[[#This Row],[Số lượng]]</f>
        <v>573185.34</v>
      </c>
    </row>
    <row r="350" spans="1:66" x14ac:dyDescent="0.25">
      <c r="A350" t="s">
        <v>65</v>
      </c>
      <c r="B350" t="s">
        <v>1430</v>
      </c>
      <c r="F350" s="2"/>
      <c r="G350" s="3">
        <v>46013.574589004631</v>
      </c>
      <c r="H350" s="3">
        <v>46013.57458912037</v>
      </c>
      <c r="I350" s="4" t="s">
        <v>67</v>
      </c>
      <c r="J350" t="s">
        <v>1431</v>
      </c>
      <c r="K350" t="s">
        <v>67</v>
      </c>
      <c r="L350" t="s">
        <v>254</v>
      </c>
      <c r="M350" t="s">
        <v>255</v>
      </c>
      <c r="N350" t="s">
        <v>67</v>
      </c>
      <c r="O350" t="s">
        <v>256</v>
      </c>
      <c r="P350" t="s">
        <v>257</v>
      </c>
      <c r="S350" s="5"/>
      <c r="T350" t="s">
        <v>72</v>
      </c>
      <c r="U350" t="s">
        <v>73</v>
      </c>
      <c r="V350" t="s">
        <v>74</v>
      </c>
      <c r="W350" t="s">
        <v>87</v>
      </c>
      <c r="AE350" s="2"/>
      <c r="AF350" s="2"/>
      <c r="AG350" s="2"/>
      <c r="AH350" s="2"/>
      <c r="AK350" t="s">
        <v>1283</v>
      </c>
      <c r="AL350" s="2">
        <v>701800</v>
      </c>
      <c r="AM350" s="2">
        <v>0</v>
      </c>
      <c r="AN350" s="2"/>
      <c r="AO350" s="2">
        <v>0</v>
      </c>
      <c r="AP350" s="2">
        <v>701800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4"/>
      <c r="AX350" t="s">
        <v>75</v>
      </c>
      <c r="AZ350" t="s">
        <v>1386</v>
      </c>
      <c r="BA350" t="s">
        <v>67</v>
      </c>
      <c r="BB350" t="s">
        <v>1387</v>
      </c>
      <c r="BC350" t="s">
        <v>251</v>
      </c>
      <c r="BD350" t="s">
        <v>79</v>
      </c>
      <c r="BE350" t="s">
        <v>810</v>
      </c>
      <c r="BF350" s="5">
        <v>46539</v>
      </c>
      <c r="BH350">
        <v>2</v>
      </c>
      <c r="BI350" s="6">
        <v>605000</v>
      </c>
      <c r="BJ350" s="6">
        <v>42</v>
      </c>
      <c r="BK350" s="6">
        <v>254100</v>
      </c>
      <c r="BL350" s="6">
        <v>350900</v>
      </c>
      <c r="BM350" s="2">
        <v>701800</v>
      </c>
      <c r="BN350">
        <f>InvoiceTable[[#This Row],[Giảm giá]]*InvoiceTable[[#This Row],[Số lượng]]</f>
        <v>508200</v>
      </c>
    </row>
    <row r="351" spans="1:66" x14ac:dyDescent="0.25">
      <c r="A351" t="s">
        <v>65</v>
      </c>
      <c r="B351" t="s">
        <v>1432</v>
      </c>
      <c r="F351" s="2"/>
      <c r="G351" s="3">
        <v>46013.574299502317</v>
      </c>
      <c r="H351" s="3">
        <v>46013.574299652777</v>
      </c>
      <c r="I351" s="4" t="s">
        <v>67</v>
      </c>
      <c r="J351" t="s">
        <v>1433</v>
      </c>
      <c r="K351" t="s">
        <v>67</v>
      </c>
      <c r="L351" t="s">
        <v>161</v>
      </c>
      <c r="M351" t="s">
        <v>162</v>
      </c>
      <c r="N351" t="s">
        <v>67</v>
      </c>
      <c r="O351" t="s">
        <v>163</v>
      </c>
      <c r="P351" t="s">
        <v>164</v>
      </c>
      <c r="S351" s="5"/>
      <c r="T351" t="s">
        <v>72</v>
      </c>
      <c r="U351" t="s">
        <v>102</v>
      </c>
      <c r="V351" t="s">
        <v>74</v>
      </c>
      <c r="W351" t="s">
        <v>87</v>
      </c>
      <c r="AE351" s="2"/>
      <c r="AF351" s="2"/>
      <c r="AG351" s="2"/>
      <c r="AH351" s="2"/>
      <c r="AK351" t="s">
        <v>1434</v>
      </c>
      <c r="AL351" s="2">
        <v>4319070</v>
      </c>
      <c r="AM351" s="2">
        <v>0</v>
      </c>
      <c r="AN351" s="2"/>
      <c r="AO351" s="2">
        <v>0</v>
      </c>
      <c r="AP351" s="2">
        <v>4319070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4"/>
      <c r="AX351" t="s">
        <v>75</v>
      </c>
      <c r="AZ351" t="s">
        <v>1435</v>
      </c>
      <c r="BA351" t="s">
        <v>67</v>
      </c>
      <c r="BB351" t="s">
        <v>1436</v>
      </c>
      <c r="BC351" t="s">
        <v>377</v>
      </c>
      <c r="BD351" t="s">
        <v>79</v>
      </c>
      <c r="BE351" t="s">
        <v>188</v>
      </c>
      <c r="BF351" s="5">
        <v>46905</v>
      </c>
      <c r="BH351">
        <v>1</v>
      </c>
      <c r="BI351" s="6">
        <v>1885000</v>
      </c>
      <c r="BJ351" s="6">
        <v>37</v>
      </c>
      <c r="BK351" s="6">
        <v>697450</v>
      </c>
      <c r="BL351" s="6">
        <v>1187550</v>
      </c>
      <c r="BM351" s="2">
        <v>1187550</v>
      </c>
      <c r="BN351">
        <f>InvoiceTable[[#This Row],[Giảm giá]]*InvoiceTable[[#This Row],[Số lượng]]</f>
        <v>697450</v>
      </c>
    </row>
    <row r="352" spans="1:66" x14ac:dyDescent="0.25">
      <c r="A352" t="s">
        <v>65</v>
      </c>
      <c r="B352" t="s">
        <v>1432</v>
      </c>
      <c r="F352" s="2"/>
      <c r="G352" s="3">
        <v>46013.574299502317</v>
      </c>
      <c r="H352" s="3">
        <v>46013.574299652777</v>
      </c>
      <c r="I352" s="4" t="s">
        <v>67</v>
      </c>
      <c r="J352" t="s">
        <v>1433</v>
      </c>
      <c r="K352" t="s">
        <v>67</v>
      </c>
      <c r="L352" t="s">
        <v>161</v>
      </c>
      <c r="M352" t="s">
        <v>162</v>
      </c>
      <c r="N352" t="s">
        <v>67</v>
      </c>
      <c r="O352" t="s">
        <v>163</v>
      </c>
      <c r="P352" t="s">
        <v>164</v>
      </c>
      <c r="S352" s="5"/>
      <c r="T352" t="s">
        <v>72</v>
      </c>
      <c r="U352" t="s">
        <v>102</v>
      </c>
      <c r="V352" t="s">
        <v>74</v>
      </c>
      <c r="W352" t="s">
        <v>87</v>
      </c>
      <c r="AE352" s="2"/>
      <c r="AF352" s="2"/>
      <c r="AG352" s="2"/>
      <c r="AH352" s="2"/>
      <c r="AK352" t="s">
        <v>1434</v>
      </c>
      <c r="AL352" s="2">
        <v>4319070</v>
      </c>
      <c r="AM352" s="2">
        <v>0</v>
      </c>
      <c r="AN352" s="2"/>
      <c r="AO352" s="2">
        <v>0</v>
      </c>
      <c r="AP352" s="2">
        <v>4319070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4"/>
      <c r="AX352" t="s">
        <v>75</v>
      </c>
      <c r="AZ352" t="s">
        <v>1437</v>
      </c>
      <c r="BB352" t="s">
        <v>1438</v>
      </c>
      <c r="BC352" t="s">
        <v>237</v>
      </c>
      <c r="BD352" t="s">
        <v>79</v>
      </c>
      <c r="BE352" t="s">
        <v>188</v>
      </c>
      <c r="BF352" s="5">
        <v>46905</v>
      </c>
      <c r="BG352" t="s">
        <v>67</v>
      </c>
      <c r="BH352">
        <v>1</v>
      </c>
      <c r="BI352" s="6">
        <v>4893000</v>
      </c>
      <c r="BJ352" s="6">
        <v>36</v>
      </c>
      <c r="BK352" s="6">
        <v>1761480</v>
      </c>
      <c r="BL352" s="6">
        <v>3131520</v>
      </c>
      <c r="BM352" s="2">
        <v>3131520</v>
      </c>
      <c r="BN352">
        <f>InvoiceTable[[#This Row],[Giảm giá]]*InvoiceTable[[#This Row],[Số lượng]]</f>
        <v>1761480</v>
      </c>
    </row>
    <row r="353" spans="1:66" x14ac:dyDescent="0.25">
      <c r="A353" t="s">
        <v>65</v>
      </c>
      <c r="B353" t="s">
        <v>1439</v>
      </c>
      <c r="F353" s="2"/>
      <c r="G353" s="3">
        <v>46013.574128935186</v>
      </c>
      <c r="H353" s="3">
        <v>46013.574129050925</v>
      </c>
      <c r="I353" s="4" t="s">
        <v>67</v>
      </c>
      <c r="J353" t="s">
        <v>1440</v>
      </c>
      <c r="K353" t="s">
        <v>67</v>
      </c>
      <c r="L353" t="s">
        <v>1441</v>
      </c>
      <c r="M353" t="s">
        <v>1442</v>
      </c>
      <c r="N353" t="s">
        <v>67</v>
      </c>
      <c r="O353" t="s">
        <v>1443</v>
      </c>
      <c r="Q353" t="s">
        <v>67</v>
      </c>
      <c r="R353" t="s">
        <v>67</v>
      </c>
      <c r="S353" s="5"/>
      <c r="T353" t="s">
        <v>72</v>
      </c>
      <c r="U353" t="s">
        <v>102</v>
      </c>
      <c r="V353" t="s">
        <v>74</v>
      </c>
      <c r="W353" t="s">
        <v>87</v>
      </c>
      <c r="AE353" s="2"/>
      <c r="AF353" s="2"/>
      <c r="AG353" s="2"/>
      <c r="AH353" s="2"/>
      <c r="AK353" t="s">
        <v>1444</v>
      </c>
      <c r="AL353" s="2">
        <v>672000</v>
      </c>
      <c r="AM353" s="2">
        <v>0</v>
      </c>
      <c r="AN353" s="2"/>
      <c r="AO353" s="2">
        <v>0</v>
      </c>
      <c r="AP353" s="2">
        <v>672000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4"/>
      <c r="AX353" t="s">
        <v>75</v>
      </c>
      <c r="AZ353" t="s">
        <v>1445</v>
      </c>
      <c r="BA353" t="s">
        <v>67</v>
      </c>
      <c r="BB353" t="s">
        <v>1446</v>
      </c>
      <c r="BC353" t="s">
        <v>1219</v>
      </c>
      <c r="BD353" t="s">
        <v>79</v>
      </c>
      <c r="BE353" t="s">
        <v>1447</v>
      </c>
      <c r="BF353" s="5">
        <v>46843</v>
      </c>
      <c r="BG353" t="s">
        <v>67</v>
      </c>
      <c r="BH353">
        <v>2</v>
      </c>
      <c r="BI353" s="6">
        <v>560000</v>
      </c>
      <c r="BJ353" s="6">
        <v>40</v>
      </c>
      <c r="BK353" s="6">
        <v>224000</v>
      </c>
      <c r="BL353" s="6">
        <v>336000</v>
      </c>
      <c r="BM353" s="2">
        <v>672000</v>
      </c>
      <c r="BN353">
        <f>InvoiceTable[[#This Row],[Giảm giá]]*InvoiceTable[[#This Row],[Số lượng]]</f>
        <v>448000</v>
      </c>
    </row>
    <row r="354" spans="1:66" x14ac:dyDescent="0.25">
      <c r="A354" t="s">
        <v>65</v>
      </c>
      <c r="B354" t="s">
        <v>1448</v>
      </c>
      <c r="F354" s="2"/>
      <c r="G354" s="3">
        <v>46013.57319181713</v>
      </c>
      <c r="H354" s="3">
        <v>46013.573180590276</v>
      </c>
      <c r="I354" s="4" t="s">
        <v>1449</v>
      </c>
      <c r="J354" t="s">
        <v>1450</v>
      </c>
      <c r="K354" t="s">
        <v>67</v>
      </c>
      <c r="L354" t="s">
        <v>254</v>
      </c>
      <c r="M354" t="s">
        <v>255</v>
      </c>
      <c r="N354" t="s">
        <v>67</v>
      </c>
      <c r="O354" t="s">
        <v>256</v>
      </c>
      <c r="P354" t="s">
        <v>257</v>
      </c>
      <c r="S354" s="5"/>
      <c r="T354" t="s">
        <v>72</v>
      </c>
      <c r="U354" t="s">
        <v>73</v>
      </c>
      <c r="V354" t="s">
        <v>74</v>
      </c>
      <c r="W354" t="s">
        <v>87</v>
      </c>
      <c r="AE354" s="2"/>
      <c r="AF354" s="2"/>
      <c r="AG354" s="2"/>
      <c r="AH354" s="2"/>
      <c r="AK354" t="s">
        <v>1283</v>
      </c>
      <c r="AL354" s="2">
        <v>2850000</v>
      </c>
      <c r="AM354" s="2">
        <v>0</v>
      </c>
      <c r="AN354" s="2"/>
      <c r="AO354" s="2">
        <v>0</v>
      </c>
      <c r="AP354" s="2">
        <v>2850000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4"/>
      <c r="AX354" t="s">
        <v>75</v>
      </c>
      <c r="AZ354" t="s">
        <v>543</v>
      </c>
      <c r="BA354" t="s">
        <v>67</v>
      </c>
      <c r="BB354" t="s">
        <v>544</v>
      </c>
      <c r="BC354" t="s">
        <v>437</v>
      </c>
      <c r="BD354" t="s">
        <v>79</v>
      </c>
      <c r="BE354" t="s">
        <v>545</v>
      </c>
      <c r="BF354" s="5">
        <v>47177</v>
      </c>
      <c r="BG354" t="s">
        <v>67</v>
      </c>
      <c r="BH354">
        <v>1</v>
      </c>
      <c r="BI354" s="6">
        <v>4500000</v>
      </c>
      <c r="BJ354" s="6">
        <v>0</v>
      </c>
      <c r="BK354" s="6">
        <v>1650000</v>
      </c>
      <c r="BL354" s="6">
        <v>2850000</v>
      </c>
      <c r="BM354" s="2">
        <v>2850000</v>
      </c>
      <c r="BN354">
        <f>InvoiceTable[[#This Row],[Giảm giá]]*InvoiceTable[[#This Row],[Số lượng]]</f>
        <v>1650000</v>
      </c>
    </row>
    <row r="355" spans="1:66" x14ac:dyDescent="0.25">
      <c r="A355" t="s">
        <v>65</v>
      </c>
      <c r="B355" t="s">
        <v>1451</v>
      </c>
      <c r="F355" s="2"/>
      <c r="G355" s="3">
        <v>46013.572874155092</v>
      </c>
      <c r="H355" s="3">
        <v>46013.572851076387</v>
      </c>
      <c r="I355" s="4" t="s">
        <v>1202</v>
      </c>
      <c r="J355" t="s">
        <v>1452</v>
      </c>
      <c r="K355" t="s">
        <v>67</v>
      </c>
      <c r="L355" t="s">
        <v>884</v>
      </c>
      <c r="M355" t="s">
        <v>885</v>
      </c>
      <c r="N355" t="s">
        <v>67</v>
      </c>
      <c r="O355" t="s">
        <v>886</v>
      </c>
      <c r="P355" t="s">
        <v>887</v>
      </c>
      <c r="Q355" t="s">
        <v>67</v>
      </c>
      <c r="R355" t="s">
        <v>67</v>
      </c>
      <c r="S355" s="5"/>
      <c r="T355" t="s">
        <v>72</v>
      </c>
      <c r="U355" t="s">
        <v>102</v>
      </c>
      <c r="V355" t="s">
        <v>74</v>
      </c>
      <c r="W355" t="s">
        <v>87</v>
      </c>
      <c r="AE355" s="2"/>
      <c r="AF355" s="2"/>
      <c r="AG355" s="2"/>
      <c r="AH355" s="2"/>
      <c r="AK355" t="s">
        <v>1453</v>
      </c>
      <c r="AL355" s="2">
        <v>6730000</v>
      </c>
      <c r="AM355" s="2">
        <v>0</v>
      </c>
      <c r="AN355" s="2"/>
      <c r="AO355" s="2">
        <v>0</v>
      </c>
      <c r="AP355" s="2">
        <v>6730000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4"/>
      <c r="AX355" t="s">
        <v>75</v>
      </c>
      <c r="AZ355" t="s">
        <v>124</v>
      </c>
      <c r="BA355" t="s">
        <v>67</v>
      </c>
      <c r="BB355" t="s">
        <v>125</v>
      </c>
      <c r="BC355" t="s">
        <v>126</v>
      </c>
      <c r="BD355" t="s">
        <v>79</v>
      </c>
      <c r="BE355" t="s">
        <v>127</v>
      </c>
      <c r="BF355" s="5">
        <v>46683</v>
      </c>
      <c r="BH355">
        <v>1</v>
      </c>
      <c r="BI355" s="6">
        <v>1200000</v>
      </c>
      <c r="BJ355" s="6">
        <v>0</v>
      </c>
      <c r="BK355" s="6">
        <v>570000</v>
      </c>
      <c r="BL355" s="6">
        <v>630000</v>
      </c>
      <c r="BM355" s="2">
        <v>630000</v>
      </c>
      <c r="BN355">
        <f>InvoiceTable[[#This Row],[Giảm giá]]*InvoiceTable[[#This Row],[Số lượng]]</f>
        <v>570000</v>
      </c>
    </row>
    <row r="356" spans="1:66" x14ac:dyDescent="0.25">
      <c r="A356" t="s">
        <v>65</v>
      </c>
      <c r="B356" t="s">
        <v>1451</v>
      </c>
      <c r="F356" s="2"/>
      <c r="G356" s="3">
        <v>46013.572874155092</v>
      </c>
      <c r="H356" s="3">
        <v>46013.572851076387</v>
      </c>
      <c r="I356" s="4" t="s">
        <v>1202</v>
      </c>
      <c r="J356" t="s">
        <v>1452</v>
      </c>
      <c r="K356" t="s">
        <v>67</v>
      </c>
      <c r="L356" t="s">
        <v>884</v>
      </c>
      <c r="M356" t="s">
        <v>885</v>
      </c>
      <c r="N356" t="s">
        <v>67</v>
      </c>
      <c r="O356" t="s">
        <v>886</v>
      </c>
      <c r="P356" t="s">
        <v>887</v>
      </c>
      <c r="Q356" t="s">
        <v>67</v>
      </c>
      <c r="R356" t="s">
        <v>67</v>
      </c>
      <c r="S356" s="5"/>
      <c r="T356" t="s">
        <v>72</v>
      </c>
      <c r="U356" t="s">
        <v>102</v>
      </c>
      <c r="V356" t="s">
        <v>74</v>
      </c>
      <c r="W356" t="s">
        <v>87</v>
      </c>
      <c r="AE356" s="2"/>
      <c r="AF356" s="2"/>
      <c r="AG356" s="2"/>
      <c r="AH356" s="2"/>
      <c r="AK356" t="s">
        <v>1453</v>
      </c>
      <c r="AL356" s="2">
        <v>6730000</v>
      </c>
      <c r="AM356" s="2">
        <v>0</v>
      </c>
      <c r="AN356" s="2"/>
      <c r="AO356" s="2">
        <v>0</v>
      </c>
      <c r="AP356" s="2">
        <v>6730000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4"/>
      <c r="AX356" t="s">
        <v>75</v>
      </c>
      <c r="AZ356" t="s">
        <v>782</v>
      </c>
      <c r="BA356" t="s">
        <v>67</v>
      </c>
      <c r="BB356" t="s">
        <v>783</v>
      </c>
      <c r="BC356" t="s">
        <v>784</v>
      </c>
      <c r="BD356" t="s">
        <v>79</v>
      </c>
      <c r="BE356" t="s">
        <v>785</v>
      </c>
      <c r="BF356" s="5">
        <v>46507</v>
      </c>
      <c r="BH356">
        <v>1</v>
      </c>
      <c r="BI356" s="6">
        <v>3550000</v>
      </c>
      <c r="BJ356" s="6">
        <v>21.13</v>
      </c>
      <c r="BK356" s="6">
        <v>750000</v>
      </c>
      <c r="BL356" s="6">
        <v>2800000</v>
      </c>
      <c r="BM356" s="2">
        <v>2800000</v>
      </c>
      <c r="BN356">
        <f>InvoiceTable[[#This Row],[Giảm giá]]*InvoiceTable[[#This Row],[Số lượng]]</f>
        <v>750000</v>
      </c>
    </row>
    <row r="357" spans="1:66" x14ac:dyDescent="0.25">
      <c r="A357" t="s">
        <v>65</v>
      </c>
      <c r="B357" t="s">
        <v>1451</v>
      </c>
      <c r="F357" s="2"/>
      <c r="G357" s="3">
        <v>46013.572874155092</v>
      </c>
      <c r="H357" s="3">
        <v>46013.572851076387</v>
      </c>
      <c r="I357" s="4" t="s">
        <v>1202</v>
      </c>
      <c r="J357" t="s">
        <v>1452</v>
      </c>
      <c r="K357" t="s">
        <v>67</v>
      </c>
      <c r="L357" t="s">
        <v>884</v>
      </c>
      <c r="M357" t="s">
        <v>885</v>
      </c>
      <c r="N357" t="s">
        <v>67</v>
      </c>
      <c r="O357" t="s">
        <v>886</v>
      </c>
      <c r="P357" t="s">
        <v>887</v>
      </c>
      <c r="Q357" t="s">
        <v>67</v>
      </c>
      <c r="R357" t="s">
        <v>67</v>
      </c>
      <c r="S357" s="5"/>
      <c r="T357" t="s">
        <v>72</v>
      </c>
      <c r="U357" t="s">
        <v>102</v>
      </c>
      <c r="V357" t="s">
        <v>74</v>
      </c>
      <c r="W357" t="s">
        <v>87</v>
      </c>
      <c r="AE357" s="2"/>
      <c r="AF357" s="2"/>
      <c r="AG357" s="2"/>
      <c r="AH357" s="2"/>
      <c r="AK357" t="s">
        <v>1453</v>
      </c>
      <c r="AL357" s="2">
        <v>6730000</v>
      </c>
      <c r="AM357" s="2">
        <v>0</v>
      </c>
      <c r="AN357" s="2"/>
      <c r="AO357" s="2">
        <v>0</v>
      </c>
      <c r="AP357" s="2">
        <v>6730000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4"/>
      <c r="AX357" t="s">
        <v>75</v>
      </c>
      <c r="AZ357" t="s">
        <v>752</v>
      </c>
      <c r="BA357" t="s">
        <v>67</v>
      </c>
      <c r="BB357" t="s">
        <v>753</v>
      </c>
      <c r="BC357" t="s">
        <v>754</v>
      </c>
      <c r="BD357" t="s">
        <v>79</v>
      </c>
      <c r="BE357" t="s">
        <v>378</v>
      </c>
      <c r="BF357" s="5">
        <v>46966</v>
      </c>
      <c r="BH357">
        <v>2</v>
      </c>
      <c r="BI357" s="6">
        <v>2590000</v>
      </c>
      <c r="BJ357" s="6">
        <v>0</v>
      </c>
      <c r="BK357" s="6">
        <v>940000</v>
      </c>
      <c r="BL357" s="6">
        <v>1650000</v>
      </c>
      <c r="BM357" s="2">
        <v>3300000</v>
      </c>
      <c r="BN357">
        <f>InvoiceTable[[#This Row],[Giảm giá]]*InvoiceTable[[#This Row],[Số lượng]]</f>
        <v>1880000</v>
      </c>
    </row>
    <row r="358" spans="1:66" x14ac:dyDescent="0.25">
      <c r="A358" t="s">
        <v>65</v>
      </c>
      <c r="B358" t="s">
        <v>1454</v>
      </c>
      <c r="F358" s="2"/>
      <c r="G358" s="3">
        <v>46013.571560219905</v>
      </c>
      <c r="H358" s="3">
        <v>46013.571525659725</v>
      </c>
      <c r="I358" s="4" t="s">
        <v>686</v>
      </c>
      <c r="J358" t="s">
        <v>67</v>
      </c>
      <c r="K358" t="s">
        <v>67</v>
      </c>
      <c r="L358" t="s">
        <v>933</v>
      </c>
      <c r="M358" t="s">
        <v>934</v>
      </c>
      <c r="N358" t="s">
        <v>67</v>
      </c>
      <c r="O358" t="s">
        <v>935</v>
      </c>
      <c r="S358" s="5"/>
      <c r="T358" t="s">
        <v>72</v>
      </c>
      <c r="U358" t="s">
        <v>87</v>
      </c>
      <c r="V358" t="s">
        <v>74</v>
      </c>
      <c r="W358" t="s">
        <v>87</v>
      </c>
      <c r="AE358" s="2"/>
      <c r="AF358" s="2"/>
      <c r="AG358" s="2"/>
      <c r="AH358" s="2"/>
      <c r="AL358" s="2">
        <v>544500</v>
      </c>
      <c r="AM358" s="2">
        <v>0</v>
      </c>
      <c r="AN358" s="2"/>
      <c r="AO358" s="2">
        <v>0</v>
      </c>
      <c r="AP358" s="2">
        <v>544500</v>
      </c>
      <c r="AQ358" s="2">
        <v>544500</v>
      </c>
      <c r="AR358" s="2">
        <v>0</v>
      </c>
      <c r="AS358" s="2">
        <v>0</v>
      </c>
      <c r="AT358" s="2">
        <v>0</v>
      </c>
      <c r="AU358" s="2">
        <v>544500</v>
      </c>
      <c r="AV358" s="2">
        <v>0</v>
      </c>
      <c r="AW358" s="4"/>
      <c r="AX358" t="s">
        <v>75</v>
      </c>
      <c r="AZ358" t="s">
        <v>404</v>
      </c>
      <c r="BA358" t="s">
        <v>67</v>
      </c>
      <c r="BB358" t="s">
        <v>405</v>
      </c>
      <c r="BC358" t="s">
        <v>406</v>
      </c>
      <c r="BD358" t="s">
        <v>79</v>
      </c>
      <c r="BE358" t="s">
        <v>131</v>
      </c>
      <c r="BF358" s="5">
        <v>46874</v>
      </c>
      <c r="BH358">
        <v>1</v>
      </c>
      <c r="BI358" s="6">
        <v>990000</v>
      </c>
      <c r="BJ358" s="6">
        <v>45</v>
      </c>
      <c r="BK358" s="6">
        <v>445500</v>
      </c>
      <c r="BL358" s="6">
        <v>544500</v>
      </c>
      <c r="BM358" s="2">
        <v>544500</v>
      </c>
      <c r="BN358">
        <f>InvoiceTable[[#This Row],[Giảm giá]]*InvoiceTable[[#This Row],[Số lượng]]</f>
        <v>445500</v>
      </c>
    </row>
    <row r="359" spans="1:66" x14ac:dyDescent="0.25">
      <c r="A359" t="s">
        <v>65</v>
      </c>
      <c r="B359" t="s">
        <v>1455</v>
      </c>
      <c r="F359" s="2"/>
      <c r="G359" s="3">
        <v>46013.567228969907</v>
      </c>
      <c r="H359" s="3">
        <v>46013.567229085646</v>
      </c>
      <c r="I359" s="4" t="s">
        <v>67</v>
      </c>
      <c r="J359" t="s">
        <v>67</v>
      </c>
      <c r="K359" t="s">
        <v>67</v>
      </c>
      <c r="L359" t="s">
        <v>876</v>
      </c>
      <c r="M359" t="s">
        <v>877</v>
      </c>
      <c r="N359" t="s">
        <v>67</v>
      </c>
      <c r="O359" t="s">
        <v>878</v>
      </c>
      <c r="P359" t="s">
        <v>879</v>
      </c>
      <c r="Q359" t="s">
        <v>880</v>
      </c>
      <c r="R359" t="s">
        <v>881</v>
      </c>
      <c r="S359" s="5"/>
      <c r="T359" t="s">
        <v>72</v>
      </c>
      <c r="U359" t="s">
        <v>87</v>
      </c>
      <c r="V359" t="s">
        <v>74</v>
      </c>
      <c r="W359" t="s">
        <v>87</v>
      </c>
      <c r="AE359" s="2"/>
      <c r="AF359" s="2"/>
      <c r="AG359" s="2"/>
      <c r="AH359" s="2"/>
      <c r="AK359" t="s">
        <v>67</v>
      </c>
      <c r="AL359" s="2">
        <v>2160000</v>
      </c>
      <c r="AM359" s="2">
        <v>0</v>
      </c>
      <c r="AN359" s="2"/>
      <c r="AO359" s="2">
        <v>0</v>
      </c>
      <c r="AP359" s="2">
        <v>2160000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4"/>
      <c r="AX359" t="s">
        <v>75</v>
      </c>
      <c r="AZ359" t="s">
        <v>1456</v>
      </c>
      <c r="BA359" t="s">
        <v>67</v>
      </c>
      <c r="BB359" t="s">
        <v>1457</v>
      </c>
      <c r="BC359" t="s">
        <v>187</v>
      </c>
      <c r="BD359" t="s">
        <v>79</v>
      </c>
      <c r="BE359" t="s">
        <v>324</v>
      </c>
      <c r="BF359" s="5">
        <v>47058</v>
      </c>
      <c r="BG359" t="s">
        <v>67</v>
      </c>
      <c r="BH359">
        <v>12</v>
      </c>
      <c r="BI359" s="6">
        <v>450000</v>
      </c>
      <c r="BJ359" s="6">
        <v>60</v>
      </c>
      <c r="BK359" s="6">
        <v>270000</v>
      </c>
      <c r="BL359" s="6">
        <v>180000</v>
      </c>
      <c r="BM359" s="2">
        <v>2160000</v>
      </c>
      <c r="BN359">
        <f>InvoiceTable[[#This Row],[Giảm giá]]*InvoiceTable[[#This Row],[Số lượng]]</f>
        <v>3240000</v>
      </c>
    </row>
    <row r="360" spans="1:66" x14ac:dyDescent="0.25">
      <c r="A360" t="s">
        <v>65</v>
      </c>
      <c r="B360" t="s">
        <v>1458</v>
      </c>
      <c r="F360" s="2"/>
      <c r="G360" s="3">
        <v>46013.559606284725</v>
      </c>
      <c r="H360" s="3">
        <v>46013.559583252318</v>
      </c>
      <c r="I360" s="4" t="s">
        <v>1050</v>
      </c>
      <c r="J360" t="s">
        <v>1459</v>
      </c>
      <c r="K360" t="s">
        <v>67</v>
      </c>
      <c r="L360" t="s">
        <v>1460</v>
      </c>
      <c r="M360" t="s">
        <v>1461</v>
      </c>
      <c r="N360" t="s">
        <v>67</v>
      </c>
      <c r="O360" t="s">
        <v>1462</v>
      </c>
      <c r="Q360" t="s">
        <v>67</v>
      </c>
      <c r="R360" t="s">
        <v>67</v>
      </c>
      <c r="S360" s="5"/>
      <c r="T360" t="s">
        <v>72</v>
      </c>
      <c r="U360" t="s">
        <v>1031</v>
      </c>
      <c r="V360" t="s">
        <v>74</v>
      </c>
      <c r="W360" t="s">
        <v>87</v>
      </c>
      <c r="AE360" s="2"/>
      <c r="AF360" s="2"/>
      <c r="AG360" s="2"/>
      <c r="AH360" s="2"/>
      <c r="AK360" t="s">
        <v>1463</v>
      </c>
      <c r="AL360" s="2">
        <v>363000</v>
      </c>
      <c r="AM360" s="2">
        <v>0</v>
      </c>
      <c r="AN360" s="2"/>
      <c r="AO360" s="2">
        <v>0</v>
      </c>
      <c r="AP360" s="2">
        <v>363000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4"/>
      <c r="AX360" t="s">
        <v>75</v>
      </c>
      <c r="AZ360" t="s">
        <v>663</v>
      </c>
      <c r="BA360" t="s">
        <v>67</v>
      </c>
      <c r="BB360" t="s">
        <v>664</v>
      </c>
      <c r="BC360" t="s">
        <v>665</v>
      </c>
      <c r="BD360" t="s">
        <v>79</v>
      </c>
      <c r="BE360" t="s">
        <v>195</v>
      </c>
      <c r="BF360" s="5">
        <v>46419</v>
      </c>
      <c r="BG360" t="s">
        <v>67</v>
      </c>
      <c r="BH360">
        <v>1</v>
      </c>
      <c r="BI360" s="6">
        <v>380000</v>
      </c>
      <c r="BJ360" s="6">
        <v>55</v>
      </c>
      <c r="BK360" s="6">
        <v>209000</v>
      </c>
      <c r="BL360" s="6">
        <v>171000</v>
      </c>
      <c r="BM360" s="2">
        <v>171000</v>
      </c>
      <c r="BN360">
        <f>InvoiceTable[[#This Row],[Giảm giá]]*InvoiceTable[[#This Row],[Số lượng]]</f>
        <v>209000</v>
      </c>
    </row>
    <row r="361" spans="1:66" x14ac:dyDescent="0.25">
      <c r="A361" t="s">
        <v>65</v>
      </c>
      <c r="B361" t="s">
        <v>1458</v>
      </c>
      <c r="F361" s="2"/>
      <c r="G361" s="3">
        <v>46013.559606284725</v>
      </c>
      <c r="H361" s="3">
        <v>46013.559583252318</v>
      </c>
      <c r="I361" s="4" t="s">
        <v>1050</v>
      </c>
      <c r="J361" t="s">
        <v>1459</v>
      </c>
      <c r="K361" t="s">
        <v>67</v>
      </c>
      <c r="L361" t="s">
        <v>1460</v>
      </c>
      <c r="M361" t="s">
        <v>1461</v>
      </c>
      <c r="N361" t="s">
        <v>67</v>
      </c>
      <c r="O361" t="s">
        <v>1462</v>
      </c>
      <c r="Q361" t="s">
        <v>67</v>
      </c>
      <c r="R361" t="s">
        <v>67</v>
      </c>
      <c r="S361" s="5"/>
      <c r="T361" t="s">
        <v>72</v>
      </c>
      <c r="U361" t="s">
        <v>1031</v>
      </c>
      <c r="V361" t="s">
        <v>74</v>
      </c>
      <c r="W361" t="s">
        <v>87</v>
      </c>
      <c r="AE361" s="2"/>
      <c r="AF361" s="2"/>
      <c r="AG361" s="2"/>
      <c r="AH361" s="2"/>
      <c r="AK361" t="s">
        <v>1463</v>
      </c>
      <c r="AL361" s="2">
        <v>363000</v>
      </c>
      <c r="AM361" s="2">
        <v>0</v>
      </c>
      <c r="AN361" s="2"/>
      <c r="AO361" s="2">
        <v>0</v>
      </c>
      <c r="AP361" s="2">
        <v>363000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4"/>
      <c r="AX361" t="s">
        <v>75</v>
      </c>
      <c r="AZ361" t="s">
        <v>973</v>
      </c>
      <c r="BA361" t="s">
        <v>67</v>
      </c>
      <c r="BB361" t="s">
        <v>974</v>
      </c>
      <c r="BC361" t="s">
        <v>975</v>
      </c>
      <c r="BD361" t="s">
        <v>79</v>
      </c>
      <c r="BE361" t="s">
        <v>142</v>
      </c>
      <c r="BF361" s="5">
        <v>46844</v>
      </c>
      <c r="BG361" t="s">
        <v>67</v>
      </c>
      <c r="BH361">
        <v>1</v>
      </c>
      <c r="BI361" s="6">
        <v>320000</v>
      </c>
      <c r="BJ361" s="6">
        <v>40</v>
      </c>
      <c r="BK361" s="6">
        <v>128000</v>
      </c>
      <c r="BL361" s="6">
        <v>192000</v>
      </c>
      <c r="BM361" s="2">
        <v>192000</v>
      </c>
      <c r="BN361">
        <f>InvoiceTable[[#This Row],[Giảm giá]]*InvoiceTable[[#This Row],[Số lượng]]</f>
        <v>128000</v>
      </c>
    </row>
    <row r="362" spans="1:66" x14ac:dyDescent="0.25">
      <c r="A362" t="s">
        <v>65</v>
      </c>
      <c r="B362" t="s">
        <v>1464</v>
      </c>
      <c r="F362" s="2"/>
      <c r="G362" s="3">
        <v>46013.559122881947</v>
      </c>
      <c r="H362" s="3">
        <v>46013.55911130787</v>
      </c>
      <c r="I362" s="4" t="s">
        <v>1465</v>
      </c>
      <c r="J362" t="s">
        <v>67</v>
      </c>
      <c r="K362" t="s">
        <v>67</v>
      </c>
      <c r="L362" t="s">
        <v>1460</v>
      </c>
      <c r="M362" t="s">
        <v>1461</v>
      </c>
      <c r="N362" t="s">
        <v>67</v>
      </c>
      <c r="O362" t="s">
        <v>1462</v>
      </c>
      <c r="Q362" t="s">
        <v>67</v>
      </c>
      <c r="R362" t="s">
        <v>67</v>
      </c>
      <c r="S362" s="5"/>
      <c r="T362" t="s">
        <v>72</v>
      </c>
      <c r="U362" t="s">
        <v>1031</v>
      </c>
      <c r="V362" t="s">
        <v>74</v>
      </c>
      <c r="W362" t="s">
        <v>87</v>
      </c>
      <c r="AE362" s="2"/>
      <c r="AF362" s="2"/>
      <c r="AG362" s="2"/>
      <c r="AH362" s="2"/>
      <c r="AK362" t="s">
        <v>1466</v>
      </c>
      <c r="AL362" s="2">
        <v>435000</v>
      </c>
      <c r="AM362" s="2">
        <v>0</v>
      </c>
      <c r="AN362" s="2"/>
      <c r="AO362" s="2">
        <v>0</v>
      </c>
      <c r="AP362" s="2">
        <v>435000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4"/>
      <c r="AX362" t="s">
        <v>75</v>
      </c>
      <c r="AZ362" t="s">
        <v>1467</v>
      </c>
      <c r="BA362" t="s">
        <v>67</v>
      </c>
      <c r="BB362" t="s">
        <v>1468</v>
      </c>
      <c r="BC362" t="s">
        <v>1469</v>
      </c>
      <c r="BD362" t="s">
        <v>79</v>
      </c>
      <c r="BE362" t="s">
        <v>117</v>
      </c>
      <c r="BF362" s="5">
        <v>46569</v>
      </c>
      <c r="BH362">
        <v>1</v>
      </c>
      <c r="BI362" s="6">
        <v>315000</v>
      </c>
      <c r="BJ362" s="6">
        <v>30</v>
      </c>
      <c r="BK362" s="6">
        <v>94500</v>
      </c>
      <c r="BL362" s="6">
        <v>220500</v>
      </c>
      <c r="BM362" s="2">
        <v>220500</v>
      </c>
      <c r="BN362">
        <f>InvoiceTable[[#This Row],[Giảm giá]]*InvoiceTable[[#This Row],[Số lượng]]</f>
        <v>94500</v>
      </c>
    </row>
    <row r="363" spans="1:66" x14ac:dyDescent="0.25">
      <c r="A363" t="s">
        <v>65</v>
      </c>
      <c r="B363" t="s">
        <v>1464</v>
      </c>
      <c r="F363" s="2"/>
      <c r="G363" s="3">
        <v>46013.559122881947</v>
      </c>
      <c r="H363" s="3">
        <v>46013.55911130787</v>
      </c>
      <c r="I363" s="4" t="s">
        <v>1465</v>
      </c>
      <c r="J363" t="s">
        <v>67</v>
      </c>
      <c r="K363" t="s">
        <v>67</v>
      </c>
      <c r="L363" t="s">
        <v>1460</v>
      </c>
      <c r="M363" t="s">
        <v>1461</v>
      </c>
      <c r="N363" t="s">
        <v>67</v>
      </c>
      <c r="O363" t="s">
        <v>1462</v>
      </c>
      <c r="Q363" t="s">
        <v>67</v>
      </c>
      <c r="R363" t="s">
        <v>67</v>
      </c>
      <c r="S363" s="5"/>
      <c r="T363" t="s">
        <v>72</v>
      </c>
      <c r="U363" t="s">
        <v>1031</v>
      </c>
      <c r="V363" t="s">
        <v>74</v>
      </c>
      <c r="W363" t="s">
        <v>87</v>
      </c>
      <c r="AE363" s="2"/>
      <c r="AF363" s="2"/>
      <c r="AG363" s="2"/>
      <c r="AH363" s="2"/>
      <c r="AK363" t="s">
        <v>1466</v>
      </c>
      <c r="AL363" s="2">
        <v>435000</v>
      </c>
      <c r="AM363" s="2">
        <v>0</v>
      </c>
      <c r="AN363" s="2"/>
      <c r="AO363" s="2">
        <v>0</v>
      </c>
      <c r="AP363" s="2">
        <v>435000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4"/>
      <c r="AX363" t="s">
        <v>75</v>
      </c>
      <c r="AZ363" t="s">
        <v>1470</v>
      </c>
      <c r="BA363" t="s">
        <v>67</v>
      </c>
      <c r="BB363" t="s">
        <v>1471</v>
      </c>
      <c r="BC363" t="s">
        <v>204</v>
      </c>
      <c r="BD363" t="s">
        <v>79</v>
      </c>
      <c r="BE363" t="s">
        <v>139</v>
      </c>
      <c r="BF363" s="5">
        <v>46447</v>
      </c>
      <c r="BH363">
        <v>1</v>
      </c>
      <c r="BI363" s="6">
        <v>330000</v>
      </c>
      <c r="BJ363" s="6">
        <v>35</v>
      </c>
      <c r="BK363" s="6">
        <v>115500</v>
      </c>
      <c r="BL363" s="6">
        <v>214500</v>
      </c>
      <c r="BM363" s="2">
        <v>214500</v>
      </c>
      <c r="BN363">
        <f>InvoiceTable[[#This Row],[Giảm giá]]*InvoiceTable[[#This Row],[Số lượng]]</f>
        <v>115500</v>
      </c>
    </row>
    <row r="364" spans="1:66" x14ac:dyDescent="0.25">
      <c r="A364" t="s">
        <v>65</v>
      </c>
      <c r="B364" t="s">
        <v>1472</v>
      </c>
      <c r="F364" s="2"/>
      <c r="G364" s="3">
        <v>46013.554872256944</v>
      </c>
      <c r="H364" s="3">
        <v>46013.554872418979</v>
      </c>
      <c r="I364" s="4" t="s">
        <v>67</v>
      </c>
      <c r="J364" t="s">
        <v>1473</v>
      </c>
      <c r="K364" t="s">
        <v>67</v>
      </c>
      <c r="L364" t="s">
        <v>350</v>
      </c>
      <c r="M364" t="s">
        <v>351</v>
      </c>
      <c r="N364" t="s">
        <v>67</v>
      </c>
      <c r="O364" t="s">
        <v>352</v>
      </c>
      <c r="P364" t="s">
        <v>353</v>
      </c>
      <c r="S364" s="5"/>
      <c r="T364" t="s">
        <v>72</v>
      </c>
      <c r="U364" t="s">
        <v>87</v>
      </c>
      <c r="V364" t="s">
        <v>74</v>
      </c>
      <c r="W364" t="s">
        <v>87</v>
      </c>
      <c r="AE364" s="2"/>
      <c r="AF364" s="2"/>
      <c r="AG364" s="2"/>
      <c r="AH364" s="2"/>
      <c r="AK364" t="s">
        <v>354</v>
      </c>
      <c r="AL364" s="2">
        <v>53920000</v>
      </c>
      <c r="AM364" s="2">
        <v>24264000</v>
      </c>
      <c r="AN364" s="2"/>
      <c r="AO364" s="2">
        <v>0</v>
      </c>
      <c r="AP364" s="2">
        <v>29656000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4"/>
      <c r="AX364" t="s">
        <v>75</v>
      </c>
      <c r="AZ364" t="s">
        <v>565</v>
      </c>
      <c r="BA364" t="s">
        <v>67</v>
      </c>
      <c r="BB364" t="s">
        <v>566</v>
      </c>
      <c r="BC364" t="s">
        <v>567</v>
      </c>
      <c r="BD364" t="s">
        <v>79</v>
      </c>
      <c r="BE364" t="s">
        <v>94</v>
      </c>
      <c r="BF364" s="5">
        <v>46692</v>
      </c>
      <c r="BH364">
        <v>50</v>
      </c>
      <c r="BI364" s="6">
        <v>488000</v>
      </c>
      <c r="BJ364" s="6">
        <v>0</v>
      </c>
      <c r="BK364" s="6">
        <v>0</v>
      </c>
      <c r="BL364" s="6">
        <v>488000</v>
      </c>
      <c r="BM364" s="2">
        <v>24400000</v>
      </c>
      <c r="BN364">
        <f>InvoiceTable[[#This Row],[Giảm giá]]*InvoiceTable[[#This Row],[Số lượng]]</f>
        <v>0</v>
      </c>
    </row>
    <row r="365" spans="1:66" x14ac:dyDescent="0.25">
      <c r="A365" t="s">
        <v>65</v>
      </c>
      <c r="B365" t="s">
        <v>1472</v>
      </c>
      <c r="F365" s="2"/>
      <c r="G365" s="3">
        <v>46013.554872256944</v>
      </c>
      <c r="H365" s="3">
        <v>46013.554872418979</v>
      </c>
      <c r="I365" s="4" t="s">
        <v>67</v>
      </c>
      <c r="J365" t="s">
        <v>1473</v>
      </c>
      <c r="K365" t="s">
        <v>67</v>
      </c>
      <c r="L365" t="s">
        <v>350</v>
      </c>
      <c r="M365" t="s">
        <v>351</v>
      </c>
      <c r="N365" t="s">
        <v>67</v>
      </c>
      <c r="O365" t="s">
        <v>352</v>
      </c>
      <c r="P365" t="s">
        <v>353</v>
      </c>
      <c r="S365" s="5"/>
      <c r="T365" t="s">
        <v>72</v>
      </c>
      <c r="U365" t="s">
        <v>87</v>
      </c>
      <c r="V365" t="s">
        <v>74</v>
      </c>
      <c r="W365" t="s">
        <v>87</v>
      </c>
      <c r="AE365" s="2"/>
      <c r="AF365" s="2"/>
      <c r="AG365" s="2"/>
      <c r="AH365" s="2"/>
      <c r="AK365" t="s">
        <v>354</v>
      </c>
      <c r="AL365" s="2">
        <v>53920000</v>
      </c>
      <c r="AM365" s="2">
        <v>24264000</v>
      </c>
      <c r="AN365" s="2"/>
      <c r="AO365" s="2">
        <v>0</v>
      </c>
      <c r="AP365" s="2">
        <v>29656000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4"/>
      <c r="AX365" t="s">
        <v>75</v>
      </c>
      <c r="AZ365" t="s">
        <v>1333</v>
      </c>
      <c r="BA365" t="s">
        <v>67</v>
      </c>
      <c r="BB365" t="s">
        <v>1334</v>
      </c>
      <c r="BC365" t="s">
        <v>1067</v>
      </c>
      <c r="BD365" t="s">
        <v>79</v>
      </c>
      <c r="BE365" t="s">
        <v>317</v>
      </c>
      <c r="BF365" s="5">
        <v>46935</v>
      </c>
      <c r="BH365">
        <v>10</v>
      </c>
      <c r="BI365" s="6">
        <v>417000</v>
      </c>
      <c r="BJ365" s="6">
        <v>0</v>
      </c>
      <c r="BK365" s="6">
        <v>0</v>
      </c>
      <c r="BL365" s="6">
        <v>417000</v>
      </c>
      <c r="BM365" s="2">
        <v>4170000</v>
      </c>
      <c r="BN365">
        <f>InvoiceTable[[#This Row],[Giảm giá]]*InvoiceTable[[#This Row],[Số lượng]]</f>
        <v>0</v>
      </c>
    </row>
    <row r="366" spans="1:66" x14ac:dyDescent="0.25">
      <c r="A366" t="s">
        <v>65</v>
      </c>
      <c r="B366" t="s">
        <v>1472</v>
      </c>
      <c r="F366" s="2"/>
      <c r="G366" s="3">
        <v>46013.554872256944</v>
      </c>
      <c r="H366" s="3">
        <v>46013.554872418979</v>
      </c>
      <c r="I366" s="4" t="s">
        <v>67</v>
      </c>
      <c r="J366" t="s">
        <v>1473</v>
      </c>
      <c r="K366" t="s">
        <v>67</v>
      </c>
      <c r="L366" t="s">
        <v>350</v>
      </c>
      <c r="M366" t="s">
        <v>351</v>
      </c>
      <c r="N366" t="s">
        <v>67</v>
      </c>
      <c r="O366" t="s">
        <v>352</v>
      </c>
      <c r="P366" t="s">
        <v>353</v>
      </c>
      <c r="S366" s="5"/>
      <c r="T366" t="s">
        <v>72</v>
      </c>
      <c r="U366" t="s">
        <v>87</v>
      </c>
      <c r="V366" t="s">
        <v>74</v>
      </c>
      <c r="W366" t="s">
        <v>87</v>
      </c>
      <c r="AE366" s="2"/>
      <c r="AF366" s="2"/>
      <c r="AG366" s="2"/>
      <c r="AH366" s="2"/>
      <c r="AK366" t="s">
        <v>354</v>
      </c>
      <c r="AL366" s="2">
        <v>53920000</v>
      </c>
      <c r="AM366" s="2">
        <v>24264000</v>
      </c>
      <c r="AN366" s="2"/>
      <c r="AO366" s="2">
        <v>0</v>
      </c>
      <c r="AP366" s="2">
        <v>29656000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4"/>
      <c r="AX366" t="s">
        <v>75</v>
      </c>
      <c r="AZ366" t="s">
        <v>1065</v>
      </c>
      <c r="BA366" t="s">
        <v>67</v>
      </c>
      <c r="BB366" t="s">
        <v>1066</v>
      </c>
      <c r="BC366" t="s">
        <v>1067</v>
      </c>
      <c r="BD366" t="s">
        <v>79</v>
      </c>
      <c r="BE366" t="s">
        <v>423</v>
      </c>
      <c r="BF366" s="5">
        <v>47543</v>
      </c>
      <c r="BH366">
        <v>10</v>
      </c>
      <c r="BI366" s="6">
        <v>417000</v>
      </c>
      <c r="BJ366" s="6">
        <v>0</v>
      </c>
      <c r="BK366" s="6">
        <v>0</v>
      </c>
      <c r="BL366" s="6">
        <v>417000</v>
      </c>
      <c r="BM366" s="2">
        <v>4170000</v>
      </c>
      <c r="BN366">
        <f>InvoiceTable[[#This Row],[Giảm giá]]*InvoiceTable[[#This Row],[Số lượng]]</f>
        <v>0</v>
      </c>
    </row>
    <row r="367" spans="1:66" x14ac:dyDescent="0.25">
      <c r="A367" t="s">
        <v>65</v>
      </c>
      <c r="B367" t="s">
        <v>1472</v>
      </c>
      <c r="F367" s="2"/>
      <c r="G367" s="3">
        <v>46013.554872256944</v>
      </c>
      <c r="H367" s="3">
        <v>46013.554872418979</v>
      </c>
      <c r="I367" s="4" t="s">
        <v>67</v>
      </c>
      <c r="J367" t="s">
        <v>1473</v>
      </c>
      <c r="K367" t="s">
        <v>67</v>
      </c>
      <c r="L367" t="s">
        <v>350</v>
      </c>
      <c r="M367" t="s">
        <v>351</v>
      </c>
      <c r="N367" t="s">
        <v>67</v>
      </c>
      <c r="O367" t="s">
        <v>352</v>
      </c>
      <c r="P367" t="s">
        <v>353</v>
      </c>
      <c r="S367" s="5"/>
      <c r="T367" t="s">
        <v>72</v>
      </c>
      <c r="U367" t="s">
        <v>87</v>
      </c>
      <c r="V367" t="s">
        <v>74</v>
      </c>
      <c r="W367" t="s">
        <v>87</v>
      </c>
      <c r="AE367" s="2"/>
      <c r="AF367" s="2"/>
      <c r="AG367" s="2"/>
      <c r="AH367" s="2"/>
      <c r="AK367" t="s">
        <v>354</v>
      </c>
      <c r="AL367" s="2">
        <v>53920000</v>
      </c>
      <c r="AM367" s="2">
        <v>24264000</v>
      </c>
      <c r="AN367" s="2"/>
      <c r="AO367" s="2">
        <v>0</v>
      </c>
      <c r="AP367" s="2">
        <v>29656000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4"/>
      <c r="AX367" t="s">
        <v>75</v>
      </c>
      <c r="AZ367" t="s">
        <v>1337</v>
      </c>
      <c r="BA367" t="s">
        <v>67</v>
      </c>
      <c r="BB367" t="s">
        <v>1338</v>
      </c>
      <c r="BC367" t="s">
        <v>567</v>
      </c>
      <c r="BD367" t="s">
        <v>79</v>
      </c>
      <c r="BE367" t="s">
        <v>434</v>
      </c>
      <c r="BF367" s="5">
        <v>46661</v>
      </c>
      <c r="BH367">
        <v>10</v>
      </c>
      <c r="BI367" s="6">
        <v>756000</v>
      </c>
      <c r="BJ367" s="6">
        <v>0</v>
      </c>
      <c r="BK367" s="6">
        <v>0</v>
      </c>
      <c r="BL367" s="6">
        <v>756000</v>
      </c>
      <c r="BM367" s="2">
        <v>7560000</v>
      </c>
      <c r="BN367">
        <f>InvoiceTable[[#This Row],[Giảm giá]]*InvoiceTable[[#This Row],[Số lượng]]</f>
        <v>0</v>
      </c>
    </row>
    <row r="368" spans="1:66" x14ac:dyDescent="0.25">
      <c r="A368" t="s">
        <v>65</v>
      </c>
      <c r="B368" t="s">
        <v>1472</v>
      </c>
      <c r="F368" s="2"/>
      <c r="G368" s="3">
        <v>46013.554872256944</v>
      </c>
      <c r="H368" s="3">
        <v>46013.554872418979</v>
      </c>
      <c r="I368" s="4" t="s">
        <v>67</v>
      </c>
      <c r="J368" t="s">
        <v>1473</v>
      </c>
      <c r="K368" t="s">
        <v>67</v>
      </c>
      <c r="L368" t="s">
        <v>350</v>
      </c>
      <c r="M368" t="s">
        <v>351</v>
      </c>
      <c r="N368" t="s">
        <v>67</v>
      </c>
      <c r="O368" t="s">
        <v>352</v>
      </c>
      <c r="P368" t="s">
        <v>353</v>
      </c>
      <c r="S368" s="5"/>
      <c r="T368" t="s">
        <v>72</v>
      </c>
      <c r="U368" t="s">
        <v>87</v>
      </c>
      <c r="V368" t="s">
        <v>74</v>
      </c>
      <c r="W368" t="s">
        <v>87</v>
      </c>
      <c r="AE368" s="2"/>
      <c r="AF368" s="2"/>
      <c r="AG368" s="2"/>
      <c r="AH368" s="2"/>
      <c r="AK368" t="s">
        <v>354</v>
      </c>
      <c r="AL368" s="2">
        <v>53920000</v>
      </c>
      <c r="AM368" s="2">
        <v>24264000</v>
      </c>
      <c r="AN368" s="2"/>
      <c r="AO368" s="2">
        <v>0</v>
      </c>
      <c r="AP368" s="2">
        <v>29656000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4"/>
      <c r="AX368" t="s">
        <v>75</v>
      </c>
      <c r="AZ368" t="s">
        <v>355</v>
      </c>
      <c r="BB368" t="s">
        <v>356</v>
      </c>
      <c r="BC368" t="s">
        <v>357</v>
      </c>
      <c r="BD368" t="s">
        <v>79</v>
      </c>
      <c r="BE368" t="s">
        <v>317</v>
      </c>
      <c r="BF368" s="5">
        <v>46935</v>
      </c>
      <c r="BG368" t="s">
        <v>67</v>
      </c>
      <c r="BH368">
        <v>30</v>
      </c>
      <c r="BI368" s="6">
        <v>454000</v>
      </c>
      <c r="BJ368" s="6">
        <v>0</v>
      </c>
      <c r="BK368" s="6">
        <v>0</v>
      </c>
      <c r="BL368" s="6">
        <v>454000</v>
      </c>
      <c r="BM368" s="2">
        <v>13620000</v>
      </c>
      <c r="BN368">
        <f>InvoiceTable[[#This Row],[Giảm giá]]*InvoiceTable[[#This Row],[Số lượng]]</f>
        <v>0</v>
      </c>
    </row>
    <row r="369" spans="1:66" x14ac:dyDescent="0.25">
      <c r="A369" t="s">
        <v>65</v>
      </c>
      <c r="B369" t="s">
        <v>1474</v>
      </c>
      <c r="F369" s="2"/>
      <c r="G369" s="3">
        <v>46013.500971030095</v>
      </c>
      <c r="H369" s="3">
        <v>46013.500924849533</v>
      </c>
      <c r="I369" s="4" t="s">
        <v>96</v>
      </c>
      <c r="J369" t="s">
        <v>1475</v>
      </c>
      <c r="K369" t="s">
        <v>67</v>
      </c>
      <c r="L369" t="s">
        <v>1006</v>
      </c>
      <c r="M369" t="s">
        <v>1007</v>
      </c>
      <c r="N369" t="s">
        <v>67</v>
      </c>
      <c r="O369" t="s">
        <v>1008</v>
      </c>
      <c r="P369" t="s">
        <v>1009</v>
      </c>
      <c r="Q369" t="s">
        <v>67</v>
      </c>
      <c r="R369" t="s">
        <v>67</v>
      </c>
      <c r="S369" s="5"/>
      <c r="T369" t="s">
        <v>72</v>
      </c>
      <c r="U369" t="s">
        <v>102</v>
      </c>
      <c r="V369" t="s">
        <v>74</v>
      </c>
      <c r="W369" t="s">
        <v>102</v>
      </c>
      <c r="AE369" s="2"/>
      <c r="AF369" s="2"/>
      <c r="AG369" s="2"/>
      <c r="AH369" s="2"/>
      <c r="AK369" t="s">
        <v>1003</v>
      </c>
      <c r="AL369" s="2">
        <v>2900000</v>
      </c>
      <c r="AM369" s="2">
        <v>0</v>
      </c>
      <c r="AN369" s="2"/>
      <c r="AO369" s="2">
        <v>0</v>
      </c>
      <c r="AP369" s="2">
        <v>2900000</v>
      </c>
      <c r="AQ369" s="2">
        <v>2900000</v>
      </c>
      <c r="AR369" s="2">
        <v>0</v>
      </c>
      <c r="AS369" s="2">
        <v>0</v>
      </c>
      <c r="AT369" s="2">
        <v>0</v>
      </c>
      <c r="AU369" s="2">
        <v>2900000</v>
      </c>
      <c r="AV369" s="2">
        <v>0</v>
      </c>
      <c r="AW369" s="4"/>
      <c r="AX369" t="s">
        <v>75</v>
      </c>
      <c r="AZ369" t="s">
        <v>1476</v>
      </c>
      <c r="BB369" t="s">
        <v>1477</v>
      </c>
      <c r="BC369" t="s">
        <v>126</v>
      </c>
      <c r="BD369" t="s">
        <v>79</v>
      </c>
      <c r="BE369" t="s">
        <v>139</v>
      </c>
      <c r="BF369" s="5">
        <v>46447</v>
      </c>
      <c r="BG369" t="s">
        <v>67</v>
      </c>
      <c r="BH369">
        <v>2</v>
      </c>
      <c r="BI369" s="6">
        <v>2500000</v>
      </c>
      <c r="BJ369" s="6">
        <v>0</v>
      </c>
      <c r="BK369" s="6">
        <v>1050000</v>
      </c>
      <c r="BL369" s="6">
        <v>1450000</v>
      </c>
      <c r="BM369" s="2">
        <v>2900000</v>
      </c>
      <c r="BN369">
        <f>InvoiceTable[[#This Row],[Giảm giá]]*InvoiceTable[[#This Row],[Số lượng]]</f>
        <v>2100000</v>
      </c>
    </row>
    <row r="370" spans="1:66" x14ac:dyDescent="0.25">
      <c r="A370" t="s">
        <v>65</v>
      </c>
      <c r="B370" t="s">
        <v>1478</v>
      </c>
      <c r="F370" s="2"/>
      <c r="G370" s="3">
        <v>46013.492216168983</v>
      </c>
      <c r="H370" s="3">
        <v>46013.492216284722</v>
      </c>
      <c r="I370" s="4" t="s">
        <v>67</v>
      </c>
      <c r="J370" t="s">
        <v>67</v>
      </c>
      <c r="K370" t="s">
        <v>67</v>
      </c>
      <c r="L370" t="s">
        <v>866</v>
      </c>
      <c r="M370" t="s">
        <v>867</v>
      </c>
      <c r="N370" t="s">
        <v>868</v>
      </c>
      <c r="O370" t="s">
        <v>869</v>
      </c>
      <c r="P370" t="s">
        <v>870</v>
      </c>
      <c r="S370" s="5"/>
      <c r="T370" t="s">
        <v>72</v>
      </c>
      <c r="U370" t="s">
        <v>87</v>
      </c>
      <c r="V370" t="s">
        <v>74</v>
      </c>
      <c r="W370" t="s">
        <v>87</v>
      </c>
      <c r="AE370" s="2"/>
      <c r="AF370" s="2"/>
      <c r="AG370" s="2"/>
      <c r="AH370" s="2"/>
      <c r="AK370" t="s">
        <v>1479</v>
      </c>
      <c r="AL370" s="2">
        <v>1324800</v>
      </c>
      <c r="AM370" s="2">
        <v>0</v>
      </c>
      <c r="AN370" s="2"/>
      <c r="AO370" s="2">
        <v>0</v>
      </c>
      <c r="AP370" s="2">
        <v>1324800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4"/>
      <c r="AX370" t="s">
        <v>75</v>
      </c>
      <c r="AZ370" t="s">
        <v>1181</v>
      </c>
      <c r="BA370" t="s">
        <v>67</v>
      </c>
      <c r="BB370" t="s">
        <v>1182</v>
      </c>
      <c r="BC370" t="s">
        <v>1183</v>
      </c>
      <c r="BD370" t="s">
        <v>79</v>
      </c>
      <c r="BE370" t="s">
        <v>715</v>
      </c>
      <c r="BF370" s="5">
        <v>46631</v>
      </c>
      <c r="BG370" t="s">
        <v>67</v>
      </c>
      <c r="BH370">
        <v>2</v>
      </c>
      <c r="BI370" s="6">
        <v>1380000</v>
      </c>
      <c r="BJ370" s="6">
        <v>52</v>
      </c>
      <c r="BK370" s="6">
        <v>717600</v>
      </c>
      <c r="BL370" s="6">
        <v>662400</v>
      </c>
      <c r="BM370" s="2">
        <v>1324800</v>
      </c>
      <c r="BN370">
        <f>InvoiceTable[[#This Row],[Giảm giá]]*InvoiceTable[[#This Row],[Số lượng]]</f>
        <v>1435200</v>
      </c>
    </row>
    <row r="371" spans="1:66" x14ac:dyDescent="0.25">
      <c r="A371" t="s">
        <v>65</v>
      </c>
      <c r="B371" t="s">
        <v>1480</v>
      </c>
      <c r="F371" s="2"/>
      <c r="G371" s="3">
        <v>46013.491297766202</v>
      </c>
      <c r="H371" s="3">
        <v>46013.491286342593</v>
      </c>
      <c r="I371" s="4" t="s">
        <v>1202</v>
      </c>
      <c r="J371" t="s">
        <v>67</v>
      </c>
      <c r="K371" t="s">
        <v>67</v>
      </c>
      <c r="L371" t="s">
        <v>866</v>
      </c>
      <c r="M371" t="s">
        <v>867</v>
      </c>
      <c r="N371" t="s">
        <v>868</v>
      </c>
      <c r="O371" t="s">
        <v>869</v>
      </c>
      <c r="P371" t="s">
        <v>870</v>
      </c>
      <c r="S371" s="5"/>
      <c r="T371" t="s">
        <v>72</v>
      </c>
      <c r="U371" t="s">
        <v>87</v>
      </c>
      <c r="V371" t="s">
        <v>74</v>
      </c>
      <c r="W371" t="s">
        <v>87</v>
      </c>
      <c r="AE371" s="2"/>
      <c r="AF371" s="2"/>
      <c r="AG371" s="2"/>
      <c r="AH371" s="2"/>
      <c r="AK371" t="s">
        <v>1481</v>
      </c>
      <c r="AL371" s="2">
        <v>1325000</v>
      </c>
      <c r="AM371" s="2">
        <v>0</v>
      </c>
      <c r="AN371" s="2"/>
      <c r="AO371" s="2">
        <v>0</v>
      </c>
      <c r="AP371" s="2">
        <v>1325000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4"/>
      <c r="AX371" t="s">
        <v>75</v>
      </c>
      <c r="AZ371" t="s">
        <v>659</v>
      </c>
      <c r="BA371" t="s">
        <v>67</v>
      </c>
      <c r="BB371" t="s">
        <v>660</v>
      </c>
      <c r="BC371" t="s">
        <v>223</v>
      </c>
      <c r="BD371" t="s">
        <v>79</v>
      </c>
      <c r="BE371" t="s">
        <v>661</v>
      </c>
      <c r="BF371" s="5">
        <v>47025</v>
      </c>
      <c r="BH371">
        <v>2</v>
      </c>
      <c r="BI371" s="6">
        <v>1250000</v>
      </c>
      <c r="BJ371" s="6">
        <v>47</v>
      </c>
      <c r="BK371" s="6">
        <v>587500</v>
      </c>
      <c r="BL371" s="6">
        <v>662500</v>
      </c>
      <c r="BM371" s="2">
        <v>1325000</v>
      </c>
      <c r="BN371">
        <f>InvoiceTable[[#This Row],[Giảm giá]]*InvoiceTable[[#This Row],[Số lượng]]</f>
        <v>1175000</v>
      </c>
    </row>
    <row r="372" spans="1:66" x14ac:dyDescent="0.25">
      <c r="A372" t="s">
        <v>65</v>
      </c>
      <c r="B372" t="s">
        <v>1482</v>
      </c>
      <c r="F372" s="2"/>
      <c r="G372" s="3">
        <v>46013.485257175926</v>
      </c>
      <c r="H372" s="3">
        <v>46013.485257291664</v>
      </c>
      <c r="I372" s="4" t="s">
        <v>67</v>
      </c>
      <c r="J372" t="s">
        <v>67</v>
      </c>
      <c r="K372" t="s">
        <v>67</v>
      </c>
      <c r="L372" t="s">
        <v>1483</v>
      </c>
      <c r="M372" t="s">
        <v>1484</v>
      </c>
      <c r="N372" t="s">
        <v>67</v>
      </c>
      <c r="O372" t="s">
        <v>1485</v>
      </c>
      <c r="P372" t="s">
        <v>1486</v>
      </c>
      <c r="S372" s="5"/>
      <c r="T372" t="s">
        <v>72</v>
      </c>
      <c r="U372" t="s">
        <v>87</v>
      </c>
      <c r="V372" t="s">
        <v>74</v>
      </c>
      <c r="W372" t="s">
        <v>87</v>
      </c>
      <c r="AE372" s="2"/>
      <c r="AF372" s="2"/>
      <c r="AG372" s="2"/>
      <c r="AH372" s="2"/>
      <c r="AL372" s="2">
        <v>7798300</v>
      </c>
      <c r="AM372" s="2">
        <v>0</v>
      </c>
      <c r="AN372" s="2"/>
      <c r="AO372" s="2">
        <v>0</v>
      </c>
      <c r="AP372" s="2">
        <v>7798300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4"/>
      <c r="AX372" t="s">
        <v>75</v>
      </c>
      <c r="AZ372" t="s">
        <v>1487</v>
      </c>
      <c r="BA372" t="s">
        <v>67</v>
      </c>
      <c r="BB372" t="s">
        <v>1488</v>
      </c>
      <c r="BC372" t="s">
        <v>1489</v>
      </c>
      <c r="BD372" t="s">
        <v>79</v>
      </c>
      <c r="BE372" t="s">
        <v>715</v>
      </c>
      <c r="BF372" s="5">
        <v>46631</v>
      </c>
      <c r="BH372">
        <v>1</v>
      </c>
      <c r="BI372" s="6">
        <v>880000</v>
      </c>
      <c r="BJ372" s="6">
        <v>35</v>
      </c>
      <c r="BK372" s="6">
        <v>308000</v>
      </c>
      <c r="BL372" s="6">
        <v>572000</v>
      </c>
      <c r="BM372" s="2">
        <v>572000</v>
      </c>
      <c r="BN372">
        <f>InvoiceTable[[#This Row],[Giảm giá]]*InvoiceTable[[#This Row],[Số lượng]]</f>
        <v>308000</v>
      </c>
    </row>
    <row r="373" spans="1:66" x14ac:dyDescent="0.25">
      <c r="A373" t="s">
        <v>65</v>
      </c>
      <c r="B373" t="s">
        <v>1482</v>
      </c>
      <c r="F373" s="2"/>
      <c r="G373" s="3">
        <v>46013.485257175926</v>
      </c>
      <c r="H373" s="3">
        <v>46013.485257291664</v>
      </c>
      <c r="I373" s="4" t="s">
        <v>67</v>
      </c>
      <c r="J373" t="s">
        <v>67</v>
      </c>
      <c r="K373" t="s">
        <v>67</v>
      </c>
      <c r="L373" t="s">
        <v>1483</v>
      </c>
      <c r="M373" t="s">
        <v>1484</v>
      </c>
      <c r="N373" t="s">
        <v>67</v>
      </c>
      <c r="O373" t="s">
        <v>1485</v>
      </c>
      <c r="P373" t="s">
        <v>1486</v>
      </c>
      <c r="S373" s="5"/>
      <c r="T373" t="s">
        <v>72</v>
      </c>
      <c r="U373" t="s">
        <v>87</v>
      </c>
      <c r="V373" t="s">
        <v>74</v>
      </c>
      <c r="W373" t="s">
        <v>87</v>
      </c>
      <c r="AE373" s="2"/>
      <c r="AF373" s="2"/>
      <c r="AG373" s="2"/>
      <c r="AH373" s="2"/>
      <c r="AL373" s="2">
        <v>7798300</v>
      </c>
      <c r="AM373" s="2">
        <v>0</v>
      </c>
      <c r="AN373" s="2"/>
      <c r="AO373" s="2">
        <v>0</v>
      </c>
      <c r="AP373" s="2">
        <v>7798300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4"/>
      <c r="AX373" t="s">
        <v>75</v>
      </c>
      <c r="AZ373" t="s">
        <v>850</v>
      </c>
      <c r="BA373" t="s">
        <v>67</v>
      </c>
      <c r="BB373" t="s">
        <v>851</v>
      </c>
      <c r="BC373" t="s">
        <v>391</v>
      </c>
      <c r="BD373" t="s">
        <v>79</v>
      </c>
      <c r="BE373" t="s">
        <v>852</v>
      </c>
      <c r="BF373" s="5">
        <v>46113</v>
      </c>
      <c r="BG373" t="s">
        <v>67</v>
      </c>
      <c r="BH373">
        <v>1</v>
      </c>
      <c r="BI373" s="6">
        <v>4500000</v>
      </c>
      <c r="BJ373" s="6">
        <v>0</v>
      </c>
      <c r="BK373" s="6">
        <v>1600000</v>
      </c>
      <c r="BL373" s="6">
        <v>2900000</v>
      </c>
      <c r="BM373" s="2">
        <v>2900000</v>
      </c>
      <c r="BN373">
        <f>InvoiceTable[[#This Row],[Giảm giá]]*InvoiceTable[[#This Row],[Số lượng]]</f>
        <v>1600000</v>
      </c>
    </row>
    <row r="374" spans="1:66" x14ac:dyDescent="0.25">
      <c r="A374" t="s">
        <v>65</v>
      </c>
      <c r="B374" t="s">
        <v>1482</v>
      </c>
      <c r="F374" s="2"/>
      <c r="G374" s="3">
        <v>46013.485257175926</v>
      </c>
      <c r="H374" s="3">
        <v>46013.485257291664</v>
      </c>
      <c r="I374" s="4" t="s">
        <v>67</v>
      </c>
      <c r="J374" t="s">
        <v>67</v>
      </c>
      <c r="K374" t="s">
        <v>67</v>
      </c>
      <c r="L374" t="s">
        <v>1483</v>
      </c>
      <c r="M374" t="s">
        <v>1484</v>
      </c>
      <c r="N374" t="s">
        <v>67</v>
      </c>
      <c r="O374" t="s">
        <v>1485</v>
      </c>
      <c r="P374" t="s">
        <v>1486</v>
      </c>
      <c r="S374" s="5"/>
      <c r="T374" t="s">
        <v>72</v>
      </c>
      <c r="U374" t="s">
        <v>87</v>
      </c>
      <c r="V374" t="s">
        <v>74</v>
      </c>
      <c r="W374" t="s">
        <v>87</v>
      </c>
      <c r="AE374" s="2"/>
      <c r="AF374" s="2"/>
      <c r="AG374" s="2"/>
      <c r="AH374" s="2"/>
      <c r="AL374" s="2">
        <v>7798300</v>
      </c>
      <c r="AM374" s="2">
        <v>0</v>
      </c>
      <c r="AN374" s="2"/>
      <c r="AO374" s="2">
        <v>0</v>
      </c>
      <c r="AP374" s="2">
        <v>7798300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4"/>
      <c r="AX374" t="s">
        <v>75</v>
      </c>
      <c r="AZ374" t="s">
        <v>1490</v>
      </c>
      <c r="BA374" t="s">
        <v>67</v>
      </c>
      <c r="BB374" t="s">
        <v>1491</v>
      </c>
      <c r="BC374" t="s">
        <v>1492</v>
      </c>
      <c r="BD374" t="s">
        <v>79</v>
      </c>
      <c r="BE374" t="s">
        <v>324</v>
      </c>
      <c r="BF374" s="5">
        <v>47058</v>
      </c>
      <c r="BG374" t="s">
        <v>67</v>
      </c>
      <c r="BH374">
        <v>1</v>
      </c>
      <c r="BI374" s="6">
        <v>7590000</v>
      </c>
      <c r="BJ374" s="6">
        <v>43</v>
      </c>
      <c r="BK374" s="6">
        <v>3263700</v>
      </c>
      <c r="BL374" s="6">
        <v>4326300</v>
      </c>
      <c r="BM374" s="2">
        <v>4326300</v>
      </c>
      <c r="BN374">
        <f>InvoiceTable[[#This Row],[Giảm giá]]*InvoiceTable[[#This Row],[Số lượng]]</f>
        <v>3263700</v>
      </c>
    </row>
    <row r="375" spans="1:66" x14ac:dyDescent="0.25">
      <c r="A375" t="s">
        <v>65</v>
      </c>
      <c r="B375" t="s">
        <v>1493</v>
      </c>
      <c r="F375" s="2"/>
      <c r="G375" s="3">
        <v>46013.470095023149</v>
      </c>
      <c r="H375" s="3">
        <v>46013.470048877316</v>
      </c>
      <c r="I375" s="4" t="s">
        <v>96</v>
      </c>
      <c r="J375" t="s">
        <v>67</v>
      </c>
      <c r="K375" t="s">
        <v>67</v>
      </c>
      <c r="L375" t="s">
        <v>499</v>
      </c>
      <c r="M375" t="s">
        <v>500</v>
      </c>
      <c r="N375" t="s">
        <v>67</v>
      </c>
      <c r="O375" t="s">
        <v>501</v>
      </c>
      <c r="P375" t="s">
        <v>502</v>
      </c>
      <c r="S375" s="5"/>
      <c r="T375" t="s">
        <v>72</v>
      </c>
      <c r="U375" t="s">
        <v>87</v>
      </c>
      <c r="V375" t="s">
        <v>74</v>
      </c>
      <c r="W375" t="s">
        <v>87</v>
      </c>
      <c r="AE375" s="2"/>
      <c r="AF375" s="2"/>
      <c r="AG375" s="2"/>
      <c r="AH375" s="2"/>
      <c r="AL375" s="2">
        <v>53000000</v>
      </c>
      <c r="AM375" s="2">
        <v>0</v>
      </c>
      <c r="AN375" s="2"/>
      <c r="AO375" s="2">
        <v>0</v>
      </c>
      <c r="AP375" s="2">
        <v>53000000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4"/>
      <c r="AX375" t="s">
        <v>75</v>
      </c>
      <c r="AZ375" t="s">
        <v>1019</v>
      </c>
      <c r="BA375" t="s">
        <v>67</v>
      </c>
      <c r="BB375" t="s">
        <v>1020</v>
      </c>
      <c r="BC375" t="s">
        <v>676</v>
      </c>
      <c r="BD375" t="s">
        <v>79</v>
      </c>
      <c r="BE375" t="s">
        <v>1021</v>
      </c>
      <c r="BF375" s="5">
        <v>46936</v>
      </c>
      <c r="BH375">
        <v>10</v>
      </c>
      <c r="BI375" s="6">
        <v>1690000</v>
      </c>
      <c r="BJ375" s="6">
        <v>0</v>
      </c>
      <c r="BK375" s="6">
        <v>630000</v>
      </c>
      <c r="BL375" s="6">
        <v>1060000</v>
      </c>
      <c r="BM375" s="2">
        <v>10600000</v>
      </c>
      <c r="BN375">
        <f>InvoiceTable[[#This Row],[Giảm giá]]*InvoiceTable[[#This Row],[Số lượng]]</f>
        <v>6300000</v>
      </c>
    </row>
    <row r="376" spans="1:66" x14ac:dyDescent="0.25">
      <c r="A376" t="s">
        <v>65</v>
      </c>
      <c r="B376" t="s">
        <v>1493</v>
      </c>
      <c r="F376" s="2"/>
      <c r="G376" s="3">
        <v>46013.470095023149</v>
      </c>
      <c r="H376" s="3">
        <v>46013.470048877316</v>
      </c>
      <c r="I376" s="4" t="s">
        <v>96</v>
      </c>
      <c r="J376" t="s">
        <v>67</v>
      </c>
      <c r="K376" t="s">
        <v>67</v>
      </c>
      <c r="L376" t="s">
        <v>499</v>
      </c>
      <c r="M376" t="s">
        <v>500</v>
      </c>
      <c r="N376" t="s">
        <v>67</v>
      </c>
      <c r="O376" t="s">
        <v>501</v>
      </c>
      <c r="P376" t="s">
        <v>502</v>
      </c>
      <c r="S376" s="5"/>
      <c r="T376" t="s">
        <v>72</v>
      </c>
      <c r="U376" t="s">
        <v>87</v>
      </c>
      <c r="V376" t="s">
        <v>74</v>
      </c>
      <c r="W376" t="s">
        <v>87</v>
      </c>
      <c r="AE376" s="2"/>
      <c r="AF376" s="2"/>
      <c r="AG376" s="2"/>
      <c r="AH376" s="2"/>
      <c r="AL376" s="2">
        <v>53000000</v>
      </c>
      <c r="AM376" s="2">
        <v>0</v>
      </c>
      <c r="AN376" s="2"/>
      <c r="AO376" s="2">
        <v>0</v>
      </c>
      <c r="AP376" s="2">
        <v>53000000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4"/>
      <c r="AX376" t="s">
        <v>75</v>
      </c>
      <c r="AZ376" t="s">
        <v>674</v>
      </c>
      <c r="BA376" t="s">
        <v>67</v>
      </c>
      <c r="BB376" t="s">
        <v>675</v>
      </c>
      <c r="BC376" t="s">
        <v>676</v>
      </c>
      <c r="BD376" t="s">
        <v>79</v>
      </c>
      <c r="BE376" t="s">
        <v>677</v>
      </c>
      <c r="BF376" s="5">
        <v>46943</v>
      </c>
      <c r="BH376">
        <v>30</v>
      </c>
      <c r="BI376" s="6">
        <v>1690000</v>
      </c>
      <c r="BJ376" s="6">
        <v>0</v>
      </c>
      <c r="BK376" s="6">
        <v>630000</v>
      </c>
      <c r="BL376" s="6">
        <v>1060000</v>
      </c>
      <c r="BM376" s="2">
        <v>31800000</v>
      </c>
      <c r="BN376">
        <f>InvoiceTable[[#This Row],[Giảm giá]]*InvoiceTable[[#This Row],[Số lượng]]</f>
        <v>18900000</v>
      </c>
    </row>
    <row r="377" spans="1:66" x14ac:dyDescent="0.25">
      <c r="A377" t="s">
        <v>65</v>
      </c>
      <c r="B377" t="s">
        <v>1493</v>
      </c>
      <c r="F377" s="2"/>
      <c r="G377" s="3">
        <v>46013.470095023149</v>
      </c>
      <c r="H377" s="3">
        <v>46013.470048877316</v>
      </c>
      <c r="I377" s="4" t="s">
        <v>96</v>
      </c>
      <c r="J377" t="s">
        <v>67</v>
      </c>
      <c r="K377" t="s">
        <v>67</v>
      </c>
      <c r="L377" t="s">
        <v>499</v>
      </c>
      <c r="M377" t="s">
        <v>500</v>
      </c>
      <c r="N377" t="s">
        <v>67</v>
      </c>
      <c r="O377" t="s">
        <v>501</v>
      </c>
      <c r="P377" t="s">
        <v>502</v>
      </c>
      <c r="S377" s="5"/>
      <c r="T377" t="s">
        <v>72</v>
      </c>
      <c r="U377" t="s">
        <v>87</v>
      </c>
      <c r="V377" t="s">
        <v>74</v>
      </c>
      <c r="W377" t="s">
        <v>87</v>
      </c>
      <c r="AE377" s="2"/>
      <c r="AF377" s="2"/>
      <c r="AG377" s="2"/>
      <c r="AH377" s="2"/>
      <c r="AL377" s="2">
        <v>53000000</v>
      </c>
      <c r="AM377" s="2">
        <v>0</v>
      </c>
      <c r="AN377" s="2"/>
      <c r="AO377" s="2">
        <v>0</v>
      </c>
      <c r="AP377" s="2">
        <v>53000000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4"/>
      <c r="AX377" t="s">
        <v>75</v>
      </c>
      <c r="AZ377" t="s">
        <v>1494</v>
      </c>
      <c r="BA377" t="s">
        <v>67</v>
      </c>
      <c r="BB377" t="s">
        <v>1495</v>
      </c>
      <c r="BC377" t="s">
        <v>676</v>
      </c>
      <c r="BD377" t="s">
        <v>79</v>
      </c>
      <c r="BE377" t="s">
        <v>482</v>
      </c>
      <c r="BF377" s="5">
        <v>46773</v>
      </c>
      <c r="BH377">
        <v>10</v>
      </c>
      <c r="BI377" s="6">
        <v>1690000</v>
      </c>
      <c r="BJ377" s="6">
        <v>0</v>
      </c>
      <c r="BK377" s="6">
        <v>630000</v>
      </c>
      <c r="BL377" s="6">
        <v>1060000</v>
      </c>
      <c r="BM377" s="2">
        <v>10600000</v>
      </c>
      <c r="BN377">
        <f>InvoiceTable[[#This Row],[Giảm giá]]*InvoiceTable[[#This Row],[Số lượng]]</f>
        <v>6300000</v>
      </c>
    </row>
    <row r="378" spans="1:66" x14ac:dyDescent="0.25">
      <c r="A378" t="s">
        <v>65</v>
      </c>
      <c r="B378" t="s">
        <v>1496</v>
      </c>
      <c r="F378" s="2"/>
      <c r="G378" s="3">
        <v>46013.46611184028</v>
      </c>
      <c r="H378" s="3">
        <v>46013.466088692127</v>
      </c>
      <c r="I378" s="4" t="s">
        <v>1050</v>
      </c>
      <c r="J378" t="s">
        <v>1497</v>
      </c>
      <c r="K378" t="s">
        <v>67</v>
      </c>
      <c r="L378" t="s">
        <v>1099</v>
      </c>
      <c r="M378" t="s">
        <v>1100</v>
      </c>
      <c r="N378" t="s">
        <v>67</v>
      </c>
      <c r="O378" t="s">
        <v>1101</v>
      </c>
      <c r="P378" t="s">
        <v>1102</v>
      </c>
      <c r="S378" s="5"/>
      <c r="T378" t="s">
        <v>72</v>
      </c>
      <c r="U378" t="s">
        <v>87</v>
      </c>
      <c r="V378" t="s">
        <v>74</v>
      </c>
      <c r="W378" t="s">
        <v>87</v>
      </c>
      <c r="AE378" s="2"/>
      <c r="AF378" s="2"/>
      <c r="AG378" s="2"/>
      <c r="AH378" s="2"/>
      <c r="AK378" t="s">
        <v>67</v>
      </c>
      <c r="AL378" s="2">
        <v>2500000</v>
      </c>
      <c r="AM378" s="2">
        <v>0</v>
      </c>
      <c r="AN378" s="2"/>
      <c r="AO378" s="2">
        <v>0</v>
      </c>
      <c r="AP378" s="2">
        <v>2500000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4"/>
      <c r="AX378" t="s">
        <v>75</v>
      </c>
      <c r="AZ378" t="s">
        <v>107</v>
      </c>
      <c r="BA378" t="s">
        <v>67</v>
      </c>
      <c r="BB378" t="s">
        <v>108</v>
      </c>
      <c r="BC378" t="s">
        <v>109</v>
      </c>
      <c r="BD378" t="s">
        <v>79</v>
      </c>
      <c r="BE378" t="s">
        <v>94</v>
      </c>
      <c r="BF378" s="5">
        <v>46692</v>
      </c>
      <c r="BG378" t="s">
        <v>67</v>
      </c>
      <c r="BH378">
        <v>1</v>
      </c>
      <c r="BI378" s="6">
        <v>4500000</v>
      </c>
      <c r="BJ378" s="6">
        <v>0</v>
      </c>
      <c r="BK378" s="6">
        <v>2000000</v>
      </c>
      <c r="BL378" s="6">
        <v>2500000</v>
      </c>
      <c r="BM378" s="2">
        <v>2500000</v>
      </c>
      <c r="BN378">
        <f>InvoiceTable[[#This Row],[Giảm giá]]*InvoiceTable[[#This Row],[Số lượng]]</f>
        <v>2000000</v>
      </c>
    </row>
    <row r="379" spans="1:66" x14ac:dyDescent="0.25">
      <c r="A379" t="s">
        <v>65</v>
      </c>
      <c r="B379" t="s">
        <v>1498</v>
      </c>
      <c r="F379" s="2"/>
      <c r="G379" s="3">
        <v>46013.423859525465</v>
      </c>
      <c r="H379" s="3">
        <v>46013.42385983796</v>
      </c>
      <c r="I379" s="4" t="s">
        <v>67</v>
      </c>
      <c r="J379" t="s">
        <v>1499</v>
      </c>
      <c r="K379" t="s">
        <v>67</v>
      </c>
      <c r="L379" t="s">
        <v>1500</v>
      </c>
      <c r="M379" t="s">
        <v>1501</v>
      </c>
      <c r="N379" t="s">
        <v>67</v>
      </c>
      <c r="O379" t="s">
        <v>1502</v>
      </c>
      <c r="P379" t="s">
        <v>1503</v>
      </c>
      <c r="Q379" t="s">
        <v>1504</v>
      </c>
      <c r="R379" t="s">
        <v>1505</v>
      </c>
      <c r="S379" s="5"/>
      <c r="T379" t="s">
        <v>72</v>
      </c>
      <c r="U379" t="s">
        <v>102</v>
      </c>
      <c r="V379" t="s">
        <v>74</v>
      </c>
      <c r="W379" t="s">
        <v>87</v>
      </c>
      <c r="AE379" s="2"/>
      <c r="AF379" s="2"/>
      <c r="AG379" s="2"/>
      <c r="AH379" s="2"/>
      <c r="AK379" t="s">
        <v>1506</v>
      </c>
      <c r="AL379" s="2">
        <v>2992500</v>
      </c>
      <c r="AM379" s="2">
        <v>0</v>
      </c>
      <c r="AN379" s="2"/>
      <c r="AO379" s="2">
        <v>0</v>
      </c>
      <c r="AP379" s="2">
        <v>2992500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4"/>
      <c r="AX379" t="s">
        <v>75</v>
      </c>
      <c r="AZ379" t="s">
        <v>745</v>
      </c>
      <c r="BA379" t="s">
        <v>67</v>
      </c>
      <c r="BB379" t="s">
        <v>746</v>
      </c>
      <c r="BC379" t="s">
        <v>204</v>
      </c>
      <c r="BD379" t="s">
        <v>79</v>
      </c>
      <c r="BE379" t="s">
        <v>142</v>
      </c>
      <c r="BF379" s="5">
        <v>46844</v>
      </c>
      <c r="BH379">
        <v>10</v>
      </c>
      <c r="BI379" s="6">
        <v>475000</v>
      </c>
      <c r="BJ379" s="6">
        <v>37</v>
      </c>
      <c r="BK379" s="6">
        <v>175750</v>
      </c>
      <c r="BL379" s="6">
        <v>299250</v>
      </c>
      <c r="BM379" s="2">
        <v>2992500</v>
      </c>
      <c r="BN379">
        <f>InvoiceTable[[#This Row],[Giảm giá]]*InvoiceTable[[#This Row],[Số lượng]]</f>
        <v>1757500</v>
      </c>
    </row>
    <row r="380" spans="1:66" x14ac:dyDescent="0.25">
      <c r="A380" t="s">
        <v>65</v>
      </c>
      <c r="B380" t="s">
        <v>1507</v>
      </c>
      <c r="F380" s="2"/>
      <c r="G380" s="3">
        <v>46013.416432407408</v>
      </c>
      <c r="H380" s="3">
        <v>46013.416432523147</v>
      </c>
      <c r="I380" s="4" t="s">
        <v>67</v>
      </c>
      <c r="J380" t="s">
        <v>67</v>
      </c>
      <c r="K380" t="s">
        <v>67</v>
      </c>
      <c r="L380" t="s">
        <v>82</v>
      </c>
      <c r="M380" t="s">
        <v>83</v>
      </c>
      <c r="N380" t="s">
        <v>84</v>
      </c>
      <c r="O380" t="s">
        <v>85</v>
      </c>
      <c r="P380" t="s">
        <v>86</v>
      </c>
      <c r="S380" s="5"/>
      <c r="T380" t="s">
        <v>72</v>
      </c>
      <c r="U380" t="s">
        <v>87</v>
      </c>
      <c r="V380" t="s">
        <v>74</v>
      </c>
      <c r="W380" t="s">
        <v>87</v>
      </c>
      <c r="AE380" s="2"/>
      <c r="AF380" s="2"/>
      <c r="AG380" s="2"/>
      <c r="AH380" s="2"/>
      <c r="AL380" s="2">
        <v>1652000</v>
      </c>
      <c r="AM380" s="2">
        <v>0</v>
      </c>
      <c r="AN380" s="2"/>
      <c r="AO380" s="2">
        <v>0</v>
      </c>
      <c r="AP380" s="2">
        <v>1652000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4"/>
      <c r="AX380" t="s">
        <v>75</v>
      </c>
      <c r="AZ380" t="s">
        <v>1508</v>
      </c>
      <c r="BA380" t="s">
        <v>67</v>
      </c>
      <c r="BB380" t="s">
        <v>1509</v>
      </c>
      <c r="BC380" t="s">
        <v>223</v>
      </c>
      <c r="BD380" t="s">
        <v>79</v>
      </c>
      <c r="BE380" t="s">
        <v>201</v>
      </c>
      <c r="BF380" s="5">
        <v>46966</v>
      </c>
      <c r="BH380">
        <v>1</v>
      </c>
      <c r="BI380" s="6">
        <v>2950000</v>
      </c>
      <c r="BJ380" s="6">
        <v>44</v>
      </c>
      <c r="BK380" s="6">
        <v>1298000</v>
      </c>
      <c r="BL380" s="6">
        <v>1652000</v>
      </c>
      <c r="BM380" s="2">
        <v>1652000</v>
      </c>
      <c r="BN380">
        <f>InvoiceTable[[#This Row],[Giảm giá]]*InvoiceTable[[#This Row],[Số lượng]]</f>
        <v>1298000</v>
      </c>
    </row>
    <row r="381" spans="1:66" x14ac:dyDescent="0.25">
      <c r="A381" t="s">
        <v>65</v>
      </c>
      <c r="B381" t="s">
        <v>1510</v>
      </c>
      <c r="F381" s="2"/>
      <c r="G381" s="3">
        <v>46012.749960034722</v>
      </c>
      <c r="H381" s="3">
        <v>46012.749948611112</v>
      </c>
      <c r="I381" s="4" t="s">
        <v>1511</v>
      </c>
      <c r="J381" t="s">
        <v>1512</v>
      </c>
      <c r="K381" t="s">
        <v>67</v>
      </c>
      <c r="L381" t="s">
        <v>231</v>
      </c>
      <c r="M381" t="s">
        <v>232</v>
      </c>
      <c r="N381" t="s">
        <v>67</v>
      </c>
      <c r="O381" t="s">
        <v>233</v>
      </c>
      <c r="P381" t="s">
        <v>234</v>
      </c>
      <c r="S381" s="5"/>
      <c r="T381" t="s">
        <v>72</v>
      </c>
      <c r="U381" t="s">
        <v>73</v>
      </c>
      <c r="V381" t="s">
        <v>74</v>
      </c>
      <c r="W381" t="s">
        <v>73</v>
      </c>
      <c r="AE381" s="2"/>
      <c r="AF381" s="2"/>
      <c r="AG381" s="2"/>
      <c r="AH381" s="2"/>
      <c r="AK381" t="s">
        <v>1513</v>
      </c>
      <c r="AL381" s="2">
        <v>1183000</v>
      </c>
      <c r="AM381" s="2">
        <v>0</v>
      </c>
      <c r="AN381" s="2"/>
      <c r="AO381" s="2">
        <v>0</v>
      </c>
      <c r="AP381" s="2">
        <v>1183000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4"/>
      <c r="AX381" t="s">
        <v>75</v>
      </c>
      <c r="AZ381" t="s">
        <v>1494</v>
      </c>
      <c r="BA381" t="s">
        <v>67</v>
      </c>
      <c r="BB381" t="s">
        <v>1495</v>
      </c>
      <c r="BC381" t="s">
        <v>676</v>
      </c>
      <c r="BD381" t="s">
        <v>79</v>
      </c>
      <c r="BE381" t="s">
        <v>482</v>
      </c>
      <c r="BF381" s="5">
        <v>46773</v>
      </c>
      <c r="BG381" t="s">
        <v>67</v>
      </c>
      <c r="BH381">
        <v>1</v>
      </c>
      <c r="BI381" s="6">
        <v>1690000</v>
      </c>
      <c r="BJ381" s="6">
        <v>30</v>
      </c>
      <c r="BK381" s="6">
        <v>507000</v>
      </c>
      <c r="BL381" s="6">
        <v>1183000</v>
      </c>
      <c r="BM381" s="2">
        <v>1183000</v>
      </c>
      <c r="BN381">
        <f>InvoiceTable[[#This Row],[Giảm giá]]*InvoiceTable[[#This Row],[Số lượng]]</f>
        <v>507000</v>
      </c>
    </row>
    <row r="382" spans="1:66" x14ac:dyDescent="0.25">
      <c r="A382" t="s">
        <v>65</v>
      </c>
      <c r="B382" t="s">
        <v>1514</v>
      </c>
      <c r="F382" s="2"/>
      <c r="G382" s="3">
        <v>46012.749666898148</v>
      </c>
      <c r="H382" s="3">
        <v>46012.749655520834</v>
      </c>
      <c r="I382" s="4" t="s">
        <v>1515</v>
      </c>
      <c r="J382" t="s">
        <v>1516</v>
      </c>
      <c r="K382" t="s">
        <v>67</v>
      </c>
      <c r="L382" t="s">
        <v>231</v>
      </c>
      <c r="M382" t="s">
        <v>232</v>
      </c>
      <c r="N382" t="s">
        <v>67</v>
      </c>
      <c r="O382" t="s">
        <v>233</v>
      </c>
      <c r="P382" t="s">
        <v>234</v>
      </c>
      <c r="S382" s="5"/>
      <c r="T382" t="s">
        <v>72</v>
      </c>
      <c r="U382" t="s">
        <v>73</v>
      </c>
      <c r="V382" t="s">
        <v>74</v>
      </c>
      <c r="W382" t="s">
        <v>73</v>
      </c>
      <c r="AE382" s="2"/>
      <c r="AF382" s="2"/>
      <c r="AG382" s="2"/>
      <c r="AH382" s="2"/>
      <c r="AK382" t="s">
        <v>1513</v>
      </c>
      <c r="AL382" s="2">
        <v>1183000</v>
      </c>
      <c r="AM382" s="2">
        <v>0</v>
      </c>
      <c r="AN382" s="2"/>
      <c r="AO382" s="2">
        <v>0</v>
      </c>
      <c r="AP382" s="2">
        <v>1183000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4"/>
      <c r="AX382" t="s">
        <v>75</v>
      </c>
      <c r="AZ382" t="s">
        <v>674</v>
      </c>
      <c r="BA382" t="s">
        <v>67</v>
      </c>
      <c r="BB382" t="s">
        <v>675</v>
      </c>
      <c r="BC382" t="s">
        <v>676</v>
      </c>
      <c r="BD382" t="s">
        <v>79</v>
      </c>
      <c r="BE382" t="s">
        <v>677</v>
      </c>
      <c r="BF382" s="5">
        <v>46943</v>
      </c>
      <c r="BG382" t="s">
        <v>67</v>
      </c>
      <c r="BH382">
        <v>1</v>
      </c>
      <c r="BI382" s="6">
        <v>1690000</v>
      </c>
      <c r="BJ382" s="6">
        <v>30</v>
      </c>
      <c r="BK382" s="6">
        <v>507000</v>
      </c>
      <c r="BL382" s="6">
        <v>1183000</v>
      </c>
      <c r="BM382" s="2">
        <v>1183000</v>
      </c>
      <c r="BN382">
        <f>InvoiceTable[[#This Row],[Giảm giá]]*InvoiceTable[[#This Row],[Số lượng]]</f>
        <v>507000</v>
      </c>
    </row>
    <row r="383" spans="1:66" x14ac:dyDescent="0.25">
      <c r="A383" t="s">
        <v>65</v>
      </c>
      <c r="B383" t="s">
        <v>1517</v>
      </c>
      <c r="F383" s="2"/>
      <c r="G383" s="3">
        <v>46012.74927403935</v>
      </c>
      <c r="H383" s="3">
        <v>46012.74927453704</v>
      </c>
      <c r="I383" s="4" t="s">
        <v>67</v>
      </c>
      <c r="J383" t="s">
        <v>1518</v>
      </c>
      <c r="K383" t="s">
        <v>67</v>
      </c>
      <c r="L383" t="s">
        <v>231</v>
      </c>
      <c r="M383" t="s">
        <v>232</v>
      </c>
      <c r="N383" t="s">
        <v>67</v>
      </c>
      <c r="O383" t="s">
        <v>233</v>
      </c>
      <c r="P383" t="s">
        <v>234</v>
      </c>
      <c r="S383" s="5"/>
      <c r="T383" t="s">
        <v>72</v>
      </c>
      <c r="U383" t="s">
        <v>73</v>
      </c>
      <c r="V383" t="s">
        <v>74</v>
      </c>
      <c r="W383" t="s">
        <v>73</v>
      </c>
      <c r="AE383" s="2"/>
      <c r="AF383" s="2"/>
      <c r="AG383" s="2"/>
      <c r="AH383" s="2"/>
      <c r="AK383" t="s">
        <v>1513</v>
      </c>
      <c r="AL383" s="2">
        <v>1183000</v>
      </c>
      <c r="AM383" s="2">
        <v>0</v>
      </c>
      <c r="AN383" s="2"/>
      <c r="AO383" s="2">
        <v>0</v>
      </c>
      <c r="AP383" s="2">
        <v>1183000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4"/>
      <c r="AX383" t="s">
        <v>75</v>
      </c>
      <c r="AZ383" t="s">
        <v>1494</v>
      </c>
      <c r="BA383" t="s">
        <v>67</v>
      </c>
      <c r="BB383" t="s">
        <v>1495</v>
      </c>
      <c r="BC383" t="s">
        <v>676</v>
      </c>
      <c r="BD383" t="s">
        <v>79</v>
      </c>
      <c r="BE383" t="s">
        <v>482</v>
      </c>
      <c r="BF383" s="5">
        <v>46773</v>
      </c>
      <c r="BG383" t="s">
        <v>67</v>
      </c>
      <c r="BH383">
        <v>1</v>
      </c>
      <c r="BI383" s="6">
        <v>1690000</v>
      </c>
      <c r="BJ383" s="6">
        <v>30</v>
      </c>
      <c r="BK383" s="6">
        <v>507000</v>
      </c>
      <c r="BL383" s="6">
        <v>1183000</v>
      </c>
      <c r="BM383" s="2">
        <v>1183000</v>
      </c>
      <c r="BN383">
        <f>InvoiceTable[[#This Row],[Giảm giá]]*InvoiceTable[[#This Row],[Số lượng]]</f>
        <v>507000</v>
      </c>
    </row>
    <row r="384" spans="1:66" x14ac:dyDescent="0.25">
      <c r="A384" t="s">
        <v>65</v>
      </c>
      <c r="B384" t="s">
        <v>1519</v>
      </c>
      <c r="F384" s="2"/>
      <c r="G384" s="3">
        <v>46012.698981828704</v>
      </c>
      <c r="H384" s="3">
        <v>46012.698981944442</v>
      </c>
      <c r="I384" s="4" t="s">
        <v>67</v>
      </c>
      <c r="J384" t="s">
        <v>67</v>
      </c>
      <c r="K384" t="s">
        <v>67</v>
      </c>
      <c r="L384" t="s">
        <v>119</v>
      </c>
      <c r="M384" t="s">
        <v>120</v>
      </c>
      <c r="N384" t="s">
        <v>67</v>
      </c>
      <c r="O384" t="s">
        <v>121</v>
      </c>
      <c r="Q384" t="s">
        <v>122</v>
      </c>
      <c r="R384" t="s">
        <v>123</v>
      </c>
      <c r="S384" s="5"/>
      <c r="T384" t="s">
        <v>72</v>
      </c>
      <c r="U384" t="s">
        <v>102</v>
      </c>
      <c r="V384" t="s">
        <v>74</v>
      </c>
      <c r="W384" t="s">
        <v>102</v>
      </c>
      <c r="AE384" s="2"/>
      <c r="AF384" s="2"/>
      <c r="AG384" s="2"/>
      <c r="AH384" s="2"/>
      <c r="AL384" s="2">
        <v>367920</v>
      </c>
      <c r="AM384" s="2">
        <v>0</v>
      </c>
      <c r="AN384" s="2"/>
      <c r="AO384" s="2">
        <v>0</v>
      </c>
      <c r="AP384" s="2">
        <v>367920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4"/>
      <c r="AX384" t="s">
        <v>75</v>
      </c>
      <c r="AZ384" t="s">
        <v>1520</v>
      </c>
      <c r="BA384" t="s">
        <v>67</v>
      </c>
      <c r="BB384" t="s">
        <v>1521</v>
      </c>
      <c r="BC384" t="s">
        <v>93</v>
      </c>
      <c r="BD384" t="s">
        <v>79</v>
      </c>
      <c r="BE384" t="s">
        <v>131</v>
      </c>
      <c r="BF384" s="5">
        <v>46874</v>
      </c>
      <c r="BH384">
        <v>1</v>
      </c>
      <c r="BI384" s="6">
        <v>584000</v>
      </c>
      <c r="BJ384" s="6">
        <v>37</v>
      </c>
      <c r="BK384" s="6">
        <v>216080</v>
      </c>
      <c r="BL384" s="6">
        <v>367920</v>
      </c>
      <c r="BM384" s="2">
        <v>367920</v>
      </c>
      <c r="BN384">
        <f>InvoiceTable[[#This Row],[Giảm giá]]*InvoiceTable[[#This Row],[Số lượng]]</f>
        <v>216080</v>
      </c>
    </row>
    <row r="385" spans="1:66" x14ac:dyDescent="0.25">
      <c r="A385" t="s">
        <v>65</v>
      </c>
      <c r="B385" t="s">
        <v>1522</v>
      </c>
      <c r="F385" s="2"/>
      <c r="G385" s="3">
        <v>46012.590303854166</v>
      </c>
      <c r="H385" s="3">
        <v>46012.590292361114</v>
      </c>
      <c r="I385" s="4" t="s">
        <v>1515</v>
      </c>
      <c r="J385" t="s">
        <v>67</v>
      </c>
      <c r="K385" t="s">
        <v>67</v>
      </c>
      <c r="L385" t="s">
        <v>1523</v>
      </c>
      <c r="M385" t="s">
        <v>1524</v>
      </c>
      <c r="N385" t="s">
        <v>67</v>
      </c>
      <c r="O385" t="s">
        <v>1525</v>
      </c>
      <c r="P385" t="s">
        <v>1526</v>
      </c>
      <c r="Q385" t="s">
        <v>67</v>
      </c>
      <c r="R385" t="s">
        <v>67</v>
      </c>
      <c r="S385" s="5"/>
      <c r="T385" t="s">
        <v>72</v>
      </c>
      <c r="U385" t="s">
        <v>102</v>
      </c>
      <c r="V385" t="s">
        <v>74</v>
      </c>
      <c r="W385" t="s">
        <v>102</v>
      </c>
      <c r="AE385" s="2"/>
      <c r="AF385" s="2"/>
      <c r="AG385" s="2"/>
      <c r="AH385" s="2"/>
      <c r="AK385" t="s">
        <v>1527</v>
      </c>
      <c r="AL385" s="2">
        <v>7020000</v>
      </c>
      <c r="AM385" s="2">
        <v>0</v>
      </c>
      <c r="AN385" s="2"/>
      <c r="AO385" s="2">
        <v>0</v>
      </c>
      <c r="AP385" s="2">
        <v>7020000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4"/>
      <c r="AX385" t="s">
        <v>75</v>
      </c>
      <c r="AZ385" t="s">
        <v>1019</v>
      </c>
      <c r="BA385" t="s">
        <v>67</v>
      </c>
      <c r="BB385" t="s">
        <v>1020</v>
      </c>
      <c r="BC385" t="s">
        <v>676</v>
      </c>
      <c r="BD385" t="s">
        <v>79</v>
      </c>
      <c r="BE385" t="s">
        <v>1021</v>
      </c>
      <c r="BF385" s="5">
        <v>46936</v>
      </c>
      <c r="BH385">
        <v>2</v>
      </c>
      <c r="BI385" s="6">
        <v>1690000</v>
      </c>
      <c r="BJ385" s="6">
        <v>30.77</v>
      </c>
      <c r="BK385" s="6">
        <v>520000</v>
      </c>
      <c r="BL385" s="6">
        <v>1170000</v>
      </c>
      <c r="BM385" s="2">
        <v>2340000</v>
      </c>
      <c r="BN385">
        <f>InvoiceTable[[#This Row],[Giảm giá]]*InvoiceTable[[#This Row],[Số lượng]]</f>
        <v>1040000</v>
      </c>
    </row>
    <row r="386" spans="1:66" x14ac:dyDescent="0.25">
      <c r="A386" t="s">
        <v>65</v>
      </c>
      <c r="B386" t="s">
        <v>1522</v>
      </c>
      <c r="F386" s="2"/>
      <c r="G386" s="3">
        <v>46012.590303854166</v>
      </c>
      <c r="H386" s="3">
        <v>46012.590292361114</v>
      </c>
      <c r="I386" s="4" t="s">
        <v>1515</v>
      </c>
      <c r="J386" t="s">
        <v>67</v>
      </c>
      <c r="K386" t="s">
        <v>67</v>
      </c>
      <c r="L386" t="s">
        <v>1523</v>
      </c>
      <c r="M386" t="s">
        <v>1524</v>
      </c>
      <c r="N386" t="s">
        <v>67</v>
      </c>
      <c r="O386" t="s">
        <v>1525</v>
      </c>
      <c r="P386" t="s">
        <v>1526</v>
      </c>
      <c r="Q386" t="s">
        <v>67</v>
      </c>
      <c r="R386" t="s">
        <v>67</v>
      </c>
      <c r="S386" s="5"/>
      <c r="T386" t="s">
        <v>72</v>
      </c>
      <c r="U386" t="s">
        <v>102</v>
      </c>
      <c r="V386" t="s">
        <v>74</v>
      </c>
      <c r="W386" t="s">
        <v>102</v>
      </c>
      <c r="AE386" s="2"/>
      <c r="AF386" s="2"/>
      <c r="AG386" s="2"/>
      <c r="AH386" s="2"/>
      <c r="AK386" t="s">
        <v>1527</v>
      </c>
      <c r="AL386" s="2">
        <v>7020000</v>
      </c>
      <c r="AM386" s="2">
        <v>0</v>
      </c>
      <c r="AN386" s="2"/>
      <c r="AO386" s="2">
        <v>0</v>
      </c>
      <c r="AP386" s="2">
        <v>7020000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4"/>
      <c r="AX386" t="s">
        <v>75</v>
      </c>
      <c r="AZ386" t="s">
        <v>674</v>
      </c>
      <c r="BA386" t="s">
        <v>67</v>
      </c>
      <c r="BB386" t="s">
        <v>675</v>
      </c>
      <c r="BC386" t="s">
        <v>676</v>
      </c>
      <c r="BD386" t="s">
        <v>79</v>
      </c>
      <c r="BE386" t="s">
        <v>677</v>
      </c>
      <c r="BF386" s="5">
        <v>46943</v>
      </c>
      <c r="BH386">
        <v>2</v>
      </c>
      <c r="BI386" s="6">
        <v>1690000</v>
      </c>
      <c r="BJ386" s="6">
        <v>0</v>
      </c>
      <c r="BK386" s="6">
        <v>520000</v>
      </c>
      <c r="BL386" s="6">
        <v>1170000</v>
      </c>
      <c r="BM386" s="2">
        <v>2340000</v>
      </c>
      <c r="BN386">
        <f>InvoiceTable[[#This Row],[Giảm giá]]*InvoiceTable[[#This Row],[Số lượng]]</f>
        <v>1040000</v>
      </c>
    </row>
    <row r="387" spans="1:66" x14ac:dyDescent="0.25">
      <c r="A387" t="s">
        <v>65</v>
      </c>
      <c r="B387" t="s">
        <v>1522</v>
      </c>
      <c r="F387" s="2"/>
      <c r="G387" s="3">
        <v>46012.590303854166</v>
      </c>
      <c r="H387" s="3">
        <v>46012.590292361114</v>
      </c>
      <c r="I387" s="4" t="s">
        <v>1515</v>
      </c>
      <c r="J387" t="s">
        <v>67</v>
      </c>
      <c r="K387" t="s">
        <v>67</v>
      </c>
      <c r="L387" t="s">
        <v>1523</v>
      </c>
      <c r="M387" t="s">
        <v>1524</v>
      </c>
      <c r="N387" t="s">
        <v>67</v>
      </c>
      <c r="O387" t="s">
        <v>1525</v>
      </c>
      <c r="P387" t="s">
        <v>1526</v>
      </c>
      <c r="Q387" t="s">
        <v>67</v>
      </c>
      <c r="R387" t="s">
        <v>67</v>
      </c>
      <c r="S387" s="5"/>
      <c r="T387" t="s">
        <v>72</v>
      </c>
      <c r="U387" t="s">
        <v>102</v>
      </c>
      <c r="V387" t="s">
        <v>74</v>
      </c>
      <c r="W387" t="s">
        <v>102</v>
      </c>
      <c r="AE387" s="2"/>
      <c r="AF387" s="2"/>
      <c r="AG387" s="2"/>
      <c r="AH387" s="2"/>
      <c r="AK387" t="s">
        <v>1527</v>
      </c>
      <c r="AL387" s="2">
        <v>7020000</v>
      </c>
      <c r="AM387" s="2">
        <v>0</v>
      </c>
      <c r="AN387" s="2"/>
      <c r="AO387" s="2">
        <v>0</v>
      </c>
      <c r="AP387" s="2">
        <v>7020000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4"/>
      <c r="AX387" t="s">
        <v>75</v>
      </c>
      <c r="AZ387" t="s">
        <v>1494</v>
      </c>
      <c r="BA387" t="s">
        <v>67</v>
      </c>
      <c r="BB387" t="s">
        <v>1495</v>
      </c>
      <c r="BC387" t="s">
        <v>676</v>
      </c>
      <c r="BD387" t="s">
        <v>79</v>
      </c>
      <c r="BE387" t="s">
        <v>482</v>
      </c>
      <c r="BF387" s="5">
        <v>46773</v>
      </c>
      <c r="BH387">
        <v>2</v>
      </c>
      <c r="BI387" s="6">
        <v>1690000</v>
      </c>
      <c r="BJ387" s="6">
        <v>0</v>
      </c>
      <c r="BK387" s="6">
        <v>520000</v>
      </c>
      <c r="BL387" s="6">
        <v>1170000</v>
      </c>
      <c r="BM387" s="2">
        <v>2340000</v>
      </c>
      <c r="BN387">
        <f>InvoiceTable[[#This Row],[Giảm giá]]*InvoiceTable[[#This Row],[Số lượng]]</f>
        <v>1040000</v>
      </c>
    </row>
    <row r="388" spans="1:66" x14ac:dyDescent="0.25">
      <c r="A388" t="s">
        <v>65</v>
      </c>
      <c r="B388" t="s">
        <v>1528</v>
      </c>
      <c r="F388" s="2"/>
      <c r="G388" s="3">
        <v>46012.572234027779</v>
      </c>
      <c r="H388" s="3">
        <v>46012.572176469905</v>
      </c>
      <c r="I388" s="4" t="s">
        <v>96</v>
      </c>
      <c r="J388" t="s">
        <v>1529</v>
      </c>
      <c r="K388" t="s">
        <v>67</v>
      </c>
      <c r="L388" t="s">
        <v>1530</v>
      </c>
      <c r="M388" t="s">
        <v>1531</v>
      </c>
      <c r="N388" t="s">
        <v>67</v>
      </c>
      <c r="O388" t="s">
        <v>1532</v>
      </c>
      <c r="P388" t="s">
        <v>1533</v>
      </c>
      <c r="S388" s="5"/>
      <c r="T388" t="s">
        <v>72</v>
      </c>
      <c r="U388" t="s">
        <v>87</v>
      </c>
      <c r="V388" t="s">
        <v>74</v>
      </c>
      <c r="W388" t="s">
        <v>102</v>
      </c>
      <c r="AE388" s="2"/>
      <c r="AF388" s="2"/>
      <c r="AG388" s="2"/>
      <c r="AH388" s="2"/>
      <c r="AK388" t="s">
        <v>1534</v>
      </c>
      <c r="AL388" s="2">
        <v>4538000</v>
      </c>
      <c r="AM388" s="2">
        <v>0</v>
      </c>
      <c r="AN388" s="2"/>
      <c r="AO388" s="2">
        <v>0</v>
      </c>
      <c r="AP388" s="2">
        <v>4538000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4"/>
      <c r="AX388" t="s">
        <v>75</v>
      </c>
      <c r="AZ388" t="s">
        <v>1535</v>
      </c>
      <c r="BA388" t="s">
        <v>67</v>
      </c>
      <c r="BB388" t="s">
        <v>1536</v>
      </c>
      <c r="BC388" t="s">
        <v>126</v>
      </c>
      <c r="BD388" t="s">
        <v>79</v>
      </c>
      <c r="BE388" t="s">
        <v>195</v>
      </c>
      <c r="BF388" s="5">
        <v>46419</v>
      </c>
      <c r="BG388" t="s">
        <v>67</v>
      </c>
      <c r="BH388">
        <v>10</v>
      </c>
      <c r="BI388" s="6">
        <v>300000</v>
      </c>
      <c r="BJ388" s="6">
        <v>0</v>
      </c>
      <c r="BK388" s="6">
        <v>230000</v>
      </c>
      <c r="BL388" s="6">
        <v>70000</v>
      </c>
      <c r="BM388" s="2">
        <v>700000</v>
      </c>
      <c r="BN388">
        <f>InvoiceTable[[#This Row],[Giảm giá]]*InvoiceTable[[#This Row],[Số lượng]]</f>
        <v>2300000</v>
      </c>
    </row>
    <row r="389" spans="1:66" x14ac:dyDescent="0.25">
      <c r="A389" t="s">
        <v>65</v>
      </c>
      <c r="B389" t="s">
        <v>1528</v>
      </c>
      <c r="F389" s="2"/>
      <c r="G389" s="3">
        <v>46012.572234027779</v>
      </c>
      <c r="H389" s="3">
        <v>46012.572176469905</v>
      </c>
      <c r="I389" s="4" t="s">
        <v>96</v>
      </c>
      <c r="J389" t="s">
        <v>1529</v>
      </c>
      <c r="K389" t="s">
        <v>67</v>
      </c>
      <c r="L389" t="s">
        <v>1530</v>
      </c>
      <c r="M389" t="s">
        <v>1531</v>
      </c>
      <c r="N389" t="s">
        <v>67</v>
      </c>
      <c r="O389" t="s">
        <v>1532</v>
      </c>
      <c r="P389" t="s">
        <v>1533</v>
      </c>
      <c r="S389" s="5"/>
      <c r="T389" t="s">
        <v>72</v>
      </c>
      <c r="U389" t="s">
        <v>87</v>
      </c>
      <c r="V389" t="s">
        <v>74</v>
      </c>
      <c r="W389" t="s">
        <v>102</v>
      </c>
      <c r="AE389" s="2"/>
      <c r="AF389" s="2"/>
      <c r="AG389" s="2"/>
      <c r="AH389" s="2"/>
      <c r="AK389" t="s">
        <v>1534</v>
      </c>
      <c r="AL389" s="2">
        <v>4538000</v>
      </c>
      <c r="AM389" s="2">
        <v>0</v>
      </c>
      <c r="AN389" s="2"/>
      <c r="AO389" s="2">
        <v>0</v>
      </c>
      <c r="AP389" s="2">
        <v>4538000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4"/>
      <c r="AX389" t="s">
        <v>75</v>
      </c>
      <c r="AZ389" t="s">
        <v>1537</v>
      </c>
      <c r="BA389" t="s">
        <v>67</v>
      </c>
      <c r="BB389" t="s">
        <v>1538</v>
      </c>
      <c r="BC389" t="s">
        <v>126</v>
      </c>
      <c r="BD389" t="s">
        <v>79</v>
      </c>
      <c r="BE389" t="s">
        <v>195</v>
      </c>
      <c r="BF389" s="5">
        <v>46419</v>
      </c>
      <c r="BG389" t="s">
        <v>67</v>
      </c>
      <c r="BH389">
        <v>38</v>
      </c>
      <c r="BI389" s="6">
        <v>180000</v>
      </c>
      <c r="BJ389" s="6">
        <v>0</v>
      </c>
      <c r="BK389" s="6">
        <v>115000</v>
      </c>
      <c r="BL389" s="6">
        <v>65000</v>
      </c>
      <c r="BM389" s="2">
        <v>2470000</v>
      </c>
      <c r="BN389">
        <f>InvoiceTable[[#This Row],[Giảm giá]]*InvoiceTable[[#This Row],[Số lượng]]</f>
        <v>4370000</v>
      </c>
    </row>
    <row r="390" spans="1:66" x14ac:dyDescent="0.25">
      <c r="A390" t="s">
        <v>65</v>
      </c>
      <c r="B390" t="s">
        <v>1528</v>
      </c>
      <c r="F390" s="2"/>
      <c r="G390" s="3">
        <v>46012.572234027779</v>
      </c>
      <c r="H390" s="3">
        <v>46012.572176469905</v>
      </c>
      <c r="I390" s="4" t="s">
        <v>96</v>
      </c>
      <c r="J390" t="s">
        <v>1529</v>
      </c>
      <c r="K390" t="s">
        <v>67</v>
      </c>
      <c r="L390" t="s">
        <v>1530</v>
      </c>
      <c r="M390" t="s">
        <v>1531</v>
      </c>
      <c r="N390" t="s">
        <v>67</v>
      </c>
      <c r="O390" t="s">
        <v>1532</v>
      </c>
      <c r="P390" t="s">
        <v>1533</v>
      </c>
      <c r="S390" s="5"/>
      <c r="T390" t="s">
        <v>72</v>
      </c>
      <c r="U390" t="s">
        <v>87</v>
      </c>
      <c r="V390" t="s">
        <v>74</v>
      </c>
      <c r="W390" t="s">
        <v>102</v>
      </c>
      <c r="AE390" s="2"/>
      <c r="AF390" s="2"/>
      <c r="AG390" s="2"/>
      <c r="AH390" s="2"/>
      <c r="AK390" t="s">
        <v>1534</v>
      </c>
      <c r="AL390" s="2">
        <v>4538000</v>
      </c>
      <c r="AM390" s="2">
        <v>0</v>
      </c>
      <c r="AN390" s="2"/>
      <c r="AO390" s="2">
        <v>0</v>
      </c>
      <c r="AP390" s="2">
        <v>4538000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4"/>
      <c r="AX390" t="s">
        <v>75</v>
      </c>
      <c r="AZ390" t="s">
        <v>1539</v>
      </c>
      <c r="BA390" t="s">
        <v>67</v>
      </c>
      <c r="BB390" t="s">
        <v>1540</v>
      </c>
      <c r="BC390" t="s">
        <v>485</v>
      </c>
      <c r="BD390" t="s">
        <v>79</v>
      </c>
      <c r="BE390" t="s">
        <v>1541</v>
      </c>
      <c r="BF390" s="5">
        <v>46627</v>
      </c>
      <c r="BG390" t="s">
        <v>67</v>
      </c>
      <c r="BH390">
        <v>4</v>
      </c>
      <c r="BI390" s="6">
        <v>600000</v>
      </c>
      <c r="BJ390" s="6">
        <v>43</v>
      </c>
      <c r="BK390" s="6">
        <v>258000</v>
      </c>
      <c r="BL390" s="6">
        <v>342000</v>
      </c>
      <c r="BM390" s="2">
        <v>1368000</v>
      </c>
      <c r="BN390">
        <f>InvoiceTable[[#This Row],[Giảm giá]]*InvoiceTable[[#This Row],[Số lượng]]</f>
        <v>1032000</v>
      </c>
    </row>
    <row r="391" spans="1:66" x14ac:dyDescent="0.25">
      <c r="A391" t="s">
        <v>65</v>
      </c>
      <c r="B391" t="s">
        <v>1542</v>
      </c>
      <c r="F391" s="2"/>
      <c r="G391" s="3">
        <v>46012.571343402778</v>
      </c>
      <c r="H391" s="3">
        <v>46012.571343668984</v>
      </c>
      <c r="I391" s="4" t="s">
        <v>67</v>
      </c>
      <c r="J391" t="s">
        <v>1543</v>
      </c>
      <c r="K391" t="s">
        <v>67</v>
      </c>
      <c r="L391" t="s">
        <v>1544</v>
      </c>
      <c r="M391" t="s">
        <v>1545</v>
      </c>
      <c r="N391" t="s">
        <v>67</v>
      </c>
      <c r="O391" t="s">
        <v>1546</v>
      </c>
      <c r="Q391" t="s">
        <v>67</v>
      </c>
      <c r="R391" t="s">
        <v>67</v>
      </c>
      <c r="S391" s="5"/>
      <c r="T391" t="s">
        <v>72</v>
      </c>
      <c r="U391" t="s">
        <v>1031</v>
      </c>
      <c r="V391" t="s">
        <v>74</v>
      </c>
      <c r="W391" t="s">
        <v>102</v>
      </c>
      <c r="AE391" s="2"/>
      <c r="AF391" s="2"/>
      <c r="AG391" s="2"/>
      <c r="AH391" s="2"/>
      <c r="AK391" t="s">
        <v>67</v>
      </c>
      <c r="AL391" s="2">
        <v>910000</v>
      </c>
      <c r="AM391" s="2">
        <v>0</v>
      </c>
      <c r="AN391" s="2"/>
      <c r="AO391" s="2">
        <v>0</v>
      </c>
      <c r="AP391" s="2">
        <v>910000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4"/>
      <c r="AX391" t="s">
        <v>75</v>
      </c>
      <c r="AZ391" t="s">
        <v>710</v>
      </c>
      <c r="BA391" t="s">
        <v>67</v>
      </c>
      <c r="BB391" t="s">
        <v>711</v>
      </c>
      <c r="BC391" t="s">
        <v>204</v>
      </c>
      <c r="BD391" t="s">
        <v>79</v>
      </c>
      <c r="BE391" t="s">
        <v>273</v>
      </c>
      <c r="BF391" s="5">
        <v>46266</v>
      </c>
      <c r="BH391">
        <v>1</v>
      </c>
      <c r="BI391" s="6">
        <v>850000</v>
      </c>
      <c r="BJ391" s="6">
        <v>35</v>
      </c>
      <c r="BK391" s="6">
        <v>297500</v>
      </c>
      <c r="BL391" s="6">
        <v>552500</v>
      </c>
      <c r="BM391" s="2">
        <v>552500</v>
      </c>
      <c r="BN391">
        <f>InvoiceTable[[#This Row],[Giảm giá]]*InvoiceTable[[#This Row],[Số lượng]]</f>
        <v>297500</v>
      </c>
    </row>
    <row r="392" spans="1:66" x14ac:dyDescent="0.25">
      <c r="A392" t="s">
        <v>65</v>
      </c>
      <c r="B392" t="s">
        <v>1542</v>
      </c>
      <c r="F392" s="2"/>
      <c r="G392" s="3">
        <v>46012.571343402778</v>
      </c>
      <c r="H392" s="3">
        <v>46012.571343668984</v>
      </c>
      <c r="I392" s="4" t="s">
        <v>67</v>
      </c>
      <c r="J392" t="s">
        <v>1543</v>
      </c>
      <c r="K392" t="s">
        <v>67</v>
      </c>
      <c r="L392" t="s">
        <v>1544</v>
      </c>
      <c r="M392" t="s">
        <v>1545</v>
      </c>
      <c r="N392" t="s">
        <v>67</v>
      </c>
      <c r="O392" t="s">
        <v>1546</v>
      </c>
      <c r="Q392" t="s">
        <v>67</v>
      </c>
      <c r="R392" t="s">
        <v>67</v>
      </c>
      <c r="S392" s="5"/>
      <c r="T392" t="s">
        <v>72</v>
      </c>
      <c r="U392" t="s">
        <v>1031</v>
      </c>
      <c r="V392" t="s">
        <v>74</v>
      </c>
      <c r="W392" t="s">
        <v>102</v>
      </c>
      <c r="AE392" s="2"/>
      <c r="AF392" s="2"/>
      <c r="AG392" s="2"/>
      <c r="AH392" s="2"/>
      <c r="AK392" t="s">
        <v>67</v>
      </c>
      <c r="AL392" s="2">
        <v>910000</v>
      </c>
      <c r="AM392" s="2">
        <v>0</v>
      </c>
      <c r="AN392" s="2"/>
      <c r="AO392" s="2">
        <v>0</v>
      </c>
      <c r="AP392" s="2">
        <v>910000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4"/>
      <c r="AX392" t="s">
        <v>75</v>
      </c>
      <c r="AZ392" t="s">
        <v>553</v>
      </c>
      <c r="BA392" t="s">
        <v>67</v>
      </c>
      <c r="BB392" t="s">
        <v>554</v>
      </c>
      <c r="BC392" t="s">
        <v>347</v>
      </c>
      <c r="BD392" t="s">
        <v>79</v>
      </c>
      <c r="BE392" t="s">
        <v>506</v>
      </c>
      <c r="BF392" s="5">
        <v>47604</v>
      </c>
      <c r="BH392">
        <v>1</v>
      </c>
      <c r="BI392" s="6">
        <v>550000</v>
      </c>
      <c r="BJ392" s="6">
        <v>35</v>
      </c>
      <c r="BK392" s="6">
        <v>192500</v>
      </c>
      <c r="BL392" s="6">
        <v>357500</v>
      </c>
      <c r="BM392" s="2">
        <v>357500</v>
      </c>
      <c r="BN392">
        <f>InvoiceTable[[#This Row],[Giảm giá]]*InvoiceTable[[#This Row],[Số lượng]]</f>
        <v>192500</v>
      </c>
    </row>
    <row r="393" spans="1:66" x14ac:dyDescent="0.25">
      <c r="A393" t="s">
        <v>65</v>
      </c>
      <c r="B393" t="s">
        <v>1547</v>
      </c>
      <c r="F393" s="2"/>
      <c r="G393" s="3">
        <v>46012.570185798613</v>
      </c>
      <c r="H393" s="3">
        <v>46012.570174386572</v>
      </c>
      <c r="I393" s="4" t="s">
        <v>1515</v>
      </c>
      <c r="J393" t="s">
        <v>1543</v>
      </c>
      <c r="K393" t="s">
        <v>67</v>
      </c>
      <c r="L393" t="s">
        <v>1544</v>
      </c>
      <c r="M393" t="s">
        <v>1545</v>
      </c>
      <c r="N393" t="s">
        <v>67</v>
      </c>
      <c r="O393" t="s">
        <v>1546</v>
      </c>
      <c r="Q393" t="s">
        <v>67</v>
      </c>
      <c r="R393" t="s">
        <v>67</v>
      </c>
      <c r="S393" s="5"/>
      <c r="T393" t="s">
        <v>72</v>
      </c>
      <c r="U393" t="s">
        <v>1031</v>
      </c>
      <c r="V393" t="s">
        <v>74</v>
      </c>
      <c r="W393" t="s">
        <v>102</v>
      </c>
      <c r="AE393" s="2"/>
      <c r="AF393" s="2"/>
      <c r="AG393" s="2"/>
      <c r="AH393" s="2"/>
      <c r="AK393" t="s">
        <v>67</v>
      </c>
      <c r="AL393" s="2">
        <v>5398000</v>
      </c>
      <c r="AM393" s="2">
        <v>0</v>
      </c>
      <c r="AN393" s="2"/>
      <c r="AO393" s="2">
        <v>0</v>
      </c>
      <c r="AP393" s="2">
        <v>5398000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4"/>
      <c r="AX393" t="s">
        <v>75</v>
      </c>
      <c r="AZ393" t="s">
        <v>973</v>
      </c>
      <c r="BA393" t="s">
        <v>67</v>
      </c>
      <c r="BB393" t="s">
        <v>974</v>
      </c>
      <c r="BC393" t="s">
        <v>975</v>
      </c>
      <c r="BD393" t="s">
        <v>79</v>
      </c>
      <c r="BE393" t="s">
        <v>142</v>
      </c>
      <c r="BF393" s="5">
        <v>46844</v>
      </c>
      <c r="BG393" t="s">
        <v>67</v>
      </c>
      <c r="BH393">
        <v>1</v>
      </c>
      <c r="BI393" s="6">
        <v>320000</v>
      </c>
      <c r="BJ393" s="6">
        <v>35</v>
      </c>
      <c r="BK393" s="6">
        <v>112000</v>
      </c>
      <c r="BL393" s="6">
        <v>208000</v>
      </c>
      <c r="BM393" s="2">
        <v>208000</v>
      </c>
      <c r="BN393">
        <f>InvoiceTable[[#This Row],[Giảm giá]]*InvoiceTable[[#This Row],[Số lượng]]</f>
        <v>112000</v>
      </c>
    </row>
    <row r="394" spans="1:66" x14ac:dyDescent="0.25">
      <c r="A394" t="s">
        <v>65</v>
      </c>
      <c r="B394" t="s">
        <v>1547</v>
      </c>
      <c r="F394" s="2"/>
      <c r="G394" s="3">
        <v>46012.570185798613</v>
      </c>
      <c r="H394" s="3">
        <v>46012.570174386572</v>
      </c>
      <c r="I394" s="4" t="s">
        <v>1515</v>
      </c>
      <c r="J394" t="s">
        <v>1543</v>
      </c>
      <c r="K394" t="s">
        <v>67</v>
      </c>
      <c r="L394" t="s">
        <v>1544</v>
      </c>
      <c r="M394" t="s">
        <v>1545</v>
      </c>
      <c r="N394" t="s">
        <v>67</v>
      </c>
      <c r="O394" t="s">
        <v>1546</v>
      </c>
      <c r="Q394" t="s">
        <v>67</v>
      </c>
      <c r="R394" t="s">
        <v>67</v>
      </c>
      <c r="S394" s="5"/>
      <c r="T394" t="s">
        <v>72</v>
      </c>
      <c r="U394" t="s">
        <v>1031</v>
      </c>
      <c r="V394" t="s">
        <v>74</v>
      </c>
      <c r="W394" t="s">
        <v>102</v>
      </c>
      <c r="AE394" s="2"/>
      <c r="AF394" s="2"/>
      <c r="AG394" s="2"/>
      <c r="AH394" s="2"/>
      <c r="AK394" t="s">
        <v>67</v>
      </c>
      <c r="AL394" s="2">
        <v>5398000</v>
      </c>
      <c r="AM394" s="2">
        <v>0</v>
      </c>
      <c r="AN394" s="2"/>
      <c r="AO394" s="2">
        <v>0</v>
      </c>
      <c r="AP394" s="2">
        <v>5398000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4"/>
      <c r="AX394" t="s">
        <v>75</v>
      </c>
      <c r="AZ394" t="s">
        <v>663</v>
      </c>
      <c r="BA394" t="s">
        <v>67</v>
      </c>
      <c r="BB394" t="s">
        <v>664</v>
      </c>
      <c r="BC394" t="s">
        <v>665</v>
      </c>
      <c r="BD394" t="s">
        <v>79</v>
      </c>
      <c r="BE394" t="s">
        <v>195</v>
      </c>
      <c r="BF394" s="5">
        <v>46419</v>
      </c>
      <c r="BG394" t="s">
        <v>67</v>
      </c>
      <c r="BH394">
        <v>1</v>
      </c>
      <c r="BI394" s="6">
        <v>380000</v>
      </c>
      <c r="BJ394" s="6">
        <v>50</v>
      </c>
      <c r="BK394" s="6">
        <v>190000</v>
      </c>
      <c r="BL394" s="6">
        <v>190000</v>
      </c>
      <c r="BM394" s="2">
        <v>190000</v>
      </c>
      <c r="BN394">
        <f>InvoiceTable[[#This Row],[Giảm giá]]*InvoiceTable[[#This Row],[Số lượng]]</f>
        <v>190000</v>
      </c>
    </row>
    <row r="395" spans="1:66" x14ac:dyDescent="0.25">
      <c r="A395" t="s">
        <v>65</v>
      </c>
      <c r="B395" t="s">
        <v>1547</v>
      </c>
      <c r="F395" s="2"/>
      <c r="G395" s="3">
        <v>46012.570185798613</v>
      </c>
      <c r="H395" s="3">
        <v>46012.570174386572</v>
      </c>
      <c r="I395" s="4" t="s">
        <v>1515</v>
      </c>
      <c r="J395" t="s">
        <v>1543</v>
      </c>
      <c r="K395" t="s">
        <v>67</v>
      </c>
      <c r="L395" t="s">
        <v>1544</v>
      </c>
      <c r="M395" t="s">
        <v>1545</v>
      </c>
      <c r="N395" t="s">
        <v>67</v>
      </c>
      <c r="O395" t="s">
        <v>1546</v>
      </c>
      <c r="Q395" t="s">
        <v>67</v>
      </c>
      <c r="R395" t="s">
        <v>67</v>
      </c>
      <c r="S395" s="5"/>
      <c r="T395" t="s">
        <v>72</v>
      </c>
      <c r="U395" t="s">
        <v>1031</v>
      </c>
      <c r="V395" t="s">
        <v>74</v>
      </c>
      <c r="W395" t="s">
        <v>102</v>
      </c>
      <c r="AE395" s="2"/>
      <c r="AF395" s="2"/>
      <c r="AG395" s="2"/>
      <c r="AH395" s="2"/>
      <c r="AK395" t="s">
        <v>67</v>
      </c>
      <c r="AL395" s="2">
        <v>5398000</v>
      </c>
      <c r="AM395" s="2">
        <v>0</v>
      </c>
      <c r="AN395" s="2"/>
      <c r="AO395" s="2">
        <v>0</v>
      </c>
      <c r="AP395" s="2">
        <v>5398000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4"/>
      <c r="AX395" t="s">
        <v>75</v>
      </c>
      <c r="AZ395" t="s">
        <v>486</v>
      </c>
      <c r="BA395" t="s">
        <v>67</v>
      </c>
      <c r="BB395" t="s">
        <v>487</v>
      </c>
      <c r="BC395" t="s">
        <v>485</v>
      </c>
      <c r="BD395" t="s">
        <v>79</v>
      </c>
      <c r="BE395" t="s">
        <v>488</v>
      </c>
      <c r="BF395" s="5">
        <v>46647</v>
      </c>
      <c r="BG395" t="s">
        <v>67</v>
      </c>
      <c r="BH395">
        <v>1</v>
      </c>
      <c r="BI395" s="6">
        <v>2000000</v>
      </c>
      <c r="BJ395" s="6">
        <v>0</v>
      </c>
      <c r="BK395" s="6">
        <v>800000</v>
      </c>
      <c r="BL395" s="6">
        <v>1200000</v>
      </c>
      <c r="BM395" s="2">
        <v>1200000</v>
      </c>
      <c r="BN395">
        <f>InvoiceTable[[#This Row],[Giảm giá]]*InvoiceTable[[#This Row],[Số lượng]]</f>
        <v>800000</v>
      </c>
    </row>
    <row r="396" spans="1:66" x14ac:dyDescent="0.25">
      <c r="A396" t="s">
        <v>65</v>
      </c>
      <c r="B396" t="s">
        <v>1547</v>
      </c>
      <c r="F396" s="2"/>
      <c r="G396" s="3">
        <v>46012.570185798613</v>
      </c>
      <c r="H396" s="3">
        <v>46012.570174386572</v>
      </c>
      <c r="I396" s="4" t="s">
        <v>1515</v>
      </c>
      <c r="J396" t="s">
        <v>1543</v>
      </c>
      <c r="K396" t="s">
        <v>67</v>
      </c>
      <c r="L396" t="s">
        <v>1544</v>
      </c>
      <c r="M396" t="s">
        <v>1545</v>
      </c>
      <c r="N396" t="s">
        <v>67</v>
      </c>
      <c r="O396" t="s">
        <v>1546</v>
      </c>
      <c r="Q396" t="s">
        <v>67</v>
      </c>
      <c r="R396" t="s">
        <v>67</v>
      </c>
      <c r="S396" s="5"/>
      <c r="T396" t="s">
        <v>72</v>
      </c>
      <c r="U396" t="s">
        <v>1031</v>
      </c>
      <c r="V396" t="s">
        <v>74</v>
      </c>
      <c r="W396" t="s">
        <v>102</v>
      </c>
      <c r="AE396" s="2"/>
      <c r="AF396" s="2"/>
      <c r="AG396" s="2"/>
      <c r="AH396" s="2"/>
      <c r="AK396" t="s">
        <v>67</v>
      </c>
      <c r="AL396" s="2">
        <v>5398000</v>
      </c>
      <c r="AM396" s="2">
        <v>0</v>
      </c>
      <c r="AN396" s="2"/>
      <c r="AO396" s="2">
        <v>0</v>
      </c>
      <c r="AP396" s="2">
        <v>5398000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4"/>
      <c r="AX396" t="s">
        <v>75</v>
      </c>
      <c r="AZ396" t="s">
        <v>752</v>
      </c>
      <c r="BA396" t="s">
        <v>67</v>
      </c>
      <c r="BB396" t="s">
        <v>753</v>
      </c>
      <c r="BC396" t="s">
        <v>754</v>
      </c>
      <c r="BD396" t="s">
        <v>79</v>
      </c>
      <c r="BE396" t="s">
        <v>188</v>
      </c>
      <c r="BF396" s="5">
        <v>46905</v>
      </c>
      <c r="BG396" t="s">
        <v>67</v>
      </c>
      <c r="BH396">
        <v>1</v>
      </c>
      <c r="BI396" s="6">
        <v>4000000</v>
      </c>
      <c r="BJ396" s="6">
        <v>0</v>
      </c>
      <c r="BK396" s="6">
        <v>1200000</v>
      </c>
      <c r="BL396" s="6">
        <v>2800000</v>
      </c>
      <c r="BM396" s="2">
        <v>2800000</v>
      </c>
      <c r="BN396">
        <f>InvoiceTable[[#This Row],[Giảm giá]]*InvoiceTable[[#This Row],[Số lượng]]</f>
        <v>1200000</v>
      </c>
    </row>
    <row r="397" spans="1:66" x14ac:dyDescent="0.25">
      <c r="A397" t="s">
        <v>65</v>
      </c>
      <c r="B397" t="s">
        <v>1547</v>
      </c>
      <c r="F397" s="2"/>
      <c r="G397" s="3">
        <v>46012.570185798613</v>
      </c>
      <c r="H397" s="3">
        <v>46012.570174386572</v>
      </c>
      <c r="I397" s="4" t="s">
        <v>1515</v>
      </c>
      <c r="J397" t="s">
        <v>1543</v>
      </c>
      <c r="K397" t="s">
        <v>67</v>
      </c>
      <c r="L397" t="s">
        <v>1544</v>
      </c>
      <c r="M397" t="s">
        <v>1545</v>
      </c>
      <c r="N397" t="s">
        <v>67</v>
      </c>
      <c r="O397" t="s">
        <v>1546</v>
      </c>
      <c r="Q397" t="s">
        <v>67</v>
      </c>
      <c r="R397" t="s">
        <v>67</v>
      </c>
      <c r="S397" s="5"/>
      <c r="T397" t="s">
        <v>72</v>
      </c>
      <c r="U397" t="s">
        <v>1031</v>
      </c>
      <c r="V397" t="s">
        <v>74</v>
      </c>
      <c r="W397" t="s">
        <v>102</v>
      </c>
      <c r="AE397" s="2"/>
      <c r="AF397" s="2"/>
      <c r="AG397" s="2"/>
      <c r="AH397" s="2"/>
      <c r="AK397" t="s">
        <v>67</v>
      </c>
      <c r="AL397" s="2">
        <v>5398000</v>
      </c>
      <c r="AM397" s="2">
        <v>0</v>
      </c>
      <c r="AN397" s="2"/>
      <c r="AO397" s="2">
        <v>0</v>
      </c>
      <c r="AP397" s="2">
        <v>5398000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4"/>
      <c r="AX397" t="s">
        <v>75</v>
      </c>
      <c r="AZ397" t="s">
        <v>124</v>
      </c>
      <c r="BA397" t="s">
        <v>67</v>
      </c>
      <c r="BB397" t="s">
        <v>125</v>
      </c>
      <c r="BC397" t="s">
        <v>126</v>
      </c>
      <c r="BD397" t="s">
        <v>79</v>
      </c>
      <c r="BE397" t="s">
        <v>127</v>
      </c>
      <c r="BF397" s="5">
        <v>46683</v>
      </c>
      <c r="BG397" t="s">
        <v>67</v>
      </c>
      <c r="BH397">
        <v>1</v>
      </c>
      <c r="BI397" s="6">
        <v>2000000</v>
      </c>
      <c r="BJ397" s="6">
        <v>0</v>
      </c>
      <c r="BK397" s="6">
        <v>1000000</v>
      </c>
      <c r="BL397" s="6">
        <v>1000000</v>
      </c>
      <c r="BM397" s="2">
        <v>1000000</v>
      </c>
      <c r="BN397">
        <f>InvoiceTable[[#This Row],[Giảm giá]]*InvoiceTable[[#This Row],[Số lượng]]</f>
        <v>1000000</v>
      </c>
    </row>
    <row r="398" spans="1:66" x14ac:dyDescent="0.25">
      <c r="A398" t="s">
        <v>65</v>
      </c>
      <c r="B398" t="s">
        <v>1548</v>
      </c>
      <c r="F398" s="2"/>
      <c r="G398" s="3">
        <v>46012.569594641202</v>
      </c>
      <c r="H398" s="3">
        <v>46012.569536886571</v>
      </c>
      <c r="I398" s="4" t="s">
        <v>96</v>
      </c>
      <c r="J398" t="s">
        <v>1549</v>
      </c>
      <c r="K398" t="s">
        <v>67</v>
      </c>
      <c r="L398" t="s">
        <v>1550</v>
      </c>
      <c r="M398" t="s">
        <v>1551</v>
      </c>
      <c r="N398" t="s">
        <v>67</v>
      </c>
      <c r="O398" t="s">
        <v>1552</v>
      </c>
      <c r="P398" t="s">
        <v>1553</v>
      </c>
      <c r="S398" s="5"/>
      <c r="T398" t="s">
        <v>72</v>
      </c>
      <c r="U398" t="s">
        <v>1031</v>
      </c>
      <c r="V398" t="s">
        <v>74</v>
      </c>
      <c r="W398" t="s">
        <v>102</v>
      </c>
      <c r="AE398" s="2"/>
      <c r="AF398" s="2"/>
      <c r="AG398" s="2"/>
      <c r="AH398" s="2"/>
      <c r="AK398" t="s">
        <v>67</v>
      </c>
      <c r="AL398" s="2">
        <v>13176000</v>
      </c>
      <c r="AM398" s="2">
        <v>0</v>
      </c>
      <c r="AN398" s="2"/>
      <c r="AO398" s="2">
        <v>0</v>
      </c>
      <c r="AP398" s="2">
        <v>13176000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4"/>
      <c r="AX398" t="s">
        <v>75</v>
      </c>
      <c r="AZ398" t="s">
        <v>1019</v>
      </c>
      <c r="BA398" t="s">
        <v>67</v>
      </c>
      <c r="BB398" t="s">
        <v>1020</v>
      </c>
      <c r="BC398" t="s">
        <v>676</v>
      </c>
      <c r="BD398" t="s">
        <v>79</v>
      </c>
      <c r="BE398" t="s">
        <v>1021</v>
      </c>
      <c r="BF398" s="5">
        <v>46936</v>
      </c>
      <c r="BH398">
        <v>1</v>
      </c>
      <c r="BI398" s="6">
        <v>3000000</v>
      </c>
      <c r="BJ398" s="6">
        <v>0</v>
      </c>
      <c r="BK398" s="6">
        <v>0</v>
      </c>
      <c r="BL398" s="6">
        <v>3000000</v>
      </c>
      <c r="BM398" s="2">
        <v>3000000</v>
      </c>
      <c r="BN398">
        <f>InvoiceTable[[#This Row],[Giảm giá]]*InvoiceTable[[#This Row],[Số lượng]]</f>
        <v>0</v>
      </c>
    </row>
    <row r="399" spans="1:66" x14ac:dyDescent="0.25">
      <c r="A399" t="s">
        <v>65</v>
      </c>
      <c r="B399" t="s">
        <v>1548</v>
      </c>
      <c r="F399" s="2"/>
      <c r="G399" s="3">
        <v>46012.569594641202</v>
      </c>
      <c r="H399" s="3">
        <v>46012.569536886571</v>
      </c>
      <c r="I399" s="4" t="s">
        <v>96</v>
      </c>
      <c r="J399" t="s">
        <v>1549</v>
      </c>
      <c r="K399" t="s">
        <v>67</v>
      </c>
      <c r="L399" t="s">
        <v>1550</v>
      </c>
      <c r="M399" t="s">
        <v>1551</v>
      </c>
      <c r="N399" t="s">
        <v>67</v>
      </c>
      <c r="O399" t="s">
        <v>1552</v>
      </c>
      <c r="P399" t="s">
        <v>1553</v>
      </c>
      <c r="S399" s="5"/>
      <c r="T399" t="s">
        <v>72</v>
      </c>
      <c r="U399" t="s">
        <v>1031</v>
      </c>
      <c r="V399" t="s">
        <v>74</v>
      </c>
      <c r="W399" t="s">
        <v>102</v>
      </c>
      <c r="AE399" s="2"/>
      <c r="AF399" s="2"/>
      <c r="AG399" s="2"/>
      <c r="AH399" s="2"/>
      <c r="AK399" t="s">
        <v>67</v>
      </c>
      <c r="AL399" s="2">
        <v>13176000</v>
      </c>
      <c r="AM399" s="2">
        <v>0</v>
      </c>
      <c r="AN399" s="2"/>
      <c r="AO399" s="2">
        <v>0</v>
      </c>
      <c r="AP399" s="2">
        <v>13176000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4"/>
      <c r="AX399" t="s">
        <v>75</v>
      </c>
      <c r="AZ399" t="s">
        <v>663</v>
      </c>
      <c r="BA399" t="s">
        <v>67</v>
      </c>
      <c r="BB399" t="s">
        <v>664</v>
      </c>
      <c r="BC399" t="s">
        <v>665</v>
      </c>
      <c r="BD399" t="s">
        <v>79</v>
      </c>
      <c r="BE399" t="s">
        <v>195</v>
      </c>
      <c r="BF399" s="5">
        <v>46419</v>
      </c>
      <c r="BH399">
        <v>1</v>
      </c>
      <c r="BI399" s="6">
        <v>380000</v>
      </c>
      <c r="BJ399" s="6">
        <v>0</v>
      </c>
      <c r="BK399" s="6">
        <v>205000</v>
      </c>
      <c r="BL399" s="6">
        <v>175000</v>
      </c>
      <c r="BM399" s="2">
        <v>175000</v>
      </c>
      <c r="BN399">
        <f>InvoiceTable[[#This Row],[Giảm giá]]*InvoiceTable[[#This Row],[Số lượng]]</f>
        <v>205000</v>
      </c>
    </row>
    <row r="400" spans="1:66" x14ac:dyDescent="0.25">
      <c r="A400" t="s">
        <v>65</v>
      </c>
      <c r="B400" t="s">
        <v>1548</v>
      </c>
      <c r="F400" s="2"/>
      <c r="G400" s="3">
        <v>46012.569594641202</v>
      </c>
      <c r="H400" s="3">
        <v>46012.569536886571</v>
      </c>
      <c r="I400" s="4" t="s">
        <v>96</v>
      </c>
      <c r="J400" t="s">
        <v>1549</v>
      </c>
      <c r="K400" t="s">
        <v>67</v>
      </c>
      <c r="L400" t="s">
        <v>1550</v>
      </c>
      <c r="M400" t="s">
        <v>1551</v>
      </c>
      <c r="N400" t="s">
        <v>67</v>
      </c>
      <c r="O400" t="s">
        <v>1552</v>
      </c>
      <c r="P400" t="s">
        <v>1553</v>
      </c>
      <c r="S400" s="5"/>
      <c r="T400" t="s">
        <v>72</v>
      </c>
      <c r="U400" t="s">
        <v>1031</v>
      </c>
      <c r="V400" t="s">
        <v>74</v>
      </c>
      <c r="W400" t="s">
        <v>102</v>
      </c>
      <c r="AE400" s="2"/>
      <c r="AF400" s="2"/>
      <c r="AG400" s="2"/>
      <c r="AH400" s="2"/>
      <c r="AK400" t="s">
        <v>67</v>
      </c>
      <c r="AL400" s="2">
        <v>13176000</v>
      </c>
      <c r="AM400" s="2">
        <v>0</v>
      </c>
      <c r="AN400" s="2"/>
      <c r="AO400" s="2">
        <v>0</v>
      </c>
      <c r="AP400" s="2">
        <v>13176000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4"/>
      <c r="AX400" t="s">
        <v>75</v>
      </c>
      <c r="AZ400" t="s">
        <v>1554</v>
      </c>
      <c r="BB400" t="s">
        <v>1555</v>
      </c>
      <c r="BC400" t="s">
        <v>1556</v>
      </c>
      <c r="BD400" t="s">
        <v>79</v>
      </c>
      <c r="BE400" t="s">
        <v>1557</v>
      </c>
      <c r="BF400" s="5">
        <v>46332</v>
      </c>
      <c r="BG400" t="s">
        <v>67</v>
      </c>
      <c r="BH400">
        <v>1</v>
      </c>
      <c r="BI400" s="6">
        <v>790000</v>
      </c>
      <c r="BJ400" s="6">
        <v>35</v>
      </c>
      <c r="BK400" s="6">
        <v>276500</v>
      </c>
      <c r="BL400" s="6">
        <v>513500</v>
      </c>
      <c r="BM400" s="2">
        <v>513500</v>
      </c>
      <c r="BN400">
        <f>InvoiceTable[[#This Row],[Giảm giá]]*InvoiceTable[[#This Row],[Số lượng]]</f>
        <v>276500</v>
      </c>
    </row>
    <row r="401" spans="1:66" x14ac:dyDescent="0.25">
      <c r="A401" t="s">
        <v>65</v>
      </c>
      <c r="B401" t="s">
        <v>1548</v>
      </c>
      <c r="F401" s="2"/>
      <c r="G401" s="3">
        <v>46012.569594641202</v>
      </c>
      <c r="H401" s="3">
        <v>46012.569536886571</v>
      </c>
      <c r="I401" s="4" t="s">
        <v>96</v>
      </c>
      <c r="J401" t="s">
        <v>1549</v>
      </c>
      <c r="K401" t="s">
        <v>67</v>
      </c>
      <c r="L401" t="s">
        <v>1550</v>
      </c>
      <c r="M401" t="s">
        <v>1551</v>
      </c>
      <c r="N401" t="s">
        <v>67</v>
      </c>
      <c r="O401" t="s">
        <v>1552</v>
      </c>
      <c r="P401" t="s">
        <v>1553</v>
      </c>
      <c r="S401" s="5"/>
      <c r="T401" t="s">
        <v>72</v>
      </c>
      <c r="U401" t="s">
        <v>1031</v>
      </c>
      <c r="V401" t="s">
        <v>74</v>
      </c>
      <c r="W401" t="s">
        <v>102</v>
      </c>
      <c r="AE401" s="2"/>
      <c r="AF401" s="2"/>
      <c r="AG401" s="2"/>
      <c r="AH401" s="2"/>
      <c r="AK401" t="s">
        <v>67</v>
      </c>
      <c r="AL401" s="2">
        <v>13176000</v>
      </c>
      <c r="AM401" s="2">
        <v>0</v>
      </c>
      <c r="AN401" s="2"/>
      <c r="AO401" s="2">
        <v>0</v>
      </c>
      <c r="AP401" s="2">
        <v>13176000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4"/>
      <c r="AX401" t="s">
        <v>75</v>
      </c>
      <c r="AZ401" t="s">
        <v>1558</v>
      </c>
      <c r="BA401" t="s">
        <v>67</v>
      </c>
      <c r="BB401" t="s">
        <v>1559</v>
      </c>
      <c r="BC401" t="s">
        <v>154</v>
      </c>
      <c r="BD401" t="s">
        <v>79</v>
      </c>
      <c r="BE401" t="s">
        <v>117</v>
      </c>
      <c r="BF401" s="5">
        <v>46569</v>
      </c>
      <c r="BG401" t="s">
        <v>67</v>
      </c>
      <c r="BH401">
        <v>1</v>
      </c>
      <c r="BI401" s="6">
        <v>750000</v>
      </c>
      <c r="BJ401" s="6">
        <v>35</v>
      </c>
      <c r="BK401" s="6">
        <v>262500</v>
      </c>
      <c r="BL401" s="6">
        <v>487500</v>
      </c>
      <c r="BM401" s="2">
        <v>487500</v>
      </c>
      <c r="BN401">
        <f>InvoiceTable[[#This Row],[Giảm giá]]*InvoiceTable[[#This Row],[Số lượng]]</f>
        <v>262500</v>
      </c>
    </row>
    <row r="402" spans="1:66" x14ac:dyDescent="0.25">
      <c r="A402" t="s">
        <v>65</v>
      </c>
      <c r="B402" t="s">
        <v>1548</v>
      </c>
      <c r="F402" s="2"/>
      <c r="G402" s="3">
        <v>46012.569594641202</v>
      </c>
      <c r="H402" s="3">
        <v>46012.569536886571</v>
      </c>
      <c r="I402" s="4" t="s">
        <v>96</v>
      </c>
      <c r="J402" t="s">
        <v>1549</v>
      </c>
      <c r="K402" t="s">
        <v>67</v>
      </c>
      <c r="L402" t="s">
        <v>1550</v>
      </c>
      <c r="M402" t="s">
        <v>1551</v>
      </c>
      <c r="N402" t="s">
        <v>67</v>
      </c>
      <c r="O402" t="s">
        <v>1552</v>
      </c>
      <c r="P402" t="s">
        <v>1553</v>
      </c>
      <c r="S402" s="5"/>
      <c r="T402" t="s">
        <v>72</v>
      </c>
      <c r="U402" t="s">
        <v>1031</v>
      </c>
      <c r="V402" t="s">
        <v>74</v>
      </c>
      <c r="W402" t="s">
        <v>102</v>
      </c>
      <c r="AE402" s="2"/>
      <c r="AF402" s="2"/>
      <c r="AG402" s="2"/>
      <c r="AH402" s="2"/>
      <c r="AK402" t="s">
        <v>67</v>
      </c>
      <c r="AL402" s="2">
        <v>13176000</v>
      </c>
      <c r="AM402" s="2">
        <v>0</v>
      </c>
      <c r="AN402" s="2"/>
      <c r="AO402" s="2">
        <v>0</v>
      </c>
      <c r="AP402" s="2">
        <v>13176000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4"/>
      <c r="AX402" t="s">
        <v>75</v>
      </c>
      <c r="AZ402" t="s">
        <v>1560</v>
      </c>
      <c r="BA402" t="s">
        <v>67</v>
      </c>
      <c r="BB402" t="s">
        <v>1561</v>
      </c>
      <c r="BC402" t="s">
        <v>90</v>
      </c>
      <c r="BD402" t="s">
        <v>79</v>
      </c>
      <c r="BE402" t="s">
        <v>168</v>
      </c>
      <c r="BF402" s="5">
        <v>46388</v>
      </c>
      <c r="BG402" t="s">
        <v>67</v>
      </c>
      <c r="BH402">
        <v>1</v>
      </c>
      <c r="BI402" s="6">
        <v>2000000</v>
      </c>
      <c r="BJ402" s="6">
        <v>0</v>
      </c>
      <c r="BK402" s="6">
        <v>1500000</v>
      </c>
      <c r="BL402" s="6">
        <v>500000</v>
      </c>
      <c r="BM402" s="2">
        <v>500000</v>
      </c>
      <c r="BN402">
        <f>InvoiceTable[[#This Row],[Giảm giá]]*InvoiceTable[[#This Row],[Số lượng]]</f>
        <v>1500000</v>
      </c>
    </row>
    <row r="403" spans="1:66" x14ac:dyDescent="0.25">
      <c r="A403" t="s">
        <v>65</v>
      </c>
      <c r="B403" t="s">
        <v>1548</v>
      </c>
      <c r="F403" s="2"/>
      <c r="G403" s="3">
        <v>46012.569594641202</v>
      </c>
      <c r="H403" s="3">
        <v>46012.569536886571</v>
      </c>
      <c r="I403" s="4" t="s">
        <v>96</v>
      </c>
      <c r="J403" t="s">
        <v>1549</v>
      </c>
      <c r="K403" t="s">
        <v>67</v>
      </c>
      <c r="L403" t="s">
        <v>1550</v>
      </c>
      <c r="M403" t="s">
        <v>1551</v>
      </c>
      <c r="N403" t="s">
        <v>67</v>
      </c>
      <c r="O403" t="s">
        <v>1552</v>
      </c>
      <c r="P403" t="s">
        <v>1553</v>
      </c>
      <c r="S403" s="5"/>
      <c r="T403" t="s">
        <v>72</v>
      </c>
      <c r="U403" t="s">
        <v>1031</v>
      </c>
      <c r="V403" t="s">
        <v>74</v>
      </c>
      <c r="W403" t="s">
        <v>102</v>
      </c>
      <c r="AE403" s="2"/>
      <c r="AF403" s="2"/>
      <c r="AG403" s="2"/>
      <c r="AH403" s="2"/>
      <c r="AK403" t="s">
        <v>67</v>
      </c>
      <c r="AL403" s="2">
        <v>13176000</v>
      </c>
      <c r="AM403" s="2">
        <v>0</v>
      </c>
      <c r="AN403" s="2"/>
      <c r="AO403" s="2">
        <v>0</v>
      </c>
      <c r="AP403" s="2">
        <v>13176000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4"/>
      <c r="AX403" t="s">
        <v>75</v>
      </c>
      <c r="AZ403" t="s">
        <v>1562</v>
      </c>
      <c r="BB403" t="s">
        <v>1563</v>
      </c>
      <c r="BC403" t="s">
        <v>590</v>
      </c>
      <c r="BD403" t="s">
        <v>79</v>
      </c>
      <c r="BE403" t="s">
        <v>1564</v>
      </c>
      <c r="BF403" s="5">
        <v>46598</v>
      </c>
      <c r="BG403" t="s">
        <v>67</v>
      </c>
      <c r="BH403">
        <v>1</v>
      </c>
      <c r="BI403" s="6">
        <v>4000000</v>
      </c>
      <c r="BJ403" s="6">
        <v>0</v>
      </c>
      <c r="BK403" s="6">
        <v>1500000</v>
      </c>
      <c r="BL403" s="6">
        <v>2500000</v>
      </c>
      <c r="BM403" s="2">
        <v>2500000</v>
      </c>
      <c r="BN403">
        <f>InvoiceTable[[#This Row],[Giảm giá]]*InvoiceTable[[#This Row],[Số lượng]]</f>
        <v>1500000</v>
      </c>
    </row>
    <row r="404" spans="1:66" x14ac:dyDescent="0.25">
      <c r="A404" t="s">
        <v>65</v>
      </c>
      <c r="B404" t="s">
        <v>1548</v>
      </c>
      <c r="F404" s="2"/>
      <c r="G404" s="3">
        <v>46012.569594641202</v>
      </c>
      <c r="H404" s="3">
        <v>46012.569536886571</v>
      </c>
      <c r="I404" s="4" t="s">
        <v>96</v>
      </c>
      <c r="J404" t="s">
        <v>1549</v>
      </c>
      <c r="K404" t="s">
        <v>67</v>
      </c>
      <c r="L404" t="s">
        <v>1550</v>
      </c>
      <c r="M404" t="s">
        <v>1551</v>
      </c>
      <c r="N404" t="s">
        <v>67</v>
      </c>
      <c r="O404" t="s">
        <v>1552</v>
      </c>
      <c r="P404" t="s">
        <v>1553</v>
      </c>
      <c r="S404" s="5"/>
      <c r="T404" t="s">
        <v>72</v>
      </c>
      <c r="U404" t="s">
        <v>1031</v>
      </c>
      <c r="V404" t="s">
        <v>74</v>
      </c>
      <c r="W404" t="s">
        <v>102</v>
      </c>
      <c r="AE404" s="2"/>
      <c r="AF404" s="2"/>
      <c r="AG404" s="2"/>
      <c r="AH404" s="2"/>
      <c r="AK404" t="s">
        <v>67</v>
      </c>
      <c r="AL404" s="2">
        <v>13176000</v>
      </c>
      <c r="AM404" s="2">
        <v>0</v>
      </c>
      <c r="AN404" s="2"/>
      <c r="AO404" s="2">
        <v>0</v>
      </c>
      <c r="AP404" s="2">
        <v>13176000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4"/>
      <c r="AX404" t="s">
        <v>75</v>
      </c>
      <c r="AZ404" t="s">
        <v>124</v>
      </c>
      <c r="BA404" t="s">
        <v>67</v>
      </c>
      <c r="BB404" t="s">
        <v>125</v>
      </c>
      <c r="BC404" t="s">
        <v>126</v>
      </c>
      <c r="BD404" t="s">
        <v>79</v>
      </c>
      <c r="BE404" t="s">
        <v>127</v>
      </c>
      <c r="BF404" s="5">
        <v>46683</v>
      </c>
      <c r="BG404" t="s">
        <v>67</v>
      </c>
      <c r="BH404">
        <v>1</v>
      </c>
      <c r="BI404" s="6">
        <v>2000000</v>
      </c>
      <c r="BJ404" s="6">
        <v>0</v>
      </c>
      <c r="BK404" s="6">
        <v>1000000</v>
      </c>
      <c r="BL404" s="6">
        <v>1000000</v>
      </c>
      <c r="BM404" s="2">
        <v>1000000</v>
      </c>
      <c r="BN404">
        <f>InvoiceTable[[#This Row],[Giảm giá]]*InvoiceTable[[#This Row],[Số lượng]]</f>
        <v>1000000</v>
      </c>
    </row>
    <row r="405" spans="1:66" x14ac:dyDescent="0.25">
      <c r="A405" t="s">
        <v>65</v>
      </c>
      <c r="B405" t="s">
        <v>1548</v>
      </c>
      <c r="F405" s="2"/>
      <c r="G405" s="3">
        <v>46012.569594641202</v>
      </c>
      <c r="H405" s="3">
        <v>46012.569536886571</v>
      </c>
      <c r="I405" s="4" t="s">
        <v>96</v>
      </c>
      <c r="J405" t="s">
        <v>1549</v>
      </c>
      <c r="K405" t="s">
        <v>67</v>
      </c>
      <c r="L405" t="s">
        <v>1550</v>
      </c>
      <c r="M405" t="s">
        <v>1551</v>
      </c>
      <c r="N405" t="s">
        <v>67</v>
      </c>
      <c r="O405" t="s">
        <v>1552</v>
      </c>
      <c r="P405" t="s">
        <v>1553</v>
      </c>
      <c r="S405" s="5"/>
      <c r="T405" t="s">
        <v>72</v>
      </c>
      <c r="U405" t="s">
        <v>1031</v>
      </c>
      <c r="V405" t="s">
        <v>74</v>
      </c>
      <c r="W405" t="s">
        <v>102</v>
      </c>
      <c r="AE405" s="2"/>
      <c r="AF405" s="2"/>
      <c r="AG405" s="2"/>
      <c r="AH405" s="2"/>
      <c r="AK405" t="s">
        <v>67</v>
      </c>
      <c r="AL405" s="2">
        <v>13176000</v>
      </c>
      <c r="AM405" s="2">
        <v>0</v>
      </c>
      <c r="AN405" s="2"/>
      <c r="AO405" s="2">
        <v>0</v>
      </c>
      <c r="AP405" s="2">
        <v>13176000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4"/>
      <c r="AX405" t="s">
        <v>75</v>
      </c>
      <c r="AZ405" t="s">
        <v>447</v>
      </c>
      <c r="BA405" t="s">
        <v>67</v>
      </c>
      <c r="BB405" t="s">
        <v>448</v>
      </c>
      <c r="BC405" t="s">
        <v>449</v>
      </c>
      <c r="BD405" t="s">
        <v>79</v>
      </c>
      <c r="BE405" t="s">
        <v>159</v>
      </c>
      <c r="BF405" s="5">
        <v>46478</v>
      </c>
      <c r="BG405" t="s">
        <v>67</v>
      </c>
      <c r="BH405">
        <v>1</v>
      </c>
      <c r="BI405" s="6">
        <v>5500000</v>
      </c>
      <c r="BJ405" s="6">
        <v>0</v>
      </c>
      <c r="BK405" s="6">
        <v>500000</v>
      </c>
      <c r="BL405" s="6">
        <v>5000000</v>
      </c>
      <c r="BM405" s="2">
        <v>5000000</v>
      </c>
      <c r="BN405">
        <f>InvoiceTable[[#This Row],[Giảm giá]]*InvoiceTable[[#This Row],[Số lượng]]</f>
        <v>500000</v>
      </c>
    </row>
    <row r="406" spans="1:66" x14ac:dyDescent="0.25">
      <c r="A406" t="s">
        <v>65</v>
      </c>
      <c r="B406" t="s">
        <v>1565</v>
      </c>
      <c r="F406" s="2"/>
      <c r="G406" s="3">
        <v>46012.568496608794</v>
      </c>
      <c r="H406" s="3">
        <v>46012.568496759261</v>
      </c>
      <c r="I406" s="4" t="s">
        <v>67</v>
      </c>
      <c r="J406" t="s">
        <v>67</v>
      </c>
      <c r="K406" t="s">
        <v>67</v>
      </c>
      <c r="L406" t="s">
        <v>1550</v>
      </c>
      <c r="M406" t="s">
        <v>1551</v>
      </c>
      <c r="N406" t="s">
        <v>67</v>
      </c>
      <c r="O406" t="s">
        <v>1552</v>
      </c>
      <c r="P406" t="s">
        <v>1553</v>
      </c>
      <c r="S406" s="5"/>
      <c r="T406" t="s">
        <v>72</v>
      </c>
      <c r="U406" t="s">
        <v>102</v>
      </c>
      <c r="V406" t="s">
        <v>74</v>
      </c>
      <c r="W406" t="s">
        <v>102</v>
      </c>
      <c r="AE406" s="2"/>
      <c r="AF406" s="2"/>
      <c r="AG406" s="2"/>
      <c r="AH406" s="2"/>
      <c r="AL406" s="2">
        <v>552500</v>
      </c>
      <c r="AM406" s="2">
        <v>0</v>
      </c>
      <c r="AN406" s="2"/>
      <c r="AO406" s="2">
        <v>0</v>
      </c>
      <c r="AP406" s="2">
        <v>552500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4"/>
      <c r="AX406" t="s">
        <v>75</v>
      </c>
      <c r="AZ406" t="s">
        <v>710</v>
      </c>
      <c r="BA406" t="s">
        <v>67</v>
      </c>
      <c r="BB406" t="s">
        <v>711</v>
      </c>
      <c r="BC406" t="s">
        <v>204</v>
      </c>
      <c r="BD406" t="s">
        <v>79</v>
      </c>
      <c r="BE406" t="s">
        <v>273</v>
      </c>
      <c r="BF406" s="5">
        <v>46266</v>
      </c>
      <c r="BH406">
        <v>1</v>
      </c>
      <c r="BI406" s="6">
        <v>850000</v>
      </c>
      <c r="BJ406" s="6">
        <v>35</v>
      </c>
      <c r="BK406" s="6">
        <v>297500</v>
      </c>
      <c r="BL406" s="6">
        <v>552500</v>
      </c>
      <c r="BM406" s="2">
        <v>552500</v>
      </c>
      <c r="BN406">
        <f>InvoiceTable[[#This Row],[Giảm giá]]*InvoiceTable[[#This Row],[Số lượng]]</f>
        <v>297500</v>
      </c>
    </row>
    <row r="407" spans="1:66" x14ac:dyDescent="0.25">
      <c r="A407" t="s">
        <v>65</v>
      </c>
      <c r="B407" t="s">
        <v>1566</v>
      </c>
      <c r="F407" s="2"/>
      <c r="G407" s="3">
        <v>46012.537685798612</v>
      </c>
      <c r="H407" s="3">
        <v>46012.537639502312</v>
      </c>
      <c r="I407" s="4" t="s">
        <v>686</v>
      </c>
      <c r="J407" t="s">
        <v>1567</v>
      </c>
      <c r="K407" t="s">
        <v>67</v>
      </c>
      <c r="L407" t="s">
        <v>398</v>
      </c>
      <c r="M407" t="s">
        <v>399</v>
      </c>
      <c r="N407" t="s">
        <v>400</v>
      </c>
      <c r="O407" t="s">
        <v>401</v>
      </c>
      <c r="P407" t="s">
        <v>402</v>
      </c>
      <c r="S407" s="5"/>
      <c r="T407" t="s">
        <v>72</v>
      </c>
      <c r="U407" t="s">
        <v>102</v>
      </c>
      <c r="V407" t="s">
        <v>74</v>
      </c>
      <c r="W407" t="s">
        <v>102</v>
      </c>
      <c r="AE407" s="2"/>
      <c r="AF407" s="2"/>
      <c r="AG407" s="2"/>
      <c r="AH407" s="2"/>
      <c r="AK407" t="s">
        <v>1568</v>
      </c>
      <c r="AL407" s="2">
        <v>2330000</v>
      </c>
      <c r="AM407" s="2">
        <v>0</v>
      </c>
      <c r="AN407" s="2"/>
      <c r="AO407" s="2">
        <v>0</v>
      </c>
      <c r="AP407" s="2">
        <v>2330000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4"/>
      <c r="AX407" t="s">
        <v>75</v>
      </c>
      <c r="AZ407" t="s">
        <v>748</v>
      </c>
      <c r="BA407" t="s">
        <v>67</v>
      </c>
      <c r="BB407" t="s">
        <v>749</v>
      </c>
      <c r="BC407" t="s">
        <v>750</v>
      </c>
      <c r="BD407" t="s">
        <v>79</v>
      </c>
      <c r="BE407" t="s">
        <v>117</v>
      </c>
      <c r="BF407" s="5">
        <v>46569</v>
      </c>
      <c r="BH407">
        <v>1</v>
      </c>
      <c r="BI407" s="6">
        <v>1500000</v>
      </c>
      <c r="BJ407" s="6">
        <v>0</v>
      </c>
      <c r="BK407" s="6">
        <v>450000</v>
      </c>
      <c r="BL407" s="6">
        <v>1050000</v>
      </c>
      <c r="BM407" s="2">
        <v>1050000</v>
      </c>
      <c r="BN407">
        <f>InvoiceTable[[#This Row],[Giảm giá]]*InvoiceTable[[#This Row],[Số lượng]]</f>
        <v>450000</v>
      </c>
    </row>
    <row r="408" spans="1:66" x14ac:dyDescent="0.25">
      <c r="A408" t="s">
        <v>65</v>
      </c>
      <c r="B408" t="s">
        <v>1566</v>
      </c>
      <c r="F408" s="2"/>
      <c r="G408" s="3">
        <v>46012.537685798612</v>
      </c>
      <c r="H408" s="3">
        <v>46012.537639502312</v>
      </c>
      <c r="I408" s="4" t="s">
        <v>686</v>
      </c>
      <c r="J408" t="s">
        <v>1567</v>
      </c>
      <c r="K408" t="s">
        <v>67</v>
      </c>
      <c r="L408" t="s">
        <v>398</v>
      </c>
      <c r="M408" t="s">
        <v>399</v>
      </c>
      <c r="N408" t="s">
        <v>400</v>
      </c>
      <c r="O408" t="s">
        <v>401</v>
      </c>
      <c r="P408" t="s">
        <v>402</v>
      </c>
      <c r="S408" s="5"/>
      <c r="T408" t="s">
        <v>72</v>
      </c>
      <c r="U408" t="s">
        <v>102</v>
      </c>
      <c r="V408" t="s">
        <v>74</v>
      </c>
      <c r="W408" t="s">
        <v>102</v>
      </c>
      <c r="AE408" s="2"/>
      <c r="AF408" s="2"/>
      <c r="AG408" s="2"/>
      <c r="AH408" s="2"/>
      <c r="AK408" t="s">
        <v>1568</v>
      </c>
      <c r="AL408" s="2">
        <v>2330000</v>
      </c>
      <c r="AM408" s="2">
        <v>0</v>
      </c>
      <c r="AN408" s="2"/>
      <c r="AO408" s="2">
        <v>0</v>
      </c>
      <c r="AP408" s="2">
        <v>2330000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4"/>
      <c r="AX408" t="s">
        <v>75</v>
      </c>
      <c r="AZ408" t="s">
        <v>435</v>
      </c>
      <c r="BA408" t="s">
        <v>67</v>
      </c>
      <c r="BB408" t="s">
        <v>436</v>
      </c>
      <c r="BC408" t="s">
        <v>437</v>
      </c>
      <c r="BD408" t="s">
        <v>79</v>
      </c>
      <c r="BE408" t="s">
        <v>142</v>
      </c>
      <c r="BF408" s="5">
        <v>46844</v>
      </c>
      <c r="BH408">
        <v>1</v>
      </c>
      <c r="BI408" s="6">
        <v>1200000</v>
      </c>
      <c r="BJ408" s="6">
        <v>0</v>
      </c>
      <c r="BK408" s="6">
        <v>550000</v>
      </c>
      <c r="BL408" s="6">
        <v>650000</v>
      </c>
      <c r="BM408" s="2">
        <v>650000</v>
      </c>
      <c r="BN408">
        <f>InvoiceTable[[#This Row],[Giảm giá]]*InvoiceTable[[#This Row],[Số lượng]]</f>
        <v>550000</v>
      </c>
    </row>
    <row r="409" spans="1:66" x14ac:dyDescent="0.25">
      <c r="A409" t="s">
        <v>65</v>
      </c>
      <c r="B409" t="s">
        <v>1566</v>
      </c>
      <c r="F409" s="2"/>
      <c r="G409" s="3">
        <v>46012.537685798612</v>
      </c>
      <c r="H409" s="3">
        <v>46012.537639502312</v>
      </c>
      <c r="I409" s="4" t="s">
        <v>686</v>
      </c>
      <c r="J409" t="s">
        <v>1567</v>
      </c>
      <c r="K409" t="s">
        <v>67</v>
      </c>
      <c r="L409" t="s">
        <v>398</v>
      </c>
      <c r="M409" t="s">
        <v>399</v>
      </c>
      <c r="N409" t="s">
        <v>400</v>
      </c>
      <c r="O409" t="s">
        <v>401</v>
      </c>
      <c r="P409" t="s">
        <v>402</v>
      </c>
      <c r="S409" s="5"/>
      <c r="T409" t="s">
        <v>72</v>
      </c>
      <c r="U409" t="s">
        <v>102</v>
      </c>
      <c r="V409" t="s">
        <v>74</v>
      </c>
      <c r="W409" t="s">
        <v>102</v>
      </c>
      <c r="AE409" s="2"/>
      <c r="AF409" s="2"/>
      <c r="AG409" s="2"/>
      <c r="AH409" s="2"/>
      <c r="AK409" t="s">
        <v>1568</v>
      </c>
      <c r="AL409" s="2">
        <v>2330000</v>
      </c>
      <c r="AM409" s="2">
        <v>0</v>
      </c>
      <c r="AN409" s="2"/>
      <c r="AO409" s="2">
        <v>0</v>
      </c>
      <c r="AP409" s="2">
        <v>2330000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4"/>
      <c r="AX409" t="s">
        <v>75</v>
      </c>
      <c r="AZ409" t="s">
        <v>124</v>
      </c>
      <c r="BA409" t="s">
        <v>67</v>
      </c>
      <c r="BB409" t="s">
        <v>125</v>
      </c>
      <c r="BC409" t="s">
        <v>126</v>
      </c>
      <c r="BD409" t="s">
        <v>79</v>
      </c>
      <c r="BE409" t="s">
        <v>127</v>
      </c>
      <c r="BF409" s="5">
        <v>46683</v>
      </c>
      <c r="BH409">
        <v>1</v>
      </c>
      <c r="BI409" s="6">
        <v>1200000</v>
      </c>
      <c r="BJ409" s="6">
        <v>0</v>
      </c>
      <c r="BK409" s="6">
        <v>570000</v>
      </c>
      <c r="BL409" s="6">
        <v>630000</v>
      </c>
      <c r="BM409" s="2">
        <v>630000</v>
      </c>
      <c r="BN409">
        <f>InvoiceTable[[#This Row],[Giảm giá]]*InvoiceTable[[#This Row],[Số lượng]]</f>
        <v>570000</v>
      </c>
    </row>
    <row r="410" spans="1:66" x14ac:dyDescent="0.25">
      <c r="A410" t="s">
        <v>65</v>
      </c>
      <c r="B410" t="s">
        <v>1569</v>
      </c>
      <c r="F410" s="2"/>
      <c r="G410" s="3">
        <v>46012.531446261572</v>
      </c>
      <c r="H410" s="3">
        <v>46012.531434756944</v>
      </c>
      <c r="I410" s="4" t="s">
        <v>1570</v>
      </c>
      <c r="J410" t="s">
        <v>67</v>
      </c>
      <c r="K410" t="s">
        <v>67</v>
      </c>
      <c r="L410" t="s">
        <v>654</v>
      </c>
      <c r="M410" t="s">
        <v>655</v>
      </c>
      <c r="N410" t="s">
        <v>67</v>
      </c>
      <c r="O410" t="s">
        <v>656</v>
      </c>
      <c r="P410" t="s">
        <v>657</v>
      </c>
      <c r="Q410" t="s">
        <v>658</v>
      </c>
      <c r="R410" t="s">
        <v>67</v>
      </c>
      <c r="S410" s="5"/>
      <c r="T410" t="s">
        <v>72</v>
      </c>
      <c r="U410" t="s">
        <v>87</v>
      </c>
      <c r="V410" t="s">
        <v>74</v>
      </c>
      <c r="W410" t="s">
        <v>102</v>
      </c>
      <c r="AE410" s="2"/>
      <c r="AF410" s="2"/>
      <c r="AG410" s="2"/>
      <c r="AH410" s="2"/>
      <c r="AL410" s="2">
        <v>7900000</v>
      </c>
      <c r="AM410" s="2">
        <v>0</v>
      </c>
      <c r="AN410" s="2"/>
      <c r="AO410" s="2">
        <v>0</v>
      </c>
      <c r="AP410" s="2">
        <v>7900000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4"/>
      <c r="AX410" t="s">
        <v>75</v>
      </c>
      <c r="AZ410" t="s">
        <v>103</v>
      </c>
      <c r="BB410" t="s">
        <v>104</v>
      </c>
      <c r="BC410" t="s">
        <v>105</v>
      </c>
      <c r="BD410" t="s">
        <v>79</v>
      </c>
      <c r="BE410" t="s">
        <v>106</v>
      </c>
      <c r="BF410" s="5">
        <v>46327</v>
      </c>
      <c r="BH410">
        <v>2</v>
      </c>
      <c r="BI410" s="6">
        <v>6930000</v>
      </c>
      <c r="BJ410" s="6">
        <v>0</v>
      </c>
      <c r="BK410" s="6">
        <v>2980000</v>
      </c>
      <c r="BL410" s="6">
        <v>3950000</v>
      </c>
      <c r="BM410" s="2">
        <v>7900000</v>
      </c>
      <c r="BN410">
        <f>InvoiceTable[[#This Row],[Giảm giá]]*InvoiceTable[[#This Row],[Số lượng]]</f>
        <v>5960000</v>
      </c>
    </row>
    <row r="411" spans="1:66" x14ac:dyDescent="0.25">
      <c r="A411" t="s">
        <v>65</v>
      </c>
      <c r="B411" t="s">
        <v>1571</v>
      </c>
      <c r="F411" s="2"/>
      <c r="G411" s="3">
        <v>46012.512522488425</v>
      </c>
      <c r="H411" s="3">
        <v>46012.512522604164</v>
      </c>
      <c r="I411" s="4" t="s">
        <v>67</v>
      </c>
      <c r="J411" t="s">
        <v>1572</v>
      </c>
      <c r="K411" t="s">
        <v>67</v>
      </c>
      <c r="L411" t="s">
        <v>1573</v>
      </c>
      <c r="M411" t="s">
        <v>1574</v>
      </c>
      <c r="N411" t="s">
        <v>1575</v>
      </c>
      <c r="O411" t="s">
        <v>1576</v>
      </c>
      <c r="P411" t="s">
        <v>1577</v>
      </c>
      <c r="S411" s="5"/>
      <c r="T411" t="s">
        <v>72</v>
      </c>
      <c r="U411" t="s">
        <v>102</v>
      </c>
      <c r="V411" t="s">
        <v>74</v>
      </c>
      <c r="W411" t="s">
        <v>102</v>
      </c>
      <c r="AE411" s="2"/>
      <c r="AF411" s="2"/>
      <c r="AG411" s="2"/>
      <c r="AH411" s="2"/>
      <c r="AL411" s="2">
        <v>24948000</v>
      </c>
      <c r="AM411" s="2">
        <v>0</v>
      </c>
      <c r="AN411" s="2"/>
      <c r="AO411" s="2">
        <v>0</v>
      </c>
      <c r="AP411" s="2">
        <v>24948000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4"/>
      <c r="AX411" t="s">
        <v>75</v>
      </c>
      <c r="AZ411" t="s">
        <v>1578</v>
      </c>
      <c r="BA411" t="s">
        <v>67</v>
      </c>
      <c r="BB411" t="s">
        <v>1579</v>
      </c>
      <c r="BC411" t="s">
        <v>1580</v>
      </c>
      <c r="BD411" t="s">
        <v>79</v>
      </c>
      <c r="BE411" t="s">
        <v>131</v>
      </c>
      <c r="BF411" s="5">
        <v>46874</v>
      </c>
      <c r="BH411">
        <v>10</v>
      </c>
      <c r="BI411" s="6">
        <v>3960000</v>
      </c>
      <c r="BJ411" s="6">
        <v>37</v>
      </c>
      <c r="BK411" s="6">
        <v>1465200</v>
      </c>
      <c r="BL411" s="6">
        <v>2494800</v>
      </c>
      <c r="BM411" s="2">
        <v>24948000</v>
      </c>
      <c r="BN411">
        <f>InvoiceTable[[#This Row],[Giảm giá]]*InvoiceTable[[#This Row],[Số lượng]]</f>
        <v>14652000</v>
      </c>
    </row>
    <row r="412" spans="1:66" x14ac:dyDescent="0.25">
      <c r="A412" t="s">
        <v>65</v>
      </c>
      <c r="B412" t="s">
        <v>1581</v>
      </c>
      <c r="F412" s="2"/>
      <c r="G412" s="3">
        <v>46012.500289895834</v>
      </c>
      <c r="H412" s="3">
        <v>46012.500278437503</v>
      </c>
      <c r="I412" s="4" t="s">
        <v>1511</v>
      </c>
      <c r="J412" t="s">
        <v>67</v>
      </c>
      <c r="K412" t="s">
        <v>67</v>
      </c>
      <c r="L412" t="s">
        <v>894</v>
      </c>
      <c r="M412" t="s">
        <v>895</v>
      </c>
      <c r="N412" t="s">
        <v>67</v>
      </c>
      <c r="O412" t="s">
        <v>896</v>
      </c>
      <c r="P412" t="s">
        <v>897</v>
      </c>
      <c r="Q412" t="s">
        <v>67</v>
      </c>
      <c r="R412" t="s">
        <v>67</v>
      </c>
      <c r="S412" s="5"/>
      <c r="T412" t="s">
        <v>72</v>
      </c>
      <c r="U412" t="s">
        <v>102</v>
      </c>
      <c r="V412" t="s">
        <v>74</v>
      </c>
      <c r="W412" t="s">
        <v>102</v>
      </c>
      <c r="AE412" s="2"/>
      <c r="AF412" s="2"/>
      <c r="AG412" s="2"/>
      <c r="AH412" s="2"/>
      <c r="AL412" s="2">
        <v>5100000</v>
      </c>
      <c r="AM412" s="2">
        <v>0</v>
      </c>
      <c r="AN412" s="2"/>
      <c r="AO412" s="2">
        <v>0</v>
      </c>
      <c r="AP412" s="2">
        <v>5100000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4"/>
      <c r="AX412" t="s">
        <v>75</v>
      </c>
      <c r="AZ412" t="s">
        <v>107</v>
      </c>
      <c r="BA412" t="s">
        <v>67</v>
      </c>
      <c r="BB412" t="s">
        <v>108</v>
      </c>
      <c r="BC412" t="s">
        <v>109</v>
      </c>
      <c r="BD412" t="s">
        <v>79</v>
      </c>
      <c r="BE412" t="s">
        <v>94</v>
      </c>
      <c r="BF412" s="5">
        <v>46692</v>
      </c>
      <c r="BH412">
        <v>2</v>
      </c>
      <c r="BI412" s="6">
        <v>4500000</v>
      </c>
      <c r="BJ412" s="6">
        <v>0</v>
      </c>
      <c r="BK412" s="6">
        <v>1950000</v>
      </c>
      <c r="BL412" s="6">
        <v>2550000</v>
      </c>
      <c r="BM412" s="2">
        <v>5100000</v>
      </c>
      <c r="BN412">
        <f>InvoiceTable[[#This Row],[Giảm giá]]*InvoiceTable[[#This Row],[Số lượng]]</f>
        <v>3900000</v>
      </c>
    </row>
    <row r="413" spans="1:66" x14ac:dyDescent="0.25">
      <c r="A413" t="s">
        <v>65</v>
      </c>
      <c r="B413" t="s">
        <v>1582</v>
      </c>
      <c r="F413" s="2"/>
      <c r="G413" s="3">
        <v>46012.483512349536</v>
      </c>
      <c r="H413" s="3">
        <v>46012.483512500003</v>
      </c>
      <c r="I413" s="4" t="s">
        <v>67</v>
      </c>
      <c r="J413" t="s">
        <v>1583</v>
      </c>
      <c r="K413" t="s">
        <v>67</v>
      </c>
      <c r="L413" t="s">
        <v>1584</v>
      </c>
      <c r="M413" t="s">
        <v>1585</v>
      </c>
      <c r="N413" t="s">
        <v>67</v>
      </c>
      <c r="O413" t="s">
        <v>1586</v>
      </c>
      <c r="Q413" t="s">
        <v>67</v>
      </c>
      <c r="R413" t="s">
        <v>67</v>
      </c>
      <c r="S413" s="5"/>
      <c r="T413" t="s">
        <v>72</v>
      </c>
      <c r="U413" t="s">
        <v>87</v>
      </c>
      <c r="V413" t="s">
        <v>74</v>
      </c>
      <c r="W413" t="s">
        <v>102</v>
      </c>
      <c r="AE413" s="2"/>
      <c r="AF413" s="2"/>
      <c r="AG413" s="2"/>
      <c r="AH413" s="2"/>
      <c r="AK413" t="s">
        <v>1587</v>
      </c>
      <c r="AL413" s="2">
        <v>8403650</v>
      </c>
      <c r="AM413" s="2">
        <v>0</v>
      </c>
      <c r="AN413" s="2"/>
      <c r="AO413" s="2">
        <v>0</v>
      </c>
      <c r="AP413" s="2">
        <v>8403650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4"/>
      <c r="AX413" t="s">
        <v>75</v>
      </c>
      <c r="AZ413" t="s">
        <v>1588</v>
      </c>
      <c r="BA413" t="s">
        <v>67</v>
      </c>
      <c r="BB413" t="s">
        <v>1589</v>
      </c>
      <c r="BC413" t="s">
        <v>377</v>
      </c>
      <c r="BD413" t="s">
        <v>79</v>
      </c>
      <c r="BE413" t="s">
        <v>378</v>
      </c>
      <c r="BF413" s="5">
        <v>46997</v>
      </c>
      <c r="BG413" t="s">
        <v>67</v>
      </c>
      <c r="BH413">
        <v>1</v>
      </c>
      <c r="BI413" s="6">
        <v>4815000</v>
      </c>
      <c r="BJ413" s="6">
        <v>39</v>
      </c>
      <c r="BK413" s="6">
        <v>1877850</v>
      </c>
      <c r="BL413" s="6">
        <v>2937150</v>
      </c>
      <c r="BM413" s="2">
        <v>2937150</v>
      </c>
      <c r="BN413">
        <f>InvoiceTable[[#This Row],[Giảm giá]]*InvoiceTable[[#This Row],[Số lượng]]</f>
        <v>1877850</v>
      </c>
    </row>
    <row r="414" spans="1:66" x14ac:dyDescent="0.25">
      <c r="A414" t="s">
        <v>65</v>
      </c>
      <c r="B414" t="s">
        <v>1582</v>
      </c>
      <c r="F414" s="2"/>
      <c r="G414" s="3">
        <v>46012.483512349536</v>
      </c>
      <c r="H414" s="3">
        <v>46012.483512500003</v>
      </c>
      <c r="I414" s="4" t="s">
        <v>67</v>
      </c>
      <c r="J414" t="s">
        <v>1583</v>
      </c>
      <c r="K414" t="s">
        <v>67</v>
      </c>
      <c r="L414" t="s">
        <v>1584</v>
      </c>
      <c r="M414" t="s">
        <v>1585</v>
      </c>
      <c r="N414" t="s">
        <v>67</v>
      </c>
      <c r="O414" t="s">
        <v>1586</v>
      </c>
      <c r="Q414" t="s">
        <v>67</v>
      </c>
      <c r="R414" t="s">
        <v>67</v>
      </c>
      <c r="S414" s="5"/>
      <c r="T414" t="s">
        <v>72</v>
      </c>
      <c r="U414" t="s">
        <v>87</v>
      </c>
      <c r="V414" t="s">
        <v>74</v>
      </c>
      <c r="W414" t="s">
        <v>102</v>
      </c>
      <c r="AE414" s="2"/>
      <c r="AF414" s="2"/>
      <c r="AG414" s="2"/>
      <c r="AH414" s="2"/>
      <c r="AK414" t="s">
        <v>1587</v>
      </c>
      <c r="AL414" s="2">
        <v>8403650</v>
      </c>
      <c r="AM414" s="2">
        <v>0</v>
      </c>
      <c r="AN414" s="2"/>
      <c r="AO414" s="2">
        <v>0</v>
      </c>
      <c r="AP414" s="2">
        <v>8403650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4"/>
      <c r="AX414" t="s">
        <v>75</v>
      </c>
      <c r="AZ414" t="s">
        <v>1435</v>
      </c>
      <c r="BA414" t="s">
        <v>67</v>
      </c>
      <c r="BB414" t="s">
        <v>1436</v>
      </c>
      <c r="BC414" t="s">
        <v>377</v>
      </c>
      <c r="BD414" t="s">
        <v>79</v>
      </c>
      <c r="BE414" t="s">
        <v>188</v>
      </c>
      <c r="BF414" s="5">
        <v>46905</v>
      </c>
      <c r="BG414" t="s">
        <v>67</v>
      </c>
      <c r="BH414">
        <v>5</v>
      </c>
      <c r="BI414" s="6">
        <v>1885000</v>
      </c>
      <c r="BJ414" s="6">
        <v>42</v>
      </c>
      <c r="BK414" s="6">
        <v>791700</v>
      </c>
      <c r="BL414" s="6">
        <v>1093300</v>
      </c>
      <c r="BM414" s="2">
        <v>5466500</v>
      </c>
      <c r="BN414">
        <f>InvoiceTable[[#This Row],[Giảm giá]]*InvoiceTable[[#This Row],[Số lượng]]</f>
        <v>3958500</v>
      </c>
    </row>
    <row r="415" spans="1:66" x14ac:dyDescent="0.25">
      <c r="A415" t="s">
        <v>65</v>
      </c>
      <c r="B415" t="s">
        <v>1590</v>
      </c>
      <c r="F415" s="2"/>
      <c r="G415" s="3">
        <v>46012.457906018521</v>
      </c>
      <c r="H415" s="3">
        <v>46012.457894988424</v>
      </c>
      <c r="I415" s="4" t="s">
        <v>1511</v>
      </c>
      <c r="J415" t="s">
        <v>1591</v>
      </c>
      <c r="K415" t="s">
        <v>67</v>
      </c>
      <c r="L415" t="s">
        <v>499</v>
      </c>
      <c r="M415" t="s">
        <v>500</v>
      </c>
      <c r="N415" t="s">
        <v>67</v>
      </c>
      <c r="O415" t="s">
        <v>501</v>
      </c>
      <c r="P415" t="s">
        <v>502</v>
      </c>
      <c r="S415" s="5"/>
      <c r="T415" t="s">
        <v>72</v>
      </c>
      <c r="U415" t="s">
        <v>87</v>
      </c>
      <c r="V415" t="s">
        <v>74</v>
      </c>
      <c r="W415" t="s">
        <v>102</v>
      </c>
      <c r="AE415" s="2"/>
      <c r="AF415" s="2"/>
      <c r="AG415" s="2"/>
      <c r="AH415" s="2"/>
      <c r="AK415" t="s">
        <v>1592</v>
      </c>
      <c r="AL415" s="2">
        <v>1782000</v>
      </c>
      <c r="AM415" s="2">
        <v>0</v>
      </c>
      <c r="AN415" s="2"/>
      <c r="AO415" s="2">
        <v>0</v>
      </c>
      <c r="AP415" s="2">
        <v>1782000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4"/>
      <c r="AX415" t="s">
        <v>75</v>
      </c>
      <c r="AZ415" t="s">
        <v>1019</v>
      </c>
      <c r="BA415" t="s">
        <v>67</v>
      </c>
      <c r="BB415" t="s">
        <v>1020</v>
      </c>
      <c r="BC415" t="s">
        <v>676</v>
      </c>
      <c r="BD415" t="s">
        <v>79</v>
      </c>
      <c r="BE415" t="s">
        <v>1021</v>
      </c>
      <c r="BF415" s="5">
        <v>46936</v>
      </c>
      <c r="BG415" t="s">
        <v>67</v>
      </c>
      <c r="BH415">
        <v>1</v>
      </c>
      <c r="BI415" s="6">
        <v>1690000</v>
      </c>
      <c r="BJ415" s="6">
        <v>0</v>
      </c>
      <c r="BK415" s="6">
        <v>580000</v>
      </c>
      <c r="BL415" s="6">
        <v>1110000</v>
      </c>
      <c r="BM415" s="2">
        <v>1110000</v>
      </c>
      <c r="BN415">
        <f>InvoiceTable[[#This Row],[Giảm giá]]*InvoiceTable[[#This Row],[Số lượng]]</f>
        <v>580000</v>
      </c>
    </row>
    <row r="416" spans="1:66" x14ac:dyDescent="0.25">
      <c r="A416" t="s">
        <v>65</v>
      </c>
      <c r="B416" t="s">
        <v>1590</v>
      </c>
      <c r="F416" s="2"/>
      <c r="G416" s="3">
        <v>46012.457906018521</v>
      </c>
      <c r="H416" s="3">
        <v>46012.457894988424</v>
      </c>
      <c r="I416" s="4" t="s">
        <v>1511</v>
      </c>
      <c r="J416" t="s">
        <v>1591</v>
      </c>
      <c r="K416" t="s">
        <v>67</v>
      </c>
      <c r="L416" t="s">
        <v>499</v>
      </c>
      <c r="M416" t="s">
        <v>500</v>
      </c>
      <c r="N416" t="s">
        <v>67</v>
      </c>
      <c r="O416" t="s">
        <v>501</v>
      </c>
      <c r="P416" t="s">
        <v>502</v>
      </c>
      <c r="S416" s="5"/>
      <c r="T416" t="s">
        <v>72</v>
      </c>
      <c r="U416" t="s">
        <v>87</v>
      </c>
      <c r="V416" t="s">
        <v>74</v>
      </c>
      <c r="W416" t="s">
        <v>102</v>
      </c>
      <c r="AE416" s="2"/>
      <c r="AF416" s="2"/>
      <c r="AG416" s="2"/>
      <c r="AH416" s="2"/>
      <c r="AK416" t="s">
        <v>1592</v>
      </c>
      <c r="AL416" s="2">
        <v>1782000</v>
      </c>
      <c r="AM416" s="2">
        <v>0</v>
      </c>
      <c r="AN416" s="2"/>
      <c r="AO416" s="2">
        <v>0</v>
      </c>
      <c r="AP416" s="2">
        <v>1782000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4"/>
      <c r="AX416" t="s">
        <v>75</v>
      </c>
      <c r="AZ416" t="s">
        <v>483</v>
      </c>
      <c r="BA416" t="s">
        <v>67</v>
      </c>
      <c r="BB416" t="s">
        <v>484</v>
      </c>
      <c r="BC416" t="s">
        <v>485</v>
      </c>
      <c r="BD416" t="s">
        <v>79</v>
      </c>
      <c r="BE416" t="s">
        <v>117</v>
      </c>
      <c r="BF416" s="5">
        <v>46569</v>
      </c>
      <c r="BG416" t="s">
        <v>67</v>
      </c>
      <c r="BH416">
        <v>2</v>
      </c>
      <c r="BI416" s="6">
        <v>600000</v>
      </c>
      <c r="BJ416" s="6">
        <v>44</v>
      </c>
      <c r="BK416" s="6">
        <v>264000</v>
      </c>
      <c r="BL416" s="6">
        <v>336000</v>
      </c>
      <c r="BM416" s="2">
        <v>672000</v>
      </c>
      <c r="BN416">
        <f>InvoiceTable[[#This Row],[Giảm giá]]*InvoiceTable[[#This Row],[Số lượng]]</f>
        <v>528000</v>
      </c>
    </row>
    <row r="417" spans="1:66" x14ac:dyDescent="0.25">
      <c r="A417" t="s">
        <v>65</v>
      </c>
      <c r="B417" t="s">
        <v>1593</v>
      </c>
      <c r="F417" s="2"/>
      <c r="G417" s="3">
        <v>46012.456959525465</v>
      </c>
      <c r="H417" s="3">
        <v>46012.456948067127</v>
      </c>
      <c r="I417" s="4" t="s">
        <v>1202</v>
      </c>
      <c r="J417" t="s">
        <v>1594</v>
      </c>
      <c r="K417" t="s">
        <v>67</v>
      </c>
      <c r="L417" t="s">
        <v>231</v>
      </c>
      <c r="M417" t="s">
        <v>232</v>
      </c>
      <c r="N417" t="s">
        <v>67</v>
      </c>
      <c r="O417" t="s">
        <v>233</v>
      </c>
      <c r="P417" t="s">
        <v>234</v>
      </c>
      <c r="S417" s="5"/>
      <c r="T417" t="s">
        <v>72</v>
      </c>
      <c r="U417" t="s">
        <v>73</v>
      </c>
      <c r="V417" t="s">
        <v>74</v>
      </c>
      <c r="W417" t="s">
        <v>102</v>
      </c>
      <c r="AE417" s="2"/>
      <c r="AF417" s="2"/>
      <c r="AG417" s="2"/>
      <c r="AH417" s="2"/>
      <c r="AK417" t="s">
        <v>1595</v>
      </c>
      <c r="AL417" s="2">
        <v>104400</v>
      </c>
      <c r="AM417" s="2">
        <v>0</v>
      </c>
      <c r="AN417" s="2"/>
      <c r="AO417" s="2">
        <v>0</v>
      </c>
      <c r="AP417" s="2">
        <v>104400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4"/>
      <c r="AX417" t="s">
        <v>75</v>
      </c>
      <c r="AZ417" t="s">
        <v>991</v>
      </c>
      <c r="BA417" t="s">
        <v>67</v>
      </c>
      <c r="BB417" t="s">
        <v>992</v>
      </c>
      <c r="BC417" t="s">
        <v>344</v>
      </c>
      <c r="BD417" t="s">
        <v>79</v>
      </c>
      <c r="BE417" t="s">
        <v>201</v>
      </c>
      <c r="BF417" s="5">
        <v>46966</v>
      </c>
      <c r="BH417">
        <v>1</v>
      </c>
      <c r="BI417" s="6">
        <v>180000</v>
      </c>
      <c r="BJ417" s="6">
        <v>42</v>
      </c>
      <c r="BK417" s="6">
        <v>75600</v>
      </c>
      <c r="BL417" s="6">
        <v>104400</v>
      </c>
      <c r="BM417" s="2">
        <v>104400</v>
      </c>
      <c r="BN417">
        <f>InvoiceTable[[#This Row],[Giảm giá]]*InvoiceTable[[#This Row],[Số lượng]]</f>
        <v>75600</v>
      </c>
    </row>
    <row r="418" spans="1:66" x14ac:dyDescent="0.25">
      <c r="A418" t="s">
        <v>65</v>
      </c>
      <c r="B418" t="s">
        <v>1596</v>
      </c>
      <c r="F418" s="2"/>
      <c r="G418" s="3">
        <v>46012.410249618057</v>
      </c>
      <c r="H418" s="3">
        <v>46012.410191932868</v>
      </c>
      <c r="I418" s="4" t="s">
        <v>96</v>
      </c>
      <c r="J418" t="s">
        <v>1597</v>
      </c>
      <c r="K418" t="s">
        <v>67</v>
      </c>
      <c r="L418" t="s">
        <v>1483</v>
      </c>
      <c r="M418" t="s">
        <v>1484</v>
      </c>
      <c r="N418" t="s">
        <v>67</v>
      </c>
      <c r="O418" t="s">
        <v>1485</v>
      </c>
      <c r="P418" t="s">
        <v>1486</v>
      </c>
      <c r="S418" s="5"/>
      <c r="T418" t="s">
        <v>72</v>
      </c>
      <c r="U418" t="s">
        <v>87</v>
      </c>
      <c r="V418" t="s">
        <v>74</v>
      </c>
      <c r="W418" t="s">
        <v>102</v>
      </c>
      <c r="AE418" s="2"/>
      <c r="AF418" s="2"/>
      <c r="AG418" s="2"/>
      <c r="AH418" s="2"/>
      <c r="AK418" t="s">
        <v>1598</v>
      </c>
      <c r="AL418" s="2">
        <v>359400</v>
      </c>
      <c r="AM418" s="2">
        <v>0</v>
      </c>
      <c r="AN418" s="2"/>
      <c r="AO418" s="2">
        <v>0</v>
      </c>
      <c r="AP418" s="2">
        <v>359400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4"/>
      <c r="AX418" t="s">
        <v>75</v>
      </c>
      <c r="AZ418" t="s">
        <v>1599</v>
      </c>
      <c r="BA418" t="s">
        <v>67</v>
      </c>
      <c r="BB418" t="s">
        <v>1600</v>
      </c>
      <c r="BC418" t="s">
        <v>1601</v>
      </c>
      <c r="BD418" t="s">
        <v>79</v>
      </c>
      <c r="BE418" t="s">
        <v>1035</v>
      </c>
      <c r="BF418" s="5">
        <v>46204</v>
      </c>
      <c r="BG418" t="s">
        <v>67</v>
      </c>
      <c r="BH418">
        <v>1</v>
      </c>
      <c r="BI418" s="6">
        <v>599000</v>
      </c>
      <c r="BJ418" s="6">
        <v>40</v>
      </c>
      <c r="BK418" s="6">
        <v>239600</v>
      </c>
      <c r="BL418" s="6">
        <v>359400</v>
      </c>
      <c r="BM418" s="2">
        <v>359400</v>
      </c>
      <c r="BN418">
        <f>InvoiceTable[[#This Row],[Giảm giá]]*InvoiceTable[[#This Row],[Số lượng]]</f>
        <v>239600</v>
      </c>
    </row>
    <row r="419" spans="1:66" x14ac:dyDescent="0.25">
      <c r="A419" t="s">
        <v>65</v>
      </c>
      <c r="B419" t="s">
        <v>1602</v>
      </c>
      <c r="F419" s="2"/>
      <c r="G419" s="3">
        <v>46012.408718368053</v>
      </c>
      <c r="H419" s="3">
        <v>46012.408660613422</v>
      </c>
      <c r="I419" s="4" t="s">
        <v>96</v>
      </c>
      <c r="J419" t="s">
        <v>67</v>
      </c>
      <c r="K419" t="s">
        <v>67</v>
      </c>
      <c r="L419" t="s">
        <v>455</v>
      </c>
      <c r="M419" t="s">
        <v>456</v>
      </c>
      <c r="N419" t="s">
        <v>67</v>
      </c>
      <c r="O419" t="s">
        <v>457</v>
      </c>
      <c r="P419" t="s">
        <v>458</v>
      </c>
      <c r="Q419" t="s">
        <v>459</v>
      </c>
      <c r="R419" t="s">
        <v>460</v>
      </c>
      <c r="S419" s="5"/>
      <c r="T419" t="s">
        <v>72</v>
      </c>
      <c r="U419" t="s">
        <v>102</v>
      </c>
      <c r="V419" t="s">
        <v>74</v>
      </c>
      <c r="W419" t="s">
        <v>102</v>
      </c>
      <c r="AE419" s="2"/>
      <c r="AF419" s="2"/>
      <c r="AG419" s="2"/>
      <c r="AH419" s="2"/>
      <c r="AL419" s="2">
        <v>0</v>
      </c>
      <c r="AM419" s="2">
        <v>0</v>
      </c>
      <c r="AN419" s="2"/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4"/>
      <c r="AX419" t="s">
        <v>75</v>
      </c>
      <c r="AZ419" t="s">
        <v>1603</v>
      </c>
      <c r="BA419" t="s">
        <v>67</v>
      </c>
      <c r="BB419" t="s">
        <v>1604</v>
      </c>
      <c r="BC419" t="s">
        <v>90</v>
      </c>
      <c r="BD419" t="s">
        <v>79</v>
      </c>
      <c r="BE419" t="s">
        <v>1605</v>
      </c>
      <c r="BF419" s="5">
        <v>46470</v>
      </c>
      <c r="BH419">
        <v>1</v>
      </c>
      <c r="BI419" s="6">
        <v>400000</v>
      </c>
      <c r="BJ419" s="6">
        <v>100</v>
      </c>
      <c r="BK419" s="6">
        <v>400000</v>
      </c>
      <c r="BL419" s="6">
        <v>0</v>
      </c>
      <c r="BM419" s="2">
        <v>0</v>
      </c>
      <c r="BN419">
        <f>InvoiceTable[[#This Row],[Giảm giá]]*InvoiceTable[[#This Row],[Số lượng]]</f>
        <v>400000</v>
      </c>
    </row>
    <row r="420" spans="1:66" x14ac:dyDescent="0.25">
      <c r="A420" t="s">
        <v>65</v>
      </c>
      <c r="B420" t="s">
        <v>1606</v>
      </c>
      <c r="F420" s="2"/>
      <c r="G420" s="3">
        <v>46012.403678391202</v>
      </c>
      <c r="H420" s="3">
        <v>46012.403666932871</v>
      </c>
      <c r="I420" s="4" t="s">
        <v>1515</v>
      </c>
      <c r="J420" t="s">
        <v>67</v>
      </c>
      <c r="K420" t="s">
        <v>67</v>
      </c>
      <c r="L420" t="s">
        <v>398</v>
      </c>
      <c r="M420" t="s">
        <v>399</v>
      </c>
      <c r="N420" t="s">
        <v>400</v>
      </c>
      <c r="O420" t="s">
        <v>401</v>
      </c>
      <c r="P420" t="s">
        <v>402</v>
      </c>
      <c r="S420" s="5"/>
      <c r="T420" t="s">
        <v>72</v>
      </c>
      <c r="U420" t="s">
        <v>102</v>
      </c>
      <c r="V420" t="s">
        <v>74</v>
      </c>
      <c r="W420" t="s">
        <v>102</v>
      </c>
      <c r="AE420" s="2"/>
      <c r="AF420" s="2"/>
      <c r="AG420" s="2"/>
      <c r="AH420" s="2"/>
      <c r="AK420" t="s">
        <v>403</v>
      </c>
      <c r="AL420" s="2">
        <v>544500</v>
      </c>
      <c r="AM420" s="2">
        <v>0</v>
      </c>
      <c r="AN420" s="2"/>
      <c r="AO420" s="2">
        <v>0</v>
      </c>
      <c r="AP420" s="2">
        <v>544500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4"/>
      <c r="AX420" t="s">
        <v>75</v>
      </c>
      <c r="AZ420" t="s">
        <v>404</v>
      </c>
      <c r="BA420" t="s">
        <v>67</v>
      </c>
      <c r="BB420" t="s">
        <v>405</v>
      </c>
      <c r="BC420" t="s">
        <v>406</v>
      </c>
      <c r="BD420" t="s">
        <v>79</v>
      </c>
      <c r="BE420" t="s">
        <v>131</v>
      </c>
      <c r="BF420" s="5">
        <v>46874</v>
      </c>
      <c r="BH420">
        <v>1</v>
      </c>
      <c r="BI420" s="6">
        <v>990000</v>
      </c>
      <c r="BJ420" s="6">
        <v>45</v>
      </c>
      <c r="BK420" s="6">
        <v>445500</v>
      </c>
      <c r="BL420" s="6">
        <v>544500</v>
      </c>
      <c r="BM420" s="2">
        <v>544500</v>
      </c>
      <c r="BN420">
        <f>InvoiceTable[[#This Row],[Giảm giá]]*InvoiceTable[[#This Row],[Số lượng]]</f>
        <v>445500</v>
      </c>
    </row>
    <row r="421" spans="1:66" x14ac:dyDescent="0.25">
      <c r="A421" t="s">
        <v>65</v>
      </c>
      <c r="B421" t="s">
        <v>1607</v>
      </c>
      <c r="F421" s="2"/>
      <c r="G421" s="3">
        <v>46012.391404594906</v>
      </c>
      <c r="H421" s="3">
        <v>46012.391346840275</v>
      </c>
      <c r="I421" s="4" t="s">
        <v>96</v>
      </c>
      <c r="J421" t="s">
        <v>1608</v>
      </c>
      <c r="K421" t="s">
        <v>67</v>
      </c>
      <c r="L421" t="s">
        <v>1609</v>
      </c>
      <c r="M421" t="s">
        <v>1610</v>
      </c>
      <c r="N421" t="s">
        <v>67</v>
      </c>
      <c r="O421" t="s">
        <v>1611</v>
      </c>
      <c r="P421" t="s">
        <v>1612</v>
      </c>
      <c r="Q421" t="s">
        <v>67</v>
      </c>
      <c r="R421" t="s">
        <v>67</v>
      </c>
      <c r="S421" s="5"/>
      <c r="T421" t="s">
        <v>72</v>
      </c>
      <c r="U421" t="s">
        <v>87</v>
      </c>
      <c r="V421" t="s">
        <v>74</v>
      </c>
      <c r="W421" t="s">
        <v>102</v>
      </c>
      <c r="AE421" s="2"/>
      <c r="AF421" s="2"/>
      <c r="AG421" s="2"/>
      <c r="AH421" s="2"/>
      <c r="AK421" t="s">
        <v>1613</v>
      </c>
      <c r="AL421" s="2">
        <v>260760</v>
      </c>
      <c r="AM421" s="2">
        <v>0</v>
      </c>
      <c r="AN421" s="2"/>
      <c r="AO421" s="2">
        <v>0</v>
      </c>
      <c r="AP421" s="2">
        <v>260760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4"/>
      <c r="AX421" t="s">
        <v>75</v>
      </c>
      <c r="AZ421" t="s">
        <v>1614</v>
      </c>
      <c r="BA421" t="s">
        <v>67</v>
      </c>
      <c r="BB421" t="s">
        <v>1615</v>
      </c>
      <c r="BC421" t="s">
        <v>1616</v>
      </c>
      <c r="BD421" t="s">
        <v>79</v>
      </c>
      <c r="BE421" t="s">
        <v>139</v>
      </c>
      <c r="BF421" s="5">
        <v>46447</v>
      </c>
      <c r="BG421" t="s">
        <v>67</v>
      </c>
      <c r="BH421">
        <v>1</v>
      </c>
      <c r="BI421" s="6">
        <v>318000</v>
      </c>
      <c r="BJ421" s="6">
        <v>18</v>
      </c>
      <c r="BK421" s="6">
        <v>57240</v>
      </c>
      <c r="BL421" s="6">
        <v>260760</v>
      </c>
      <c r="BM421" s="2">
        <v>260760</v>
      </c>
      <c r="BN421">
        <f>InvoiceTable[[#This Row],[Giảm giá]]*InvoiceTable[[#This Row],[Số lượng]]</f>
        <v>57240</v>
      </c>
    </row>
    <row r="422" spans="1:66" x14ac:dyDescent="0.25">
      <c r="A422" t="s">
        <v>65</v>
      </c>
      <c r="B422" t="s">
        <v>1617</v>
      </c>
      <c r="F422" s="2"/>
      <c r="G422" s="3">
        <v>46012.386568368056</v>
      </c>
      <c r="H422" s="3">
        <v>46012.386568483795</v>
      </c>
      <c r="I422" s="4" t="s">
        <v>67</v>
      </c>
      <c r="J422" t="s">
        <v>1618</v>
      </c>
      <c r="K422" t="s">
        <v>67</v>
      </c>
      <c r="L422" t="s">
        <v>1609</v>
      </c>
      <c r="M422" t="s">
        <v>1610</v>
      </c>
      <c r="N422" t="s">
        <v>67</v>
      </c>
      <c r="O422" t="s">
        <v>1611</v>
      </c>
      <c r="P422" t="s">
        <v>1612</v>
      </c>
      <c r="Q422" t="s">
        <v>67</v>
      </c>
      <c r="R422" t="s">
        <v>67</v>
      </c>
      <c r="S422" s="5"/>
      <c r="T422" t="s">
        <v>72</v>
      </c>
      <c r="U422" t="s">
        <v>87</v>
      </c>
      <c r="V422" t="s">
        <v>74</v>
      </c>
      <c r="W422" t="s">
        <v>102</v>
      </c>
      <c r="AE422" s="2"/>
      <c r="AF422" s="2"/>
      <c r="AG422" s="2"/>
      <c r="AH422" s="2"/>
      <c r="AK422" t="s">
        <v>1619</v>
      </c>
      <c r="AL422" s="2">
        <v>380000</v>
      </c>
      <c r="AM422" s="2">
        <v>0</v>
      </c>
      <c r="AN422" s="2"/>
      <c r="AO422" s="2">
        <v>0</v>
      </c>
      <c r="AP422" s="2">
        <v>380000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4"/>
      <c r="AX422" t="s">
        <v>75</v>
      </c>
      <c r="AZ422" t="s">
        <v>1620</v>
      </c>
      <c r="BA422" t="s">
        <v>67</v>
      </c>
      <c r="BB422" t="s">
        <v>1621</v>
      </c>
      <c r="BC422" t="s">
        <v>126</v>
      </c>
      <c r="BD422" t="s">
        <v>79</v>
      </c>
      <c r="BE422" t="s">
        <v>155</v>
      </c>
      <c r="BF422" s="5">
        <v>46600</v>
      </c>
      <c r="BG422" t="s">
        <v>67</v>
      </c>
      <c r="BH422">
        <v>1</v>
      </c>
      <c r="BI422" s="6">
        <v>450000</v>
      </c>
      <c r="BJ422" s="6">
        <v>0</v>
      </c>
      <c r="BK422" s="6">
        <v>70000</v>
      </c>
      <c r="BL422" s="6">
        <v>380000</v>
      </c>
      <c r="BM422" s="2">
        <v>380000</v>
      </c>
      <c r="BN422">
        <f>InvoiceTable[[#This Row],[Giảm giá]]*InvoiceTable[[#This Row],[Số lượng]]</f>
        <v>70000</v>
      </c>
    </row>
    <row r="423" spans="1:66" x14ac:dyDescent="0.25">
      <c r="A423" t="s">
        <v>65</v>
      </c>
      <c r="B423" t="s">
        <v>1622</v>
      </c>
      <c r="F423" s="2"/>
      <c r="G423" s="3">
        <v>46012.386423495373</v>
      </c>
      <c r="H423" s="3">
        <v>46012.386377395836</v>
      </c>
      <c r="I423" s="4" t="s">
        <v>96</v>
      </c>
      <c r="J423" t="s">
        <v>1623</v>
      </c>
      <c r="K423" t="s">
        <v>67</v>
      </c>
      <c r="L423" t="s">
        <v>1624</v>
      </c>
      <c r="M423" t="s">
        <v>1625</v>
      </c>
      <c r="N423" t="s">
        <v>1626</v>
      </c>
      <c r="O423" t="s">
        <v>1627</v>
      </c>
      <c r="P423" t="s">
        <v>1628</v>
      </c>
      <c r="S423" s="5"/>
      <c r="T423" t="s">
        <v>72</v>
      </c>
      <c r="U423" t="s">
        <v>87</v>
      </c>
      <c r="V423" t="s">
        <v>74</v>
      </c>
      <c r="W423" t="s">
        <v>102</v>
      </c>
      <c r="AE423" s="2"/>
      <c r="AF423" s="2"/>
      <c r="AG423" s="2"/>
      <c r="AH423" s="2"/>
      <c r="AK423" t="s">
        <v>282</v>
      </c>
      <c r="AL423" s="2">
        <v>324500</v>
      </c>
      <c r="AM423" s="2">
        <v>0</v>
      </c>
      <c r="AN423" s="2"/>
      <c r="AO423" s="2">
        <v>0</v>
      </c>
      <c r="AP423" s="2">
        <v>324500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4"/>
      <c r="AX423" t="s">
        <v>75</v>
      </c>
      <c r="AZ423" t="s">
        <v>1629</v>
      </c>
      <c r="BA423" t="s">
        <v>67</v>
      </c>
      <c r="BB423" t="s">
        <v>1630</v>
      </c>
      <c r="BC423" t="s">
        <v>721</v>
      </c>
      <c r="BD423" t="s">
        <v>79</v>
      </c>
      <c r="BE423" t="s">
        <v>1631</v>
      </c>
      <c r="BF423" s="5">
        <v>46898</v>
      </c>
      <c r="BG423" t="s">
        <v>67</v>
      </c>
      <c r="BH423">
        <v>1</v>
      </c>
      <c r="BI423" s="6">
        <v>590000</v>
      </c>
      <c r="BJ423" s="6">
        <v>45</v>
      </c>
      <c r="BK423" s="6">
        <v>265500</v>
      </c>
      <c r="BL423" s="6">
        <v>324500</v>
      </c>
      <c r="BM423" s="2">
        <v>324500</v>
      </c>
      <c r="BN423">
        <f>InvoiceTable[[#This Row],[Giảm giá]]*InvoiceTable[[#This Row],[Số lượng]]</f>
        <v>265500</v>
      </c>
    </row>
    <row r="424" spans="1:66" x14ac:dyDescent="0.25">
      <c r="A424" t="s">
        <v>65</v>
      </c>
      <c r="B424" t="s">
        <v>1632</v>
      </c>
      <c r="F424" s="2"/>
      <c r="G424" s="3">
        <v>46012.386149999998</v>
      </c>
      <c r="H424" s="3">
        <v>46012.386150115737</v>
      </c>
      <c r="I424" s="4" t="s">
        <v>67</v>
      </c>
      <c r="J424" t="s">
        <v>1633</v>
      </c>
      <c r="K424" t="s">
        <v>67</v>
      </c>
      <c r="L424" t="s">
        <v>231</v>
      </c>
      <c r="M424" t="s">
        <v>232</v>
      </c>
      <c r="N424" t="s">
        <v>67</v>
      </c>
      <c r="O424" t="s">
        <v>233</v>
      </c>
      <c r="P424" t="s">
        <v>234</v>
      </c>
      <c r="S424" s="5"/>
      <c r="T424" t="s">
        <v>72</v>
      </c>
      <c r="U424" t="s">
        <v>73</v>
      </c>
      <c r="V424" t="s">
        <v>74</v>
      </c>
      <c r="W424" t="s">
        <v>102</v>
      </c>
      <c r="AE424" s="2"/>
      <c r="AF424" s="2"/>
      <c r="AG424" s="2"/>
      <c r="AH424" s="2"/>
      <c r="AL424" s="2">
        <v>2618250</v>
      </c>
      <c r="AM424" s="2">
        <v>0</v>
      </c>
      <c r="AN424" s="2"/>
      <c r="AO424" s="2">
        <v>0</v>
      </c>
      <c r="AP424" s="2">
        <v>2618250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4"/>
      <c r="AX424" t="s">
        <v>75</v>
      </c>
      <c r="AZ424" t="s">
        <v>991</v>
      </c>
      <c r="BA424" t="s">
        <v>67</v>
      </c>
      <c r="BB424" t="s">
        <v>992</v>
      </c>
      <c r="BC424" t="s">
        <v>344</v>
      </c>
      <c r="BD424" t="s">
        <v>79</v>
      </c>
      <c r="BE424" t="s">
        <v>201</v>
      </c>
      <c r="BF424" s="5">
        <v>46966</v>
      </c>
      <c r="BH424">
        <v>10</v>
      </c>
      <c r="BI424" s="6">
        <v>180000</v>
      </c>
      <c r="BJ424" s="6">
        <v>42</v>
      </c>
      <c r="BK424" s="6">
        <v>75600</v>
      </c>
      <c r="BL424" s="6">
        <v>104400</v>
      </c>
      <c r="BM424" s="2">
        <v>1044000</v>
      </c>
      <c r="BN424">
        <f>InvoiceTable[[#This Row],[Giảm giá]]*InvoiceTable[[#This Row],[Số lượng]]</f>
        <v>756000</v>
      </c>
    </row>
    <row r="425" spans="1:66" x14ac:dyDescent="0.25">
      <c r="A425" t="s">
        <v>65</v>
      </c>
      <c r="B425" t="s">
        <v>1632</v>
      </c>
      <c r="F425" s="2"/>
      <c r="G425" s="3">
        <v>46012.386149999998</v>
      </c>
      <c r="H425" s="3">
        <v>46012.386150115737</v>
      </c>
      <c r="I425" s="4" t="s">
        <v>67</v>
      </c>
      <c r="J425" t="s">
        <v>1633</v>
      </c>
      <c r="K425" t="s">
        <v>67</v>
      </c>
      <c r="L425" t="s">
        <v>231</v>
      </c>
      <c r="M425" t="s">
        <v>232</v>
      </c>
      <c r="N425" t="s">
        <v>67</v>
      </c>
      <c r="O425" t="s">
        <v>233</v>
      </c>
      <c r="P425" t="s">
        <v>234</v>
      </c>
      <c r="S425" s="5"/>
      <c r="T425" t="s">
        <v>72</v>
      </c>
      <c r="U425" t="s">
        <v>73</v>
      </c>
      <c r="V425" t="s">
        <v>74</v>
      </c>
      <c r="W425" t="s">
        <v>102</v>
      </c>
      <c r="AE425" s="2"/>
      <c r="AF425" s="2"/>
      <c r="AG425" s="2"/>
      <c r="AH425" s="2"/>
      <c r="AL425" s="2">
        <v>2618250</v>
      </c>
      <c r="AM425" s="2">
        <v>0</v>
      </c>
      <c r="AN425" s="2"/>
      <c r="AO425" s="2">
        <v>0</v>
      </c>
      <c r="AP425" s="2">
        <v>2618250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4"/>
      <c r="AX425" t="s">
        <v>75</v>
      </c>
      <c r="AZ425" t="s">
        <v>1634</v>
      </c>
      <c r="BA425" t="s">
        <v>67</v>
      </c>
      <c r="BB425" t="s">
        <v>1635</v>
      </c>
      <c r="BC425" t="s">
        <v>78</v>
      </c>
      <c r="BD425" t="s">
        <v>79</v>
      </c>
      <c r="BE425" t="s">
        <v>142</v>
      </c>
      <c r="BF425" s="5">
        <v>46844</v>
      </c>
      <c r="BH425">
        <v>5</v>
      </c>
      <c r="BI425" s="6">
        <v>80000</v>
      </c>
      <c r="BJ425" s="6">
        <v>45</v>
      </c>
      <c r="BK425" s="6">
        <v>36000</v>
      </c>
      <c r="BL425" s="6">
        <v>44000</v>
      </c>
      <c r="BM425" s="2">
        <v>220000</v>
      </c>
      <c r="BN425">
        <f>InvoiceTable[[#This Row],[Giảm giá]]*InvoiceTable[[#This Row],[Số lượng]]</f>
        <v>180000</v>
      </c>
    </row>
    <row r="426" spans="1:66" x14ac:dyDescent="0.25">
      <c r="A426" t="s">
        <v>65</v>
      </c>
      <c r="B426" t="s">
        <v>1632</v>
      </c>
      <c r="F426" s="2"/>
      <c r="G426" s="3">
        <v>46012.386149999998</v>
      </c>
      <c r="H426" s="3">
        <v>46012.386150115737</v>
      </c>
      <c r="I426" s="4" t="s">
        <v>67</v>
      </c>
      <c r="J426" t="s">
        <v>1633</v>
      </c>
      <c r="K426" t="s">
        <v>67</v>
      </c>
      <c r="L426" t="s">
        <v>231</v>
      </c>
      <c r="M426" t="s">
        <v>232</v>
      </c>
      <c r="N426" t="s">
        <v>67</v>
      </c>
      <c r="O426" t="s">
        <v>233</v>
      </c>
      <c r="P426" t="s">
        <v>234</v>
      </c>
      <c r="S426" s="5"/>
      <c r="T426" t="s">
        <v>72</v>
      </c>
      <c r="U426" t="s">
        <v>73</v>
      </c>
      <c r="V426" t="s">
        <v>74</v>
      </c>
      <c r="W426" t="s">
        <v>102</v>
      </c>
      <c r="AE426" s="2"/>
      <c r="AF426" s="2"/>
      <c r="AG426" s="2"/>
      <c r="AH426" s="2"/>
      <c r="AL426" s="2">
        <v>2618250</v>
      </c>
      <c r="AM426" s="2">
        <v>0</v>
      </c>
      <c r="AN426" s="2"/>
      <c r="AO426" s="2">
        <v>0</v>
      </c>
      <c r="AP426" s="2">
        <v>2618250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4"/>
      <c r="AX426" t="s">
        <v>75</v>
      </c>
      <c r="AZ426" t="s">
        <v>1636</v>
      </c>
      <c r="BA426" t="s">
        <v>67</v>
      </c>
      <c r="BB426" t="s">
        <v>1637</v>
      </c>
      <c r="BC426" t="s">
        <v>1489</v>
      </c>
      <c r="BD426" t="s">
        <v>79</v>
      </c>
      <c r="BE426" t="s">
        <v>1638</v>
      </c>
      <c r="BF426" s="5">
        <v>46054</v>
      </c>
      <c r="BH426">
        <v>1</v>
      </c>
      <c r="BI426" s="6">
        <v>145000</v>
      </c>
      <c r="BJ426" s="6">
        <v>35</v>
      </c>
      <c r="BK426" s="6">
        <v>50750</v>
      </c>
      <c r="BL426" s="6">
        <v>94250</v>
      </c>
      <c r="BM426" s="2">
        <v>94250</v>
      </c>
      <c r="BN426">
        <f>InvoiceTable[[#This Row],[Giảm giá]]*InvoiceTable[[#This Row],[Số lượng]]</f>
        <v>50750</v>
      </c>
    </row>
    <row r="427" spans="1:66" x14ac:dyDescent="0.25">
      <c r="A427" t="s">
        <v>65</v>
      </c>
      <c r="B427" t="s">
        <v>1632</v>
      </c>
      <c r="F427" s="2"/>
      <c r="G427" s="3">
        <v>46012.386149999998</v>
      </c>
      <c r="H427" s="3">
        <v>46012.386150115737</v>
      </c>
      <c r="I427" s="4" t="s">
        <v>67</v>
      </c>
      <c r="J427" t="s">
        <v>1633</v>
      </c>
      <c r="K427" t="s">
        <v>67</v>
      </c>
      <c r="L427" t="s">
        <v>231</v>
      </c>
      <c r="M427" t="s">
        <v>232</v>
      </c>
      <c r="N427" t="s">
        <v>67</v>
      </c>
      <c r="O427" t="s">
        <v>233</v>
      </c>
      <c r="P427" t="s">
        <v>234</v>
      </c>
      <c r="S427" s="5"/>
      <c r="T427" t="s">
        <v>72</v>
      </c>
      <c r="U427" t="s">
        <v>73</v>
      </c>
      <c r="V427" t="s">
        <v>74</v>
      </c>
      <c r="W427" t="s">
        <v>102</v>
      </c>
      <c r="AE427" s="2"/>
      <c r="AF427" s="2"/>
      <c r="AG427" s="2"/>
      <c r="AH427" s="2"/>
      <c r="AL427" s="2">
        <v>2618250</v>
      </c>
      <c r="AM427" s="2">
        <v>0</v>
      </c>
      <c r="AN427" s="2"/>
      <c r="AO427" s="2">
        <v>0</v>
      </c>
      <c r="AP427" s="2">
        <v>2618250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4"/>
      <c r="AX427" t="s">
        <v>75</v>
      </c>
      <c r="AZ427" t="s">
        <v>325</v>
      </c>
      <c r="BA427" t="s">
        <v>67</v>
      </c>
      <c r="BB427" t="s">
        <v>326</v>
      </c>
      <c r="BC427" t="s">
        <v>327</v>
      </c>
      <c r="BD427" t="s">
        <v>79</v>
      </c>
      <c r="BE427" t="s">
        <v>131</v>
      </c>
      <c r="BF427" s="5">
        <v>46874</v>
      </c>
      <c r="BH427">
        <v>15</v>
      </c>
      <c r="BI427" s="6">
        <v>120000</v>
      </c>
      <c r="BJ427" s="6">
        <v>0</v>
      </c>
      <c r="BK427" s="6">
        <v>57000</v>
      </c>
      <c r="BL427" s="6">
        <v>63000</v>
      </c>
      <c r="BM427" s="2">
        <v>945000</v>
      </c>
      <c r="BN427">
        <f>InvoiceTable[[#This Row],[Giảm giá]]*InvoiceTable[[#This Row],[Số lượng]]</f>
        <v>855000</v>
      </c>
    </row>
    <row r="428" spans="1:66" x14ac:dyDescent="0.25">
      <c r="A428" t="s">
        <v>65</v>
      </c>
      <c r="B428" t="s">
        <v>1632</v>
      </c>
      <c r="F428" s="2"/>
      <c r="G428" s="3">
        <v>46012.386149999998</v>
      </c>
      <c r="H428" s="3">
        <v>46012.386150115737</v>
      </c>
      <c r="I428" s="4" t="s">
        <v>67</v>
      </c>
      <c r="J428" t="s">
        <v>1633</v>
      </c>
      <c r="K428" t="s">
        <v>67</v>
      </c>
      <c r="L428" t="s">
        <v>231</v>
      </c>
      <c r="M428" t="s">
        <v>232</v>
      </c>
      <c r="N428" t="s">
        <v>67</v>
      </c>
      <c r="O428" t="s">
        <v>233</v>
      </c>
      <c r="P428" t="s">
        <v>234</v>
      </c>
      <c r="S428" s="5"/>
      <c r="T428" t="s">
        <v>72</v>
      </c>
      <c r="U428" t="s">
        <v>73</v>
      </c>
      <c r="V428" t="s">
        <v>74</v>
      </c>
      <c r="W428" t="s">
        <v>102</v>
      </c>
      <c r="AE428" s="2"/>
      <c r="AF428" s="2"/>
      <c r="AG428" s="2"/>
      <c r="AH428" s="2"/>
      <c r="AL428" s="2">
        <v>2618250</v>
      </c>
      <c r="AM428" s="2">
        <v>0</v>
      </c>
      <c r="AN428" s="2"/>
      <c r="AO428" s="2">
        <v>0</v>
      </c>
      <c r="AP428" s="2">
        <v>2618250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4"/>
      <c r="AX428" t="s">
        <v>75</v>
      </c>
      <c r="AZ428" t="s">
        <v>325</v>
      </c>
      <c r="BA428" t="s">
        <v>67</v>
      </c>
      <c r="BB428" t="s">
        <v>326</v>
      </c>
      <c r="BC428" t="s">
        <v>327</v>
      </c>
      <c r="BD428" t="s">
        <v>79</v>
      </c>
      <c r="BE428" t="s">
        <v>328</v>
      </c>
      <c r="BF428" s="5">
        <v>47042</v>
      </c>
      <c r="BG428" t="s">
        <v>67</v>
      </c>
      <c r="BH428">
        <v>5</v>
      </c>
      <c r="BI428" s="6">
        <v>120000</v>
      </c>
      <c r="BJ428" s="6">
        <v>0</v>
      </c>
      <c r="BK428" s="6">
        <v>57000</v>
      </c>
      <c r="BL428" s="6">
        <v>63000</v>
      </c>
      <c r="BM428" s="2">
        <v>315000</v>
      </c>
      <c r="BN428">
        <f>InvoiceTable[[#This Row],[Giảm giá]]*InvoiceTable[[#This Row],[Số lượng]]</f>
        <v>285000</v>
      </c>
    </row>
    <row r="429" spans="1:66" x14ac:dyDescent="0.25">
      <c r="A429" t="s">
        <v>65</v>
      </c>
      <c r="B429" t="s">
        <v>1639</v>
      </c>
      <c r="F429" s="2"/>
      <c r="G429" s="3">
        <v>46011.736268437497</v>
      </c>
      <c r="H429" s="3">
        <v>46011.736268553243</v>
      </c>
      <c r="I429" s="4" t="s">
        <v>67</v>
      </c>
      <c r="J429" t="s">
        <v>1640</v>
      </c>
      <c r="K429" t="s">
        <v>67</v>
      </c>
      <c r="L429" t="s">
        <v>1157</v>
      </c>
      <c r="M429" t="s">
        <v>1158</v>
      </c>
      <c r="N429" t="s">
        <v>67</v>
      </c>
      <c r="O429" t="s">
        <v>1159</v>
      </c>
      <c r="P429" t="s">
        <v>1160</v>
      </c>
      <c r="Q429" t="s">
        <v>67</v>
      </c>
      <c r="R429" t="s">
        <v>67</v>
      </c>
      <c r="S429" s="5"/>
      <c r="T429" t="s">
        <v>72</v>
      </c>
      <c r="U429" t="s">
        <v>87</v>
      </c>
      <c r="V429" t="s">
        <v>74</v>
      </c>
      <c r="W429" t="s">
        <v>102</v>
      </c>
      <c r="AE429" s="2"/>
      <c r="AF429" s="2"/>
      <c r="AG429" s="2"/>
      <c r="AH429" s="2"/>
      <c r="AK429" t="s">
        <v>1641</v>
      </c>
      <c r="AL429" s="2">
        <v>2310000</v>
      </c>
      <c r="AM429" s="2">
        <v>0</v>
      </c>
      <c r="AN429" s="2"/>
      <c r="AO429" s="2">
        <v>0</v>
      </c>
      <c r="AP429" s="2">
        <v>2310000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4"/>
      <c r="AX429" t="s">
        <v>75</v>
      </c>
      <c r="AZ429" t="s">
        <v>1642</v>
      </c>
      <c r="BA429" t="s">
        <v>67</v>
      </c>
      <c r="BB429" t="s">
        <v>1643</v>
      </c>
      <c r="BC429" t="s">
        <v>391</v>
      </c>
      <c r="BD429" t="s">
        <v>79</v>
      </c>
      <c r="BE429" t="s">
        <v>1644</v>
      </c>
      <c r="BF429" s="5">
        <v>46908</v>
      </c>
      <c r="BG429" t="s">
        <v>67</v>
      </c>
      <c r="BH429">
        <v>3</v>
      </c>
      <c r="BI429" s="6">
        <v>1400000</v>
      </c>
      <c r="BJ429" s="6">
        <v>45</v>
      </c>
      <c r="BK429" s="6">
        <v>630000</v>
      </c>
      <c r="BL429" s="6">
        <v>770000</v>
      </c>
      <c r="BM429" s="2">
        <v>2310000</v>
      </c>
      <c r="BN429">
        <f>InvoiceTable[[#This Row],[Giảm giá]]*InvoiceTable[[#This Row],[Số lượng]]</f>
        <v>1890000</v>
      </c>
    </row>
    <row r="430" spans="1:66" x14ac:dyDescent="0.25">
      <c r="A430" t="s">
        <v>65</v>
      </c>
      <c r="B430" t="s">
        <v>1645</v>
      </c>
      <c r="F430" s="2"/>
      <c r="G430" s="3">
        <v>46011.732171527779</v>
      </c>
      <c r="H430" s="3">
        <v>46011.732171678239</v>
      </c>
      <c r="I430" s="4" t="s">
        <v>67</v>
      </c>
      <c r="J430" t="s">
        <v>1646</v>
      </c>
      <c r="K430" t="s">
        <v>67</v>
      </c>
      <c r="L430" t="s">
        <v>1647</v>
      </c>
      <c r="M430" t="s">
        <v>1648</v>
      </c>
      <c r="N430" t="s">
        <v>1649</v>
      </c>
      <c r="O430" t="s">
        <v>1650</v>
      </c>
      <c r="P430" t="s">
        <v>1651</v>
      </c>
      <c r="S430" s="5"/>
      <c r="T430" t="s">
        <v>72</v>
      </c>
      <c r="U430" t="s">
        <v>87</v>
      </c>
      <c r="V430" t="s">
        <v>74</v>
      </c>
      <c r="W430" t="s">
        <v>102</v>
      </c>
      <c r="AE430" s="2"/>
      <c r="AF430" s="2"/>
      <c r="AG430" s="2"/>
      <c r="AH430" s="2"/>
      <c r="AK430" t="s">
        <v>1652</v>
      </c>
      <c r="AL430" s="2">
        <v>468720</v>
      </c>
      <c r="AM430" s="2">
        <v>0</v>
      </c>
      <c r="AN430" s="2"/>
      <c r="AO430" s="2">
        <v>0</v>
      </c>
      <c r="AP430" s="2">
        <v>468720</v>
      </c>
      <c r="AQ430" s="2">
        <v>468720</v>
      </c>
      <c r="AR430" s="2">
        <v>0</v>
      </c>
      <c r="AS430" s="2">
        <v>0</v>
      </c>
      <c r="AT430" s="2">
        <v>0</v>
      </c>
      <c r="AU430" s="2">
        <v>468720</v>
      </c>
      <c r="AV430" s="2">
        <v>0</v>
      </c>
      <c r="AW430" s="4"/>
      <c r="AX430" t="s">
        <v>75</v>
      </c>
      <c r="AZ430" t="s">
        <v>1337</v>
      </c>
      <c r="BA430" t="s">
        <v>67</v>
      </c>
      <c r="BB430" t="s">
        <v>1338</v>
      </c>
      <c r="BC430" t="s">
        <v>567</v>
      </c>
      <c r="BD430" t="s">
        <v>79</v>
      </c>
      <c r="BE430" t="s">
        <v>434</v>
      </c>
      <c r="BF430" s="5">
        <v>46661</v>
      </c>
      <c r="BH430">
        <v>1</v>
      </c>
      <c r="BI430" s="6">
        <v>756000</v>
      </c>
      <c r="BJ430" s="6">
        <v>38</v>
      </c>
      <c r="BK430" s="6">
        <v>287280</v>
      </c>
      <c r="BL430" s="6">
        <v>468720</v>
      </c>
      <c r="BM430" s="2">
        <v>468720</v>
      </c>
      <c r="BN430">
        <f>InvoiceTable[[#This Row],[Giảm giá]]*InvoiceTable[[#This Row],[Số lượng]]</f>
        <v>287280</v>
      </c>
    </row>
    <row r="431" spans="1:66" x14ac:dyDescent="0.25">
      <c r="A431" t="s">
        <v>65</v>
      </c>
      <c r="B431" t="s">
        <v>1653</v>
      </c>
      <c r="F431" s="2"/>
      <c r="G431" s="3">
        <v>46011.731327858797</v>
      </c>
      <c r="H431" s="3">
        <v>46011.731327974536</v>
      </c>
      <c r="I431" s="4" t="s">
        <v>67</v>
      </c>
      <c r="J431" t="s">
        <v>67</v>
      </c>
      <c r="K431" t="s">
        <v>67</v>
      </c>
      <c r="L431" t="s">
        <v>350</v>
      </c>
      <c r="M431" t="s">
        <v>351</v>
      </c>
      <c r="N431" t="s">
        <v>67</v>
      </c>
      <c r="O431" t="s">
        <v>352</v>
      </c>
      <c r="P431" t="s">
        <v>353</v>
      </c>
      <c r="S431" s="5"/>
      <c r="T431" t="s">
        <v>72</v>
      </c>
      <c r="U431" t="s">
        <v>87</v>
      </c>
      <c r="V431" t="s">
        <v>74</v>
      </c>
      <c r="W431" t="s">
        <v>87</v>
      </c>
      <c r="AE431" s="2"/>
      <c r="AF431" s="2"/>
      <c r="AG431" s="2"/>
      <c r="AH431" s="2"/>
      <c r="AK431" t="s">
        <v>354</v>
      </c>
      <c r="AL431" s="2">
        <v>14632000</v>
      </c>
      <c r="AM431" s="2">
        <v>0</v>
      </c>
      <c r="AN431" s="2"/>
      <c r="AO431" s="2">
        <v>0</v>
      </c>
      <c r="AP431" s="2">
        <v>14632000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4"/>
      <c r="AX431" t="s">
        <v>75</v>
      </c>
      <c r="AZ431" t="s">
        <v>1654</v>
      </c>
      <c r="BA431" t="s">
        <v>67</v>
      </c>
      <c r="BB431" t="s">
        <v>1655</v>
      </c>
      <c r="BC431" t="s">
        <v>1656</v>
      </c>
      <c r="BD431" t="s">
        <v>79</v>
      </c>
      <c r="BE431" t="s">
        <v>168</v>
      </c>
      <c r="BF431" s="5">
        <v>46388</v>
      </c>
      <c r="BH431">
        <v>10</v>
      </c>
      <c r="BI431" s="6">
        <v>2360000</v>
      </c>
      <c r="BJ431" s="6">
        <v>38</v>
      </c>
      <c r="BK431" s="6">
        <v>896800</v>
      </c>
      <c r="BL431" s="6">
        <v>1463200</v>
      </c>
      <c r="BM431" s="2">
        <v>14632000</v>
      </c>
      <c r="BN431">
        <f>InvoiceTable[[#This Row],[Giảm giá]]*InvoiceTable[[#This Row],[Số lượng]]</f>
        <v>8968000</v>
      </c>
    </row>
    <row r="432" spans="1:66" x14ac:dyDescent="0.25">
      <c r="A432" t="s">
        <v>65</v>
      </c>
      <c r="B432" t="s">
        <v>1657</v>
      </c>
      <c r="F432" s="2"/>
      <c r="G432" s="3">
        <v>46011.730771793984</v>
      </c>
      <c r="H432" s="3">
        <v>46011.730771909723</v>
      </c>
      <c r="I432" s="4" t="s">
        <v>67</v>
      </c>
      <c r="J432" t="s">
        <v>67</v>
      </c>
      <c r="K432" t="s">
        <v>67</v>
      </c>
      <c r="L432" t="s">
        <v>569</v>
      </c>
      <c r="M432" t="s">
        <v>570</v>
      </c>
      <c r="N432" t="s">
        <v>67</v>
      </c>
      <c r="O432" t="s">
        <v>571</v>
      </c>
      <c r="P432" t="s">
        <v>572</v>
      </c>
      <c r="S432" s="5"/>
      <c r="T432" t="s">
        <v>72</v>
      </c>
      <c r="U432" t="s">
        <v>87</v>
      </c>
      <c r="V432" t="s">
        <v>74</v>
      </c>
      <c r="W432" t="s">
        <v>87</v>
      </c>
      <c r="AE432" s="2"/>
      <c r="AF432" s="2"/>
      <c r="AG432" s="2"/>
      <c r="AH432" s="2"/>
      <c r="AK432" t="s">
        <v>1652</v>
      </c>
      <c r="AL432" s="2">
        <v>2449000</v>
      </c>
      <c r="AM432" s="2">
        <v>0</v>
      </c>
      <c r="AN432" s="2"/>
      <c r="AO432" s="2">
        <v>0</v>
      </c>
      <c r="AP432" s="2">
        <v>2449000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4"/>
      <c r="AX432" t="s">
        <v>75</v>
      </c>
      <c r="AZ432" t="s">
        <v>1658</v>
      </c>
      <c r="BA432" t="s">
        <v>67</v>
      </c>
      <c r="BB432" t="s">
        <v>1659</v>
      </c>
      <c r="BC432" t="s">
        <v>681</v>
      </c>
      <c r="BD432" t="s">
        <v>79</v>
      </c>
      <c r="BE432" t="s">
        <v>168</v>
      </c>
      <c r="BF432" s="5">
        <v>46388</v>
      </c>
      <c r="BG432" t="s">
        <v>67</v>
      </c>
      <c r="BH432">
        <v>1</v>
      </c>
      <c r="BI432" s="6">
        <v>3950000</v>
      </c>
      <c r="BJ432" s="6">
        <v>38</v>
      </c>
      <c r="BK432" s="6">
        <v>1501000</v>
      </c>
      <c r="BL432" s="6">
        <v>2449000</v>
      </c>
      <c r="BM432" s="2">
        <v>2449000</v>
      </c>
      <c r="BN432">
        <f>InvoiceTable[[#This Row],[Giảm giá]]*InvoiceTable[[#This Row],[Số lượng]]</f>
        <v>1501000</v>
      </c>
    </row>
    <row r="433" spans="1:66" x14ac:dyDescent="0.25">
      <c r="A433" t="s">
        <v>65</v>
      </c>
      <c r="B433" t="s">
        <v>1660</v>
      </c>
      <c r="F433" s="2"/>
      <c r="G433" s="3">
        <v>46011.728720833336</v>
      </c>
      <c r="H433" s="3">
        <v>46011.728674618054</v>
      </c>
      <c r="I433" s="4" t="s">
        <v>1202</v>
      </c>
      <c r="J433" t="s">
        <v>67</v>
      </c>
      <c r="K433" t="s">
        <v>67</v>
      </c>
      <c r="L433" t="s">
        <v>654</v>
      </c>
      <c r="M433" t="s">
        <v>655</v>
      </c>
      <c r="N433" t="s">
        <v>67</v>
      </c>
      <c r="O433" t="s">
        <v>656</v>
      </c>
      <c r="P433" t="s">
        <v>657</v>
      </c>
      <c r="Q433" t="s">
        <v>658</v>
      </c>
      <c r="R433" t="s">
        <v>67</v>
      </c>
      <c r="S433" s="5"/>
      <c r="T433" t="s">
        <v>72</v>
      </c>
      <c r="U433" t="s">
        <v>87</v>
      </c>
      <c r="V433" t="s">
        <v>74</v>
      </c>
      <c r="W433" t="s">
        <v>87</v>
      </c>
      <c r="AE433" s="2"/>
      <c r="AF433" s="2"/>
      <c r="AG433" s="2"/>
      <c r="AH433" s="2"/>
      <c r="AK433" t="s">
        <v>1652</v>
      </c>
      <c r="AL433" s="2">
        <v>1240000</v>
      </c>
      <c r="AM433" s="2">
        <v>0</v>
      </c>
      <c r="AN433" s="2"/>
      <c r="AO433" s="2">
        <v>0</v>
      </c>
      <c r="AP433" s="2">
        <v>1240000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4"/>
      <c r="AX433" t="s">
        <v>75</v>
      </c>
      <c r="AZ433" t="s">
        <v>940</v>
      </c>
      <c r="BA433" t="s">
        <v>67</v>
      </c>
      <c r="BB433" t="s">
        <v>941</v>
      </c>
      <c r="BC433" t="s">
        <v>126</v>
      </c>
      <c r="BD433" t="s">
        <v>79</v>
      </c>
      <c r="BE433" t="s">
        <v>715</v>
      </c>
      <c r="BF433" s="5">
        <v>46631</v>
      </c>
      <c r="BG433" t="s">
        <v>67</v>
      </c>
      <c r="BH433">
        <v>20</v>
      </c>
      <c r="BI433" s="6">
        <v>250000</v>
      </c>
      <c r="BJ433" s="6">
        <v>0</v>
      </c>
      <c r="BK433" s="6">
        <v>188000</v>
      </c>
      <c r="BL433" s="6">
        <v>62000</v>
      </c>
      <c r="BM433" s="2">
        <v>1240000</v>
      </c>
      <c r="BN433">
        <f>InvoiceTable[[#This Row],[Giảm giá]]*InvoiceTable[[#This Row],[Số lượng]]</f>
        <v>3760000</v>
      </c>
    </row>
    <row r="434" spans="1:66" x14ac:dyDescent="0.25">
      <c r="A434" t="s">
        <v>65</v>
      </c>
      <c r="B434" t="s">
        <v>1661</v>
      </c>
      <c r="F434" s="2"/>
      <c r="G434" s="3">
        <v>46011.728189270834</v>
      </c>
      <c r="H434" s="3">
        <v>46011.728189467591</v>
      </c>
      <c r="I434" s="4" t="s">
        <v>67</v>
      </c>
      <c r="J434" t="s">
        <v>67</v>
      </c>
      <c r="K434" t="s">
        <v>67</v>
      </c>
      <c r="L434" t="s">
        <v>654</v>
      </c>
      <c r="M434" t="s">
        <v>655</v>
      </c>
      <c r="N434" t="s">
        <v>67</v>
      </c>
      <c r="O434" t="s">
        <v>656</v>
      </c>
      <c r="P434" t="s">
        <v>657</v>
      </c>
      <c r="Q434" t="s">
        <v>658</v>
      </c>
      <c r="R434" t="s">
        <v>67</v>
      </c>
      <c r="S434" s="5"/>
      <c r="T434" t="s">
        <v>72</v>
      </c>
      <c r="U434" t="s">
        <v>87</v>
      </c>
      <c r="V434" t="s">
        <v>74</v>
      </c>
      <c r="W434" t="s">
        <v>87</v>
      </c>
      <c r="AE434" s="2"/>
      <c r="AF434" s="2"/>
      <c r="AG434" s="2"/>
      <c r="AH434" s="2"/>
      <c r="AK434" t="s">
        <v>1662</v>
      </c>
      <c r="AL434" s="2">
        <v>4771560</v>
      </c>
      <c r="AM434" s="2">
        <v>0</v>
      </c>
      <c r="AN434" s="2"/>
      <c r="AO434" s="2">
        <v>0</v>
      </c>
      <c r="AP434" s="2">
        <v>4771560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4"/>
      <c r="AX434" t="s">
        <v>75</v>
      </c>
      <c r="AZ434" t="s">
        <v>1663</v>
      </c>
      <c r="BA434" t="s">
        <v>67</v>
      </c>
      <c r="BB434" t="s">
        <v>1664</v>
      </c>
      <c r="BC434" t="s">
        <v>285</v>
      </c>
      <c r="BD434" t="s">
        <v>79</v>
      </c>
      <c r="BE434" t="s">
        <v>117</v>
      </c>
      <c r="BF434" s="5">
        <v>46569</v>
      </c>
      <c r="BG434" t="s">
        <v>67</v>
      </c>
      <c r="BH434">
        <v>1</v>
      </c>
      <c r="BI434" s="6">
        <v>2450000</v>
      </c>
      <c r="BJ434" s="6">
        <v>48</v>
      </c>
      <c r="BK434" s="6">
        <v>1176000</v>
      </c>
      <c r="BL434" s="6">
        <v>1274000</v>
      </c>
      <c r="BM434" s="2">
        <v>1274000</v>
      </c>
      <c r="BN434">
        <f>InvoiceTable[[#This Row],[Giảm giá]]*InvoiceTable[[#This Row],[Số lượng]]</f>
        <v>1176000</v>
      </c>
    </row>
    <row r="435" spans="1:66" x14ac:dyDescent="0.25">
      <c r="A435" t="s">
        <v>65</v>
      </c>
      <c r="B435" t="s">
        <v>1661</v>
      </c>
      <c r="F435" s="2"/>
      <c r="G435" s="3">
        <v>46011.728189270834</v>
      </c>
      <c r="H435" s="3">
        <v>46011.728189467591</v>
      </c>
      <c r="I435" s="4" t="s">
        <v>67</v>
      </c>
      <c r="J435" t="s">
        <v>67</v>
      </c>
      <c r="K435" t="s">
        <v>67</v>
      </c>
      <c r="L435" t="s">
        <v>654</v>
      </c>
      <c r="M435" t="s">
        <v>655</v>
      </c>
      <c r="N435" t="s">
        <v>67</v>
      </c>
      <c r="O435" t="s">
        <v>656</v>
      </c>
      <c r="P435" t="s">
        <v>657</v>
      </c>
      <c r="Q435" t="s">
        <v>658</v>
      </c>
      <c r="R435" t="s">
        <v>67</v>
      </c>
      <c r="S435" s="5"/>
      <c r="T435" t="s">
        <v>72</v>
      </c>
      <c r="U435" t="s">
        <v>87</v>
      </c>
      <c r="V435" t="s">
        <v>74</v>
      </c>
      <c r="W435" t="s">
        <v>87</v>
      </c>
      <c r="AE435" s="2"/>
      <c r="AF435" s="2"/>
      <c r="AG435" s="2"/>
      <c r="AH435" s="2"/>
      <c r="AK435" t="s">
        <v>1662</v>
      </c>
      <c r="AL435" s="2">
        <v>4771560</v>
      </c>
      <c r="AM435" s="2">
        <v>0</v>
      </c>
      <c r="AN435" s="2"/>
      <c r="AO435" s="2">
        <v>0</v>
      </c>
      <c r="AP435" s="2">
        <v>4771560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4"/>
      <c r="AX435" t="s">
        <v>75</v>
      </c>
      <c r="AZ435" t="s">
        <v>427</v>
      </c>
      <c r="BA435" t="s">
        <v>67</v>
      </c>
      <c r="BB435" t="s">
        <v>428</v>
      </c>
      <c r="BC435" t="s">
        <v>367</v>
      </c>
      <c r="BD435" t="s">
        <v>79</v>
      </c>
      <c r="BE435" t="s">
        <v>228</v>
      </c>
      <c r="BF435" s="5">
        <v>46813</v>
      </c>
      <c r="BH435">
        <v>5</v>
      </c>
      <c r="BI435" s="6">
        <v>535000</v>
      </c>
      <c r="BJ435" s="6">
        <v>32</v>
      </c>
      <c r="BK435" s="6">
        <v>171200</v>
      </c>
      <c r="BL435" s="6">
        <v>363800</v>
      </c>
      <c r="BM435" s="2">
        <v>1819000</v>
      </c>
      <c r="BN435">
        <f>InvoiceTable[[#This Row],[Giảm giá]]*InvoiceTable[[#This Row],[Số lượng]]</f>
        <v>856000</v>
      </c>
    </row>
    <row r="436" spans="1:66" x14ac:dyDescent="0.25">
      <c r="A436" t="s">
        <v>65</v>
      </c>
      <c r="B436" t="s">
        <v>1661</v>
      </c>
      <c r="F436" s="2"/>
      <c r="G436" s="3">
        <v>46011.728189270834</v>
      </c>
      <c r="H436" s="3">
        <v>46011.728189467591</v>
      </c>
      <c r="I436" s="4" t="s">
        <v>67</v>
      </c>
      <c r="J436" t="s">
        <v>67</v>
      </c>
      <c r="K436" t="s">
        <v>67</v>
      </c>
      <c r="L436" t="s">
        <v>654</v>
      </c>
      <c r="M436" t="s">
        <v>655</v>
      </c>
      <c r="N436" t="s">
        <v>67</v>
      </c>
      <c r="O436" t="s">
        <v>656</v>
      </c>
      <c r="P436" t="s">
        <v>657</v>
      </c>
      <c r="Q436" t="s">
        <v>658</v>
      </c>
      <c r="R436" t="s">
        <v>67</v>
      </c>
      <c r="S436" s="5"/>
      <c r="T436" t="s">
        <v>72</v>
      </c>
      <c r="U436" t="s">
        <v>87</v>
      </c>
      <c r="V436" t="s">
        <v>74</v>
      </c>
      <c r="W436" t="s">
        <v>87</v>
      </c>
      <c r="AE436" s="2"/>
      <c r="AF436" s="2"/>
      <c r="AG436" s="2"/>
      <c r="AH436" s="2"/>
      <c r="AK436" t="s">
        <v>1662</v>
      </c>
      <c r="AL436" s="2">
        <v>4771560</v>
      </c>
      <c r="AM436" s="2">
        <v>0</v>
      </c>
      <c r="AN436" s="2"/>
      <c r="AO436" s="2">
        <v>0</v>
      </c>
      <c r="AP436" s="2">
        <v>4771560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4"/>
      <c r="AX436" t="s">
        <v>75</v>
      </c>
      <c r="AZ436" t="s">
        <v>1665</v>
      </c>
      <c r="BA436" t="s">
        <v>67</v>
      </c>
      <c r="BB436" t="s">
        <v>1666</v>
      </c>
      <c r="BC436" t="s">
        <v>367</v>
      </c>
      <c r="BD436" t="s">
        <v>79</v>
      </c>
      <c r="BE436" t="s">
        <v>228</v>
      </c>
      <c r="BF436" s="5">
        <v>46813</v>
      </c>
      <c r="BH436">
        <v>3</v>
      </c>
      <c r="BI436" s="6">
        <v>535000</v>
      </c>
      <c r="BJ436" s="6">
        <v>32</v>
      </c>
      <c r="BK436" s="6">
        <v>171200</v>
      </c>
      <c r="BL436" s="6">
        <v>363800</v>
      </c>
      <c r="BM436" s="2">
        <v>1091400</v>
      </c>
      <c r="BN436">
        <f>InvoiceTable[[#This Row],[Giảm giá]]*InvoiceTable[[#This Row],[Số lượng]]</f>
        <v>513600</v>
      </c>
    </row>
    <row r="437" spans="1:66" x14ac:dyDescent="0.25">
      <c r="A437" t="s">
        <v>65</v>
      </c>
      <c r="B437" t="s">
        <v>1661</v>
      </c>
      <c r="F437" s="2"/>
      <c r="G437" s="3">
        <v>46011.728189270834</v>
      </c>
      <c r="H437" s="3">
        <v>46011.728189467591</v>
      </c>
      <c r="I437" s="4" t="s">
        <v>67</v>
      </c>
      <c r="J437" t="s">
        <v>67</v>
      </c>
      <c r="K437" t="s">
        <v>67</v>
      </c>
      <c r="L437" t="s">
        <v>654</v>
      </c>
      <c r="M437" t="s">
        <v>655</v>
      </c>
      <c r="N437" t="s">
        <v>67</v>
      </c>
      <c r="O437" t="s">
        <v>656</v>
      </c>
      <c r="P437" t="s">
        <v>657</v>
      </c>
      <c r="Q437" t="s">
        <v>658</v>
      </c>
      <c r="R437" t="s">
        <v>67</v>
      </c>
      <c r="S437" s="5"/>
      <c r="T437" t="s">
        <v>72</v>
      </c>
      <c r="U437" t="s">
        <v>87</v>
      </c>
      <c r="V437" t="s">
        <v>74</v>
      </c>
      <c r="W437" t="s">
        <v>87</v>
      </c>
      <c r="AE437" s="2"/>
      <c r="AF437" s="2"/>
      <c r="AG437" s="2"/>
      <c r="AH437" s="2"/>
      <c r="AK437" t="s">
        <v>1662</v>
      </c>
      <c r="AL437" s="2">
        <v>4771560</v>
      </c>
      <c r="AM437" s="2">
        <v>0</v>
      </c>
      <c r="AN437" s="2"/>
      <c r="AO437" s="2">
        <v>0</v>
      </c>
      <c r="AP437" s="2">
        <v>4771560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4"/>
      <c r="AX437" t="s">
        <v>75</v>
      </c>
      <c r="AZ437" t="s">
        <v>1667</v>
      </c>
      <c r="BA437" t="s">
        <v>67</v>
      </c>
      <c r="BB437" t="s">
        <v>1668</v>
      </c>
      <c r="BC437" t="s">
        <v>93</v>
      </c>
      <c r="BD437" t="s">
        <v>79</v>
      </c>
      <c r="BE437" t="s">
        <v>94</v>
      </c>
      <c r="BF437" s="5">
        <v>46692</v>
      </c>
      <c r="BH437">
        <v>2</v>
      </c>
      <c r="BI437" s="6">
        <v>466000</v>
      </c>
      <c r="BJ437" s="6">
        <v>37</v>
      </c>
      <c r="BK437" s="6">
        <v>172420</v>
      </c>
      <c r="BL437" s="6">
        <v>293580</v>
      </c>
      <c r="BM437" s="2">
        <v>587160</v>
      </c>
      <c r="BN437">
        <f>InvoiceTable[[#This Row],[Giảm giá]]*InvoiceTable[[#This Row],[Số lượng]]</f>
        <v>344840</v>
      </c>
    </row>
    <row r="438" spans="1:66" x14ac:dyDescent="0.25">
      <c r="A438" t="s">
        <v>65</v>
      </c>
      <c r="B438" t="s">
        <v>1669</v>
      </c>
      <c r="F438" s="2"/>
      <c r="G438" s="3">
        <v>46011.726695717596</v>
      </c>
      <c r="H438" s="3">
        <v>46011.726695949073</v>
      </c>
      <c r="I438" s="4" t="s">
        <v>67</v>
      </c>
      <c r="J438" t="s">
        <v>1670</v>
      </c>
      <c r="K438" t="s">
        <v>67</v>
      </c>
      <c r="L438" t="s">
        <v>1671</v>
      </c>
      <c r="M438" t="s">
        <v>1672</v>
      </c>
      <c r="N438" t="s">
        <v>67</v>
      </c>
      <c r="O438" t="s">
        <v>1673</v>
      </c>
      <c r="P438" t="s">
        <v>1674</v>
      </c>
      <c r="S438" s="5"/>
      <c r="T438" t="s">
        <v>72</v>
      </c>
      <c r="U438" t="s">
        <v>87</v>
      </c>
      <c r="V438" t="s">
        <v>74</v>
      </c>
      <c r="W438" t="s">
        <v>87</v>
      </c>
      <c r="AE438" s="2"/>
      <c r="AF438" s="2"/>
      <c r="AG438" s="2"/>
      <c r="AH438" s="2"/>
      <c r="AK438" t="s">
        <v>1675</v>
      </c>
      <c r="AL438" s="2">
        <v>39020800</v>
      </c>
      <c r="AM438" s="2">
        <v>0</v>
      </c>
      <c r="AN438" s="2"/>
      <c r="AO438" s="2">
        <v>0</v>
      </c>
      <c r="AP438" s="2">
        <v>39020800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4"/>
      <c r="AX438" t="s">
        <v>75</v>
      </c>
      <c r="AZ438" t="s">
        <v>1132</v>
      </c>
      <c r="BA438" t="s">
        <v>67</v>
      </c>
      <c r="BB438" t="s">
        <v>1133</v>
      </c>
      <c r="BC438" t="s">
        <v>1134</v>
      </c>
      <c r="BD438" t="s">
        <v>79</v>
      </c>
      <c r="BE438" t="s">
        <v>293</v>
      </c>
      <c r="BF438" s="5">
        <v>46722</v>
      </c>
      <c r="BG438" t="s">
        <v>67</v>
      </c>
      <c r="BH438">
        <v>28</v>
      </c>
      <c r="BI438" s="6">
        <v>2680000</v>
      </c>
      <c r="BJ438" s="6">
        <v>48</v>
      </c>
      <c r="BK438" s="6">
        <v>1286400</v>
      </c>
      <c r="BL438" s="6">
        <v>1393600</v>
      </c>
      <c r="BM438" s="2">
        <v>39020800</v>
      </c>
      <c r="BN438">
        <f>InvoiceTable[[#This Row],[Giảm giá]]*InvoiceTable[[#This Row],[Số lượng]]</f>
        <v>36019200</v>
      </c>
    </row>
    <row r="439" spans="1:66" x14ac:dyDescent="0.25">
      <c r="A439" t="s">
        <v>65</v>
      </c>
      <c r="B439" t="s">
        <v>1669</v>
      </c>
      <c r="F439" s="2"/>
      <c r="G439" s="3">
        <v>46011.726695717596</v>
      </c>
      <c r="H439" s="3">
        <v>46011.726695949073</v>
      </c>
      <c r="I439" s="4" t="s">
        <v>67</v>
      </c>
      <c r="J439" t="s">
        <v>1670</v>
      </c>
      <c r="K439" t="s">
        <v>67</v>
      </c>
      <c r="L439" t="s">
        <v>1671</v>
      </c>
      <c r="M439" t="s">
        <v>1672</v>
      </c>
      <c r="N439" t="s">
        <v>67</v>
      </c>
      <c r="O439" t="s">
        <v>1673</v>
      </c>
      <c r="P439" t="s">
        <v>1674</v>
      </c>
      <c r="S439" s="5"/>
      <c r="T439" t="s">
        <v>72</v>
      </c>
      <c r="U439" t="s">
        <v>87</v>
      </c>
      <c r="V439" t="s">
        <v>74</v>
      </c>
      <c r="W439" t="s">
        <v>87</v>
      </c>
      <c r="AE439" s="2"/>
      <c r="AF439" s="2"/>
      <c r="AG439" s="2"/>
      <c r="AH439" s="2"/>
      <c r="AK439" t="s">
        <v>1675</v>
      </c>
      <c r="AL439" s="2">
        <v>39020800</v>
      </c>
      <c r="AM439" s="2">
        <v>0</v>
      </c>
      <c r="AN439" s="2"/>
      <c r="AO439" s="2">
        <v>0</v>
      </c>
      <c r="AP439" s="2">
        <v>39020800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4"/>
      <c r="AX439" t="s">
        <v>75</v>
      </c>
      <c r="AZ439" t="s">
        <v>1132</v>
      </c>
      <c r="BA439" t="s">
        <v>67</v>
      </c>
      <c r="BB439" t="s">
        <v>1133</v>
      </c>
      <c r="BC439" t="s">
        <v>1134</v>
      </c>
      <c r="BD439" t="s">
        <v>79</v>
      </c>
      <c r="BE439" t="s">
        <v>293</v>
      </c>
      <c r="BF439" s="5">
        <v>46722</v>
      </c>
      <c r="BG439" t="s">
        <v>67</v>
      </c>
      <c r="BH439">
        <v>4</v>
      </c>
      <c r="BI439" s="6">
        <v>2680000</v>
      </c>
      <c r="BJ439" s="6">
        <v>0</v>
      </c>
      <c r="BK439" s="6">
        <v>2680000</v>
      </c>
      <c r="BL439" s="6">
        <v>0</v>
      </c>
      <c r="BM439" s="2">
        <v>0</v>
      </c>
      <c r="BN439">
        <f>InvoiceTable[[#This Row],[Giảm giá]]*InvoiceTable[[#This Row],[Số lượng]]</f>
        <v>10720000</v>
      </c>
    </row>
    <row r="440" spans="1:66" x14ac:dyDescent="0.25">
      <c r="A440" t="s">
        <v>65</v>
      </c>
      <c r="B440" t="s">
        <v>1676</v>
      </c>
      <c r="F440" s="2"/>
      <c r="G440" s="3">
        <v>46011.716813043982</v>
      </c>
      <c r="H440" s="3">
        <v>46011.71681322917</v>
      </c>
      <c r="I440" s="4" t="s">
        <v>67</v>
      </c>
      <c r="J440" t="s">
        <v>1677</v>
      </c>
      <c r="K440" t="s">
        <v>67</v>
      </c>
      <c r="L440" t="s">
        <v>1099</v>
      </c>
      <c r="M440" t="s">
        <v>1100</v>
      </c>
      <c r="N440" t="s">
        <v>67</v>
      </c>
      <c r="O440" t="s">
        <v>1101</v>
      </c>
      <c r="P440" t="s">
        <v>1102</v>
      </c>
      <c r="S440" s="5"/>
      <c r="T440" t="s">
        <v>72</v>
      </c>
      <c r="U440" t="s">
        <v>87</v>
      </c>
      <c r="V440" t="s">
        <v>74</v>
      </c>
      <c r="W440" t="s">
        <v>102</v>
      </c>
      <c r="AE440" s="2"/>
      <c r="AF440" s="2"/>
      <c r="AG440" s="2"/>
      <c r="AH440" s="2"/>
      <c r="AK440" t="s">
        <v>282</v>
      </c>
      <c r="AL440" s="2">
        <v>6600000</v>
      </c>
      <c r="AM440" s="2">
        <v>0</v>
      </c>
      <c r="AN440" s="2"/>
      <c r="AO440" s="2">
        <v>0</v>
      </c>
      <c r="AP440" s="2">
        <v>6600000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4"/>
      <c r="AX440" t="s">
        <v>75</v>
      </c>
      <c r="AZ440" t="s">
        <v>1678</v>
      </c>
      <c r="BB440" t="s">
        <v>1679</v>
      </c>
      <c r="BC440" t="s">
        <v>590</v>
      </c>
      <c r="BD440" t="s">
        <v>79</v>
      </c>
      <c r="BE440" t="s">
        <v>1680</v>
      </c>
      <c r="BF440" s="5">
        <v>46536</v>
      </c>
      <c r="BG440" t="s">
        <v>67</v>
      </c>
      <c r="BH440">
        <v>1</v>
      </c>
      <c r="BI440" s="6">
        <v>7490000</v>
      </c>
      <c r="BJ440" s="6">
        <v>0</v>
      </c>
      <c r="BK440" s="6">
        <v>890000</v>
      </c>
      <c r="BL440" s="6">
        <v>6600000</v>
      </c>
      <c r="BM440" s="2">
        <v>6600000</v>
      </c>
      <c r="BN440">
        <f>InvoiceTable[[#This Row],[Giảm giá]]*InvoiceTable[[#This Row],[Số lượng]]</f>
        <v>890000</v>
      </c>
    </row>
    <row r="441" spans="1:66" x14ac:dyDescent="0.25">
      <c r="A441" t="s">
        <v>65</v>
      </c>
      <c r="B441" t="s">
        <v>1681</v>
      </c>
      <c r="F441" s="2"/>
      <c r="G441" s="3">
        <v>46011.716520520837</v>
      </c>
      <c r="H441" s="3">
        <v>46011.716509143516</v>
      </c>
      <c r="I441" s="4" t="s">
        <v>1682</v>
      </c>
      <c r="J441" t="s">
        <v>1683</v>
      </c>
      <c r="K441" t="s">
        <v>67</v>
      </c>
      <c r="L441" t="s">
        <v>1647</v>
      </c>
      <c r="M441" t="s">
        <v>1648</v>
      </c>
      <c r="N441" t="s">
        <v>1649</v>
      </c>
      <c r="O441" t="s">
        <v>1650</v>
      </c>
      <c r="P441" t="s">
        <v>1651</v>
      </c>
      <c r="S441" s="5"/>
      <c r="T441" t="s">
        <v>72</v>
      </c>
      <c r="U441" t="s">
        <v>87</v>
      </c>
      <c r="V441" t="s">
        <v>74</v>
      </c>
      <c r="W441" t="s">
        <v>102</v>
      </c>
      <c r="AE441" s="2"/>
      <c r="AF441" s="2"/>
      <c r="AG441" s="2"/>
      <c r="AH441" s="2"/>
      <c r="AK441" t="s">
        <v>1684</v>
      </c>
      <c r="AL441" s="2">
        <v>5400000</v>
      </c>
      <c r="AM441" s="2">
        <v>0</v>
      </c>
      <c r="AN441" s="2"/>
      <c r="AO441" s="2">
        <v>0</v>
      </c>
      <c r="AP441" s="2">
        <v>5400000</v>
      </c>
      <c r="AQ441" s="2">
        <v>5400000</v>
      </c>
      <c r="AR441" s="2">
        <v>0</v>
      </c>
      <c r="AS441" s="2">
        <v>0</v>
      </c>
      <c r="AT441" s="2">
        <v>0</v>
      </c>
      <c r="AU441" s="2">
        <v>5400000</v>
      </c>
      <c r="AV441" s="2">
        <v>0</v>
      </c>
      <c r="AW441" s="4"/>
      <c r="AX441" t="s">
        <v>75</v>
      </c>
      <c r="AZ441" t="s">
        <v>674</v>
      </c>
      <c r="BA441" t="s">
        <v>67</v>
      </c>
      <c r="BB441" t="s">
        <v>675</v>
      </c>
      <c r="BC441" t="s">
        <v>676</v>
      </c>
      <c r="BD441" t="s">
        <v>79</v>
      </c>
      <c r="BE441" t="s">
        <v>677</v>
      </c>
      <c r="BF441" s="5">
        <v>46943</v>
      </c>
      <c r="BG441" t="s">
        <v>67</v>
      </c>
      <c r="BH441">
        <v>5</v>
      </c>
      <c r="BI441" s="6">
        <v>1690000</v>
      </c>
      <c r="BJ441" s="6">
        <v>0</v>
      </c>
      <c r="BK441" s="6">
        <v>610000</v>
      </c>
      <c r="BL441" s="6">
        <v>1080000</v>
      </c>
      <c r="BM441" s="2">
        <v>5400000</v>
      </c>
      <c r="BN441">
        <f>InvoiceTable[[#This Row],[Giảm giá]]*InvoiceTable[[#This Row],[Số lượng]]</f>
        <v>3050000</v>
      </c>
    </row>
    <row r="442" spans="1:66" x14ac:dyDescent="0.25">
      <c r="A442" t="s">
        <v>65</v>
      </c>
      <c r="B442" t="s">
        <v>1685</v>
      </c>
      <c r="F442" s="2"/>
      <c r="G442" s="3">
        <v>46011.71570547454</v>
      </c>
      <c r="H442" s="3">
        <v>46011.715694062499</v>
      </c>
      <c r="I442" s="4" t="s">
        <v>1682</v>
      </c>
      <c r="J442" t="s">
        <v>67</v>
      </c>
      <c r="K442" t="s">
        <v>67</v>
      </c>
      <c r="L442" t="s">
        <v>474</v>
      </c>
      <c r="M442" t="s">
        <v>475</v>
      </c>
      <c r="N442" t="s">
        <v>476</v>
      </c>
      <c r="O442" t="s">
        <v>477</v>
      </c>
      <c r="P442" t="s">
        <v>478</v>
      </c>
      <c r="S442" s="5"/>
      <c r="T442" t="s">
        <v>72</v>
      </c>
      <c r="U442" t="s">
        <v>102</v>
      </c>
      <c r="V442" t="s">
        <v>74</v>
      </c>
      <c r="W442" t="s">
        <v>102</v>
      </c>
      <c r="AE442" s="2"/>
      <c r="AF442" s="2"/>
      <c r="AG442" s="2"/>
      <c r="AH442" s="2"/>
      <c r="AL442" s="2">
        <v>1374000</v>
      </c>
      <c r="AM442" s="2">
        <v>0</v>
      </c>
      <c r="AN442" s="2"/>
      <c r="AO442" s="2">
        <v>0</v>
      </c>
      <c r="AP442" s="2">
        <v>1374000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4"/>
      <c r="AX442" t="s">
        <v>75</v>
      </c>
      <c r="AZ442" t="s">
        <v>124</v>
      </c>
      <c r="BA442" t="s">
        <v>67</v>
      </c>
      <c r="BB442" t="s">
        <v>125</v>
      </c>
      <c r="BC442" t="s">
        <v>126</v>
      </c>
      <c r="BD442" t="s">
        <v>79</v>
      </c>
      <c r="BE442" t="s">
        <v>127</v>
      </c>
      <c r="BF442" s="5">
        <v>46683</v>
      </c>
      <c r="BH442">
        <v>1</v>
      </c>
      <c r="BI442" s="6">
        <v>1200000</v>
      </c>
      <c r="BJ442" s="6">
        <v>0</v>
      </c>
      <c r="BK442" s="6">
        <v>570000</v>
      </c>
      <c r="BL442" s="6">
        <v>630000</v>
      </c>
      <c r="BM442" s="2">
        <v>630000</v>
      </c>
      <c r="BN442">
        <f>InvoiceTable[[#This Row],[Giảm giá]]*InvoiceTable[[#This Row],[Số lượng]]</f>
        <v>570000</v>
      </c>
    </row>
    <row r="443" spans="1:66" x14ac:dyDescent="0.25">
      <c r="A443" t="s">
        <v>65</v>
      </c>
      <c r="B443" t="s">
        <v>1685</v>
      </c>
      <c r="F443" s="2"/>
      <c r="G443" s="3">
        <v>46011.71570547454</v>
      </c>
      <c r="H443" s="3">
        <v>46011.715694062499</v>
      </c>
      <c r="I443" s="4" t="s">
        <v>1682</v>
      </c>
      <c r="J443" t="s">
        <v>67</v>
      </c>
      <c r="K443" t="s">
        <v>67</v>
      </c>
      <c r="L443" t="s">
        <v>474</v>
      </c>
      <c r="M443" t="s">
        <v>475</v>
      </c>
      <c r="N443" t="s">
        <v>476</v>
      </c>
      <c r="O443" t="s">
        <v>477</v>
      </c>
      <c r="P443" t="s">
        <v>478</v>
      </c>
      <c r="S443" s="5"/>
      <c r="T443" t="s">
        <v>72</v>
      </c>
      <c r="U443" t="s">
        <v>102</v>
      </c>
      <c r="V443" t="s">
        <v>74</v>
      </c>
      <c r="W443" t="s">
        <v>102</v>
      </c>
      <c r="AE443" s="2"/>
      <c r="AF443" s="2"/>
      <c r="AG443" s="2"/>
      <c r="AH443" s="2"/>
      <c r="AL443" s="2">
        <v>1374000</v>
      </c>
      <c r="AM443" s="2">
        <v>0</v>
      </c>
      <c r="AN443" s="2"/>
      <c r="AO443" s="2">
        <v>0</v>
      </c>
      <c r="AP443" s="2">
        <v>1374000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4"/>
      <c r="AX443" t="s">
        <v>75</v>
      </c>
      <c r="AZ443" t="s">
        <v>486</v>
      </c>
      <c r="BA443" t="s">
        <v>67</v>
      </c>
      <c r="BB443" t="s">
        <v>487</v>
      </c>
      <c r="BC443" t="s">
        <v>485</v>
      </c>
      <c r="BD443" t="s">
        <v>79</v>
      </c>
      <c r="BE443" t="s">
        <v>488</v>
      </c>
      <c r="BF443" s="5">
        <v>46647</v>
      </c>
      <c r="BH443">
        <v>2</v>
      </c>
      <c r="BI443" s="6">
        <v>600000</v>
      </c>
      <c r="BJ443" s="6">
        <v>38</v>
      </c>
      <c r="BK443" s="6">
        <v>228000</v>
      </c>
      <c r="BL443" s="6">
        <v>372000</v>
      </c>
      <c r="BM443" s="2">
        <v>744000</v>
      </c>
      <c r="BN443">
        <f>InvoiceTable[[#This Row],[Giảm giá]]*InvoiceTable[[#This Row],[Số lượng]]</f>
        <v>456000</v>
      </c>
    </row>
    <row r="444" spans="1:66" x14ac:dyDescent="0.25">
      <c r="A444" t="s">
        <v>65</v>
      </c>
      <c r="B444" t="s">
        <v>1686</v>
      </c>
      <c r="F444" s="2"/>
      <c r="G444" s="3">
        <v>46011.68919070602</v>
      </c>
      <c r="H444" s="3">
        <v>46011.689144675925</v>
      </c>
      <c r="I444" s="4" t="s">
        <v>844</v>
      </c>
      <c r="J444" t="s">
        <v>1687</v>
      </c>
      <c r="K444" t="s">
        <v>67</v>
      </c>
      <c r="L444" t="s">
        <v>1688</v>
      </c>
      <c r="M444" t="s">
        <v>1689</v>
      </c>
      <c r="N444" t="s">
        <v>67</v>
      </c>
      <c r="O444" t="s">
        <v>1690</v>
      </c>
      <c r="P444" t="s">
        <v>1691</v>
      </c>
      <c r="S444" s="5"/>
      <c r="T444" t="s">
        <v>72</v>
      </c>
      <c r="U444" t="s">
        <v>73</v>
      </c>
      <c r="V444" t="s">
        <v>74</v>
      </c>
      <c r="W444" t="s">
        <v>102</v>
      </c>
      <c r="AE444" s="2"/>
      <c r="AF444" s="2"/>
      <c r="AG444" s="2"/>
      <c r="AH444" s="2"/>
      <c r="AK444" t="s">
        <v>184</v>
      </c>
      <c r="AL444" s="2">
        <v>3525120</v>
      </c>
      <c r="AM444" s="2">
        <v>0</v>
      </c>
      <c r="AN444" s="2"/>
      <c r="AO444" s="2">
        <v>0</v>
      </c>
      <c r="AP444" s="2">
        <v>3525120</v>
      </c>
      <c r="AQ444" s="2">
        <v>3525120</v>
      </c>
      <c r="AR444" s="2">
        <v>0</v>
      </c>
      <c r="AS444" s="2">
        <v>0</v>
      </c>
      <c r="AT444" s="2">
        <v>0</v>
      </c>
      <c r="AU444" s="2">
        <v>3525120</v>
      </c>
      <c r="AV444" s="2">
        <v>0</v>
      </c>
      <c r="AW444" s="4"/>
      <c r="AX444" t="s">
        <v>75</v>
      </c>
      <c r="AZ444" t="s">
        <v>777</v>
      </c>
      <c r="BA444" t="s">
        <v>67</v>
      </c>
      <c r="BB444" t="s">
        <v>778</v>
      </c>
      <c r="BC444" t="s">
        <v>779</v>
      </c>
      <c r="BD444" t="s">
        <v>79</v>
      </c>
      <c r="BE444" t="s">
        <v>117</v>
      </c>
      <c r="BF444" s="5">
        <v>46569</v>
      </c>
      <c r="BH444">
        <v>2</v>
      </c>
      <c r="BI444" s="6">
        <v>2937600</v>
      </c>
      <c r="BJ444" s="6">
        <v>40</v>
      </c>
      <c r="BK444" s="6">
        <v>1175040</v>
      </c>
      <c r="BL444" s="6">
        <v>1762560</v>
      </c>
      <c r="BM444" s="2">
        <v>3525120</v>
      </c>
      <c r="BN444">
        <f>InvoiceTable[[#This Row],[Giảm giá]]*InvoiceTable[[#This Row],[Số lượng]]</f>
        <v>2350080</v>
      </c>
    </row>
    <row r="445" spans="1:66" x14ac:dyDescent="0.25">
      <c r="A445" t="s">
        <v>65</v>
      </c>
      <c r="B445" t="s">
        <v>1692</v>
      </c>
      <c r="F445" s="2"/>
      <c r="G445" s="3">
        <v>46011.686324074071</v>
      </c>
      <c r="H445" s="3">
        <v>46011.686324340277</v>
      </c>
      <c r="I445" s="4" t="s">
        <v>67</v>
      </c>
      <c r="J445" t="s">
        <v>1693</v>
      </c>
      <c r="K445" t="s">
        <v>67</v>
      </c>
      <c r="L445" t="s">
        <v>1688</v>
      </c>
      <c r="M445" t="s">
        <v>1689</v>
      </c>
      <c r="N445" t="s">
        <v>67</v>
      </c>
      <c r="O445" t="s">
        <v>1690</v>
      </c>
      <c r="P445" t="s">
        <v>1691</v>
      </c>
      <c r="S445" s="5"/>
      <c r="T445" t="s">
        <v>72</v>
      </c>
      <c r="U445" t="s">
        <v>73</v>
      </c>
      <c r="V445" t="s">
        <v>74</v>
      </c>
      <c r="W445" t="s">
        <v>102</v>
      </c>
      <c r="AE445" s="2"/>
      <c r="AF445" s="2"/>
      <c r="AG445" s="2"/>
      <c r="AH445" s="2"/>
      <c r="AL445" s="2">
        <v>4780600</v>
      </c>
      <c r="AM445" s="2">
        <v>0</v>
      </c>
      <c r="AN445" s="2"/>
      <c r="AO445" s="2">
        <v>0</v>
      </c>
      <c r="AP445" s="2">
        <v>4780600</v>
      </c>
      <c r="AQ445" s="2">
        <v>4780600</v>
      </c>
      <c r="AR445" s="2">
        <v>0</v>
      </c>
      <c r="AS445" s="2">
        <v>0</v>
      </c>
      <c r="AT445" s="2">
        <v>0</v>
      </c>
      <c r="AU445" s="2">
        <v>4780600</v>
      </c>
      <c r="AV445" s="2">
        <v>0</v>
      </c>
      <c r="AW445" s="4"/>
      <c r="AX445" t="s">
        <v>75</v>
      </c>
      <c r="AZ445" t="s">
        <v>129</v>
      </c>
      <c r="BA445" t="s">
        <v>67</v>
      </c>
      <c r="BB445" t="s">
        <v>130</v>
      </c>
      <c r="BC445" t="s">
        <v>78</v>
      </c>
      <c r="BD445" t="s">
        <v>79</v>
      </c>
      <c r="BE445" t="s">
        <v>131</v>
      </c>
      <c r="BF445" s="5">
        <v>46874</v>
      </c>
      <c r="BG445" t="s">
        <v>67</v>
      </c>
      <c r="BH445">
        <v>1</v>
      </c>
      <c r="BI445" s="6">
        <v>3050000</v>
      </c>
      <c r="BJ445" s="6">
        <v>47</v>
      </c>
      <c r="BK445" s="6">
        <v>1433500</v>
      </c>
      <c r="BL445" s="6">
        <v>1616500</v>
      </c>
      <c r="BM445" s="2">
        <v>1616500</v>
      </c>
      <c r="BN445">
        <f>InvoiceTable[[#This Row],[Giảm giá]]*InvoiceTable[[#This Row],[Số lượng]]</f>
        <v>1433500</v>
      </c>
    </row>
    <row r="446" spans="1:66" x14ac:dyDescent="0.25">
      <c r="A446" t="s">
        <v>65</v>
      </c>
      <c r="B446" t="s">
        <v>1692</v>
      </c>
      <c r="F446" s="2"/>
      <c r="G446" s="3">
        <v>46011.686324074071</v>
      </c>
      <c r="H446" s="3">
        <v>46011.686324340277</v>
      </c>
      <c r="I446" s="4" t="s">
        <v>67</v>
      </c>
      <c r="J446" t="s">
        <v>1693</v>
      </c>
      <c r="K446" t="s">
        <v>67</v>
      </c>
      <c r="L446" t="s">
        <v>1688</v>
      </c>
      <c r="M446" t="s">
        <v>1689</v>
      </c>
      <c r="N446" t="s">
        <v>67</v>
      </c>
      <c r="O446" t="s">
        <v>1690</v>
      </c>
      <c r="P446" t="s">
        <v>1691</v>
      </c>
      <c r="S446" s="5"/>
      <c r="T446" t="s">
        <v>72</v>
      </c>
      <c r="U446" t="s">
        <v>73</v>
      </c>
      <c r="V446" t="s">
        <v>74</v>
      </c>
      <c r="W446" t="s">
        <v>102</v>
      </c>
      <c r="AE446" s="2"/>
      <c r="AF446" s="2"/>
      <c r="AG446" s="2"/>
      <c r="AH446" s="2"/>
      <c r="AL446" s="2">
        <v>4780600</v>
      </c>
      <c r="AM446" s="2">
        <v>0</v>
      </c>
      <c r="AN446" s="2"/>
      <c r="AO446" s="2">
        <v>0</v>
      </c>
      <c r="AP446" s="2">
        <v>4780600</v>
      </c>
      <c r="AQ446" s="2">
        <v>4780600</v>
      </c>
      <c r="AR446" s="2">
        <v>0</v>
      </c>
      <c r="AS446" s="2">
        <v>0</v>
      </c>
      <c r="AT446" s="2">
        <v>0</v>
      </c>
      <c r="AU446" s="2">
        <v>4780600</v>
      </c>
      <c r="AV446" s="2">
        <v>0</v>
      </c>
      <c r="AW446" s="4"/>
      <c r="AX446" t="s">
        <v>75</v>
      </c>
      <c r="AZ446" t="s">
        <v>504</v>
      </c>
      <c r="BA446" t="s">
        <v>67</v>
      </c>
      <c r="BB446" t="s">
        <v>505</v>
      </c>
      <c r="BC446" t="s">
        <v>78</v>
      </c>
      <c r="BD446" t="s">
        <v>79</v>
      </c>
      <c r="BE446" t="s">
        <v>506</v>
      </c>
      <c r="BF446" s="5">
        <v>47604</v>
      </c>
      <c r="BH446">
        <v>3</v>
      </c>
      <c r="BI446" s="6">
        <v>1990000</v>
      </c>
      <c r="BJ446" s="6">
        <v>47</v>
      </c>
      <c r="BK446" s="6">
        <v>935300</v>
      </c>
      <c r="BL446" s="6">
        <v>1054700</v>
      </c>
      <c r="BM446" s="2">
        <v>3164100</v>
      </c>
      <c r="BN446">
        <f>InvoiceTable[[#This Row],[Giảm giá]]*InvoiceTable[[#This Row],[Số lượng]]</f>
        <v>2805900</v>
      </c>
    </row>
    <row r="447" spans="1:66" x14ac:dyDescent="0.25">
      <c r="A447" t="s">
        <v>65</v>
      </c>
      <c r="B447" t="s">
        <v>1694</v>
      </c>
      <c r="F447" s="2"/>
      <c r="G447" s="3">
        <v>46011.675974733793</v>
      </c>
      <c r="H447" s="3">
        <v>46011.676769016201</v>
      </c>
      <c r="I447" s="4" t="s">
        <v>67</v>
      </c>
      <c r="J447" t="s">
        <v>67</v>
      </c>
      <c r="K447" t="s">
        <v>67</v>
      </c>
      <c r="L447" t="s">
        <v>999</v>
      </c>
      <c r="M447" t="s">
        <v>1000</v>
      </c>
      <c r="N447" t="s">
        <v>67</v>
      </c>
      <c r="O447" t="s">
        <v>1001</v>
      </c>
      <c r="P447" t="s">
        <v>1002</v>
      </c>
      <c r="S447" s="5"/>
      <c r="T447" t="s">
        <v>72</v>
      </c>
      <c r="U447" t="s">
        <v>102</v>
      </c>
      <c r="V447" t="s">
        <v>74</v>
      </c>
      <c r="W447" t="s">
        <v>102</v>
      </c>
      <c r="AE447" s="2"/>
      <c r="AF447" s="2"/>
      <c r="AG447" s="2"/>
      <c r="AH447" s="2"/>
      <c r="AL447" s="2">
        <v>1053820</v>
      </c>
      <c r="AM447" s="2">
        <v>0</v>
      </c>
      <c r="AN447" s="2"/>
      <c r="AO447" s="2">
        <v>0</v>
      </c>
      <c r="AP447" s="2">
        <v>1053820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4"/>
      <c r="AX447" t="s">
        <v>75</v>
      </c>
      <c r="AZ447" t="s">
        <v>424</v>
      </c>
      <c r="BA447" t="s">
        <v>67</v>
      </c>
      <c r="BB447" t="s">
        <v>425</v>
      </c>
      <c r="BC447" t="s">
        <v>426</v>
      </c>
      <c r="BD447" t="s">
        <v>79</v>
      </c>
      <c r="BE447" t="s">
        <v>198</v>
      </c>
      <c r="BF447" s="5">
        <v>46753</v>
      </c>
      <c r="BH447">
        <v>1</v>
      </c>
      <c r="BI447" s="6">
        <v>590000</v>
      </c>
      <c r="BJ447" s="6">
        <v>35</v>
      </c>
      <c r="BK447" s="6">
        <v>206500</v>
      </c>
      <c r="BL447" s="6">
        <v>383500</v>
      </c>
      <c r="BM447" s="2">
        <v>383500</v>
      </c>
      <c r="BN447">
        <f>InvoiceTable[[#This Row],[Giảm giá]]*InvoiceTable[[#This Row],[Số lượng]]</f>
        <v>206500</v>
      </c>
    </row>
    <row r="448" spans="1:66" x14ac:dyDescent="0.25">
      <c r="A448" t="s">
        <v>65</v>
      </c>
      <c r="B448" t="s">
        <v>1694</v>
      </c>
      <c r="F448" s="2"/>
      <c r="G448" s="3">
        <v>46011.675974733793</v>
      </c>
      <c r="H448" s="3">
        <v>46011.676769016201</v>
      </c>
      <c r="I448" s="4" t="s">
        <v>67</v>
      </c>
      <c r="J448" t="s">
        <v>67</v>
      </c>
      <c r="K448" t="s">
        <v>67</v>
      </c>
      <c r="L448" t="s">
        <v>999</v>
      </c>
      <c r="M448" t="s">
        <v>1000</v>
      </c>
      <c r="N448" t="s">
        <v>67</v>
      </c>
      <c r="O448" t="s">
        <v>1001</v>
      </c>
      <c r="P448" t="s">
        <v>1002</v>
      </c>
      <c r="S448" s="5"/>
      <c r="T448" t="s">
        <v>72</v>
      </c>
      <c r="U448" t="s">
        <v>102</v>
      </c>
      <c r="V448" t="s">
        <v>74</v>
      </c>
      <c r="W448" t="s">
        <v>102</v>
      </c>
      <c r="AE448" s="2"/>
      <c r="AF448" s="2"/>
      <c r="AG448" s="2"/>
      <c r="AH448" s="2"/>
      <c r="AL448" s="2">
        <v>1053820</v>
      </c>
      <c r="AM448" s="2">
        <v>0</v>
      </c>
      <c r="AN448" s="2"/>
      <c r="AO448" s="2">
        <v>0</v>
      </c>
      <c r="AP448" s="2">
        <v>1053820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4"/>
      <c r="AX448" t="s">
        <v>75</v>
      </c>
      <c r="AZ448" t="s">
        <v>771</v>
      </c>
      <c r="BA448" t="s">
        <v>67</v>
      </c>
      <c r="BB448" t="s">
        <v>772</v>
      </c>
      <c r="BC448" t="s">
        <v>770</v>
      </c>
      <c r="BD448" t="s">
        <v>79</v>
      </c>
      <c r="BE448" t="s">
        <v>773</v>
      </c>
      <c r="BF448" s="5">
        <v>47360</v>
      </c>
      <c r="BH448">
        <v>3</v>
      </c>
      <c r="BI448" s="6">
        <v>399000</v>
      </c>
      <c r="BJ448" s="6">
        <v>44</v>
      </c>
      <c r="BK448" s="6">
        <v>175560</v>
      </c>
      <c r="BL448" s="6">
        <v>223440</v>
      </c>
      <c r="BM448" s="2">
        <v>670320</v>
      </c>
      <c r="BN448">
        <f>InvoiceTable[[#This Row],[Giảm giá]]*InvoiceTable[[#This Row],[Số lượng]]</f>
        <v>526680</v>
      </c>
    </row>
    <row r="449" spans="1:66" x14ac:dyDescent="0.25">
      <c r="A449" t="s">
        <v>65</v>
      </c>
      <c r="B449" t="s">
        <v>1695</v>
      </c>
      <c r="F449" s="2"/>
      <c r="G449" s="3">
        <v>46011.67166994213</v>
      </c>
      <c r="H449" s="3">
        <v>46011.67166994213</v>
      </c>
      <c r="I449" s="4" t="s">
        <v>67</v>
      </c>
      <c r="J449" t="s">
        <v>1696</v>
      </c>
      <c r="K449" t="s">
        <v>67</v>
      </c>
      <c r="L449" t="s">
        <v>569</v>
      </c>
      <c r="M449" t="s">
        <v>570</v>
      </c>
      <c r="N449" t="s">
        <v>67</v>
      </c>
      <c r="O449" t="s">
        <v>571</v>
      </c>
      <c r="P449" t="s">
        <v>572</v>
      </c>
      <c r="S449" s="5"/>
      <c r="T449" t="s">
        <v>72</v>
      </c>
      <c r="U449" t="s">
        <v>87</v>
      </c>
      <c r="V449" t="s">
        <v>74</v>
      </c>
      <c r="W449" t="s">
        <v>102</v>
      </c>
      <c r="AE449" s="2"/>
      <c r="AF449" s="2"/>
      <c r="AG449" s="2"/>
      <c r="AH449" s="2"/>
      <c r="AK449" t="s">
        <v>1697</v>
      </c>
      <c r="AL449" s="2">
        <v>3112200</v>
      </c>
      <c r="AM449" s="2">
        <v>0</v>
      </c>
      <c r="AN449" s="2"/>
      <c r="AO449" s="2">
        <v>0</v>
      </c>
      <c r="AP449" s="2">
        <v>3112200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4"/>
      <c r="AX449" t="s">
        <v>75</v>
      </c>
      <c r="AZ449" t="s">
        <v>771</v>
      </c>
      <c r="BA449" t="s">
        <v>67</v>
      </c>
      <c r="BB449" t="s">
        <v>772</v>
      </c>
      <c r="BC449" t="s">
        <v>770</v>
      </c>
      <c r="BD449" t="s">
        <v>79</v>
      </c>
      <c r="BE449" t="s">
        <v>201</v>
      </c>
      <c r="BF449" s="5">
        <v>46966</v>
      </c>
      <c r="BH449">
        <v>5</v>
      </c>
      <c r="BI449" s="6">
        <v>399000</v>
      </c>
      <c r="BJ449" s="6">
        <v>48</v>
      </c>
      <c r="BK449" s="6">
        <v>191520</v>
      </c>
      <c r="BL449" s="6">
        <v>207480</v>
      </c>
      <c r="BM449" s="2">
        <v>1037400</v>
      </c>
      <c r="BN449">
        <f>InvoiceTable[[#This Row],[Giảm giá]]*InvoiceTable[[#This Row],[Số lượng]]</f>
        <v>957600</v>
      </c>
    </row>
    <row r="450" spans="1:66" x14ac:dyDescent="0.25">
      <c r="A450" t="s">
        <v>65</v>
      </c>
      <c r="B450" t="s">
        <v>1695</v>
      </c>
      <c r="F450" s="2"/>
      <c r="G450" s="3">
        <v>46011.67166994213</v>
      </c>
      <c r="H450" s="3">
        <v>46011.67166994213</v>
      </c>
      <c r="I450" s="4" t="s">
        <v>67</v>
      </c>
      <c r="J450" t="s">
        <v>1696</v>
      </c>
      <c r="K450" t="s">
        <v>67</v>
      </c>
      <c r="L450" t="s">
        <v>569</v>
      </c>
      <c r="M450" t="s">
        <v>570</v>
      </c>
      <c r="N450" t="s">
        <v>67</v>
      </c>
      <c r="O450" t="s">
        <v>571</v>
      </c>
      <c r="P450" t="s">
        <v>572</v>
      </c>
      <c r="S450" s="5"/>
      <c r="T450" t="s">
        <v>72</v>
      </c>
      <c r="U450" t="s">
        <v>87</v>
      </c>
      <c r="V450" t="s">
        <v>74</v>
      </c>
      <c r="W450" t="s">
        <v>102</v>
      </c>
      <c r="AE450" s="2"/>
      <c r="AF450" s="2"/>
      <c r="AG450" s="2"/>
      <c r="AH450" s="2"/>
      <c r="AK450" t="s">
        <v>1697</v>
      </c>
      <c r="AL450" s="2">
        <v>3112200</v>
      </c>
      <c r="AM450" s="2">
        <v>0</v>
      </c>
      <c r="AN450" s="2"/>
      <c r="AO450" s="2">
        <v>0</v>
      </c>
      <c r="AP450" s="2">
        <v>3112200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4"/>
      <c r="AX450" t="s">
        <v>75</v>
      </c>
      <c r="AZ450" t="s">
        <v>771</v>
      </c>
      <c r="BA450" t="s">
        <v>67</v>
      </c>
      <c r="BB450" t="s">
        <v>772</v>
      </c>
      <c r="BC450" t="s">
        <v>770</v>
      </c>
      <c r="BD450" t="s">
        <v>79</v>
      </c>
      <c r="BE450" t="s">
        <v>773</v>
      </c>
      <c r="BF450" s="5">
        <v>47360</v>
      </c>
      <c r="BG450" t="s">
        <v>67</v>
      </c>
      <c r="BH450">
        <v>10</v>
      </c>
      <c r="BI450" s="6">
        <v>399000</v>
      </c>
      <c r="BJ450" s="6">
        <v>48</v>
      </c>
      <c r="BK450" s="6">
        <v>191520</v>
      </c>
      <c r="BL450" s="6">
        <v>207480</v>
      </c>
      <c r="BM450" s="2">
        <v>2074800</v>
      </c>
      <c r="BN450">
        <f>InvoiceTable[[#This Row],[Giảm giá]]*InvoiceTable[[#This Row],[Số lượng]]</f>
        <v>1915200</v>
      </c>
    </row>
    <row r="451" spans="1:66" x14ac:dyDescent="0.25">
      <c r="A451" t="s">
        <v>65</v>
      </c>
      <c r="B451" t="s">
        <v>1698</v>
      </c>
      <c r="F451" s="2"/>
      <c r="G451" s="3">
        <v>46011.663381099534</v>
      </c>
      <c r="H451" s="3">
        <v>46011.663311770833</v>
      </c>
      <c r="I451" s="4" t="s">
        <v>96</v>
      </c>
      <c r="J451" t="s">
        <v>67</v>
      </c>
      <c r="K451" t="s">
        <v>67</v>
      </c>
      <c r="L451" t="s">
        <v>732</v>
      </c>
      <c r="M451" t="s">
        <v>733</v>
      </c>
      <c r="N451" t="s">
        <v>67</v>
      </c>
      <c r="O451" t="s">
        <v>734</v>
      </c>
      <c r="P451" t="s">
        <v>735</v>
      </c>
      <c r="Q451" t="s">
        <v>736</v>
      </c>
      <c r="R451" t="s">
        <v>737</v>
      </c>
      <c r="S451" s="5"/>
      <c r="T451" t="s">
        <v>72</v>
      </c>
      <c r="U451" t="s">
        <v>102</v>
      </c>
      <c r="V451" t="s">
        <v>74</v>
      </c>
      <c r="W451" t="s">
        <v>102</v>
      </c>
      <c r="AE451" s="2"/>
      <c r="AF451" s="2"/>
      <c r="AG451" s="2"/>
      <c r="AH451" s="2"/>
      <c r="AL451" s="2">
        <v>604500</v>
      </c>
      <c r="AM451" s="2">
        <v>0</v>
      </c>
      <c r="AN451" s="2"/>
      <c r="AO451" s="2">
        <v>0</v>
      </c>
      <c r="AP451" s="2">
        <v>604500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4"/>
      <c r="AX451" t="s">
        <v>75</v>
      </c>
      <c r="AZ451" t="s">
        <v>1699</v>
      </c>
      <c r="BA451" t="s">
        <v>67</v>
      </c>
      <c r="BB451" t="s">
        <v>1700</v>
      </c>
      <c r="BC451" t="s">
        <v>1292</v>
      </c>
      <c r="BD451" t="s">
        <v>79</v>
      </c>
      <c r="BE451" t="s">
        <v>1564</v>
      </c>
      <c r="BF451" s="5">
        <v>46598</v>
      </c>
      <c r="BG451" t="s">
        <v>67</v>
      </c>
      <c r="BH451">
        <v>1</v>
      </c>
      <c r="BI451" s="6">
        <v>975000</v>
      </c>
      <c r="BJ451" s="6">
        <v>38</v>
      </c>
      <c r="BK451" s="6">
        <v>370500</v>
      </c>
      <c r="BL451" s="6">
        <v>604500</v>
      </c>
      <c r="BM451" s="2">
        <v>604500</v>
      </c>
      <c r="BN451">
        <f>InvoiceTable[[#This Row],[Giảm giá]]*InvoiceTable[[#This Row],[Số lượng]]</f>
        <v>370500</v>
      </c>
    </row>
    <row r="452" spans="1:66" x14ac:dyDescent="0.25">
      <c r="A452" t="s">
        <v>65</v>
      </c>
      <c r="B452" t="s">
        <v>1701</v>
      </c>
      <c r="F452" s="2"/>
      <c r="G452" s="3">
        <v>46011.662940624999</v>
      </c>
      <c r="H452" s="3">
        <v>46011.662940775466</v>
      </c>
      <c r="I452" s="4" t="s">
        <v>67</v>
      </c>
      <c r="J452" t="s">
        <v>1702</v>
      </c>
      <c r="K452" t="s">
        <v>67</v>
      </c>
      <c r="L452" t="s">
        <v>732</v>
      </c>
      <c r="M452" t="s">
        <v>733</v>
      </c>
      <c r="N452" t="s">
        <v>67</v>
      </c>
      <c r="O452" t="s">
        <v>734</v>
      </c>
      <c r="P452" t="s">
        <v>735</v>
      </c>
      <c r="Q452" t="s">
        <v>736</v>
      </c>
      <c r="R452" t="s">
        <v>737</v>
      </c>
      <c r="S452" s="5"/>
      <c r="T452" t="s">
        <v>72</v>
      </c>
      <c r="U452" t="s">
        <v>102</v>
      </c>
      <c r="V452" t="s">
        <v>74</v>
      </c>
      <c r="W452" t="s">
        <v>102</v>
      </c>
      <c r="AE452" s="2"/>
      <c r="AF452" s="2"/>
      <c r="AG452" s="2"/>
      <c r="AH452" s="2"/>
      <c r="AK452" t="s">
        <v>1703</v>
      </c>
      <c r="AL452" s="2">
        <v>2979900</v>
      </c>
      <c r="AM452" s="2">
        <v>0</v>
      </c>
      <c r="AN452" s="2"/>
      <c r="AO452" s="2">
        <v>0</v>
      </c>
      <c r="AP452" s="2">
        <v>2979900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4"/>
      <c r="AX452" t="s">
        <v>75</v>
      </c>
      <c r="AZ452" t="s">
        <v>1704</v>
      </c>
      <c r="BA452" t="s">
        <v>67</v>
      </c>
      <c r="BB452" t="s">
        <v>1705</v>
      </c>
      <c r="BC452" t="s">
        <v>1580</v>
      </c>
      <c r="BD452" t="s">
        <v>79</v>
      </c>
      <c r="BE452" t="s">
        <v>1706</v>
      </c>
      <c r="BF452" s="5">
        <v>46903</v>
      </c>
      <c r="BG452" t="s">
        <v>67</v>
      </c>
      <c r="BH452">
        <v>1</v>
      </c>
      <c r="BI452" s="6">
        <v>4730000</v>
      </c>
      <c r="BJ452" s="6">
        <v>37</v>
      </c>
      <c r="BK452" s="6">
        <v>1750100</v>
      </c>
      <c r="BL452" s="6">
        <v>2979900</v>
      </c>
      <c r="BM452" s="2">
        <v>2979900</v>
      </c>
      <c r="BN452">
        <f>InvoiceTable[[#This Row],[Giảm giá]]*InvoiceTable[[#This Row],[Số lượng]]</f>
        <v>1750100</v>
      </c>
    </row>
    <row r="453" spans="1:66" x14ac:dyDescent="0.25">
      <c r="A453" t="s">
        <v>65</v>
      </c>
      <c r="B453" t="s">
        <v>1707</v>
      </c>
      <c r="F453" s="2"/>
      <c r="G453" s="3">
        <v>46011.654983217595</v>
      </c>
      <c r="H453" s="3">
        <v>46011.654983333334</v>
      </c>
      <c r="I453" s="4" t="s">
        <v>67</v>
      </c>
      <c r="J453" t="s">
        <v>67</v>
      </c>
      <c r="K453" t="s">
        <v>67</v>
      </c>
      <c r="L453" t="s">
        <v>1708</v>
      </c>
      <c r="M453" t="s">
        <v>1709</v>
      </c>
      <c r="N453" t="s">
        <v>67</v>
      </c>
      <c r="O453" t="s">
        <v>1710</v>
      </c>
      <c r="P453" t="s">
        <v>1711</v>
      </c>
      <c r="S453" s="5"/>
      <c r="T453" t="s">
        <v>72</v>
      </c>
      <c r="U453" t="s">
        <v>102</v>
      </c>
      <c r="V453" t="s">
        <v>74</v>
      </c>
      <c r="W453" t="s">
        <v>102</v>
      </c>
      <c r="AE453" s="2"/>
      <c r="AF453" s="2"/>
      <c r="AG453" s="2"/>
      <c r="AH453" s="2"/>
      <c r="AL453" s="2">
        <v>675800</v>
      </c>
      <c r="AM453" s="2">
        <v>0</v>
      </c>
      <c r="AN453" s="2"/>
      <c r="AO453" s="2">
        <v>0</v>
      </c>
      <c r="AP453" s="2">
        <v>675800</v>
      </c>
      <c r="AQ453" s="2">
        <v>114800</v>
      </c>
      <c r="AR453" s="2">
        <v>0</v>
      </c>
      <c r="AS453" s="2">
        <v>0</v>
      </c>
      <c r="AT453" s="2">
        <v>0</v>
      </c>
      <c r="AU453" s="2">
        <v>114800</v>
      </c>
      <c r="AV453" s="2">
        <v>0</v>
      </c>
      <c r="AW453" s="4"/>
      <c r="AX453" t="s">
        <v>75</v>
      </c>
      <c r="AZ453" t="s">
        <v>1712</v>
      </c>
      <c r="BA453" t="s">
        <v>67</v>
      </c>
      <c r="BB453" t="s">
        <v>1713</v>
      </c>
      <c r="BC453" t="s">
        <v>1714</v>
      </c>
      <c r="BD453" t="s">
        <v>79</v>
      </c>
      <c r="BE453" t="s">
        <v>317</v>
      </c>
      <c r="BF453" s="5">
        <v>46935</v>
      </c>
      <c r="BH453">
        <v>2</v>
      </c>
      <c r="BI453" s="6">
        <v>545000</v>
      </c>
      <c r="BJ453" s="6">
        <v>38</v>
      </c>
      <c r="BK453" s="6">
        <v>207100</v>
      </c>
      <c r="BL453" s="6">
        <v>337900</v>
      </c>
      <c r="BM453" s="2">
        <v>675800</v>
      </c>
      <c r="BN453">
        <f>InvoiceTable[[#This Row],[Giảm giá]]*InvoiceTable[[#This Row],[Số lượng]]</f>
        <v>414200</v>
      </c>
    </row>
    <row r="454" spans="1:66" x14ac:dyDescent="0.25">
      <c r="A454" t="s">
        <v>65</v>
      </c>
      <c r="B454" t="s">
        <v>1715</v>
      </c>
      <c r="F454" s="2"/>
      <c r="G454" s="3">
        <v>46011.641937997687</v>
      </c>
      <c r="H454" s="3">
        <v>46011.64192642361</v>
      </c>
      <c r="I454" s="4" t="s">
        <v>1202</v>
      </c>
      <c r="J454" t="s">
        <v>1716</v>
      </c>
      <c r="K454" t="s">
        <v>67</v>
      </c>
      <c r="L454" t="s">
        <v>1717</v>
      </c>
      <c r="M454" t="s">
        <v>1718</v>
      </c>
      <c r="N454" t="s">
        <v>67</v>
      </c>
      <c r="O454" t="s">
        <v>1719</v>
      </c>
      <c r="P454" t="s">
        <v>1720</v>
      </c>
      <c r="Q454" t="s">
        <v>67</v>
      </c>
      <c r="R454" t="s">
        <v>67</v>
      </c>
      <c r="S454" s="5"/>
      <c r="T454" t="s">
        <v>72</v>
      </c>
      <c r="U454" t="s">
        <v>102</v>
      </c>
      <c r="V454" t="s">
        <v>74</v>
      </c>
      <c r="W454" t="s">
        <v>102</v>
      </c>
      <c r="AE454" s="2"/>
      <c r="AF454" s="2"/>
      <c r="AG454" s="2"/>
      <c r="AH454" s="2"/>
      <c r="AK454" t="s">
        <v>1721</v>
      </c>
      <c r="AL454" s="2">
        <v>1540800</v>
      </c>
      <c r="AM454" s="2">
        <v>0</v>
      </c>
      <c r="AN454" s="2"/>
      <c r="AO454" s="2">
        <v>0</v>
      </c>
      <c r="AP454" s="2">
        <v>1540800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4"/>
      <c r="AX454" t="s">
        <v>75</v>
      </c>
      <c r="AZ454" t="s">
        <v>910</v>
      </c>
      <c r="BA454" t="s">
        <v>67</v>
      </c>
      <c r="BB454" t="s">
        <v>911</v>
      </c>
      <c r="BC454" t="s">
        <v>804</v>
      </c>
      <c r="BD454" t="s">
        <v>79</v>
      </c>
      <c r="BE454" t="s">
        <v>168</v>
      </c>
      <c r="BF454" s="5">
        <v>46388</v>
      </c>
      <c r="BG454" t="s">
        <v>67</v>
      </c>
      <c r="BH454">
        <v>1</v>
      </c>
      <c r="BI454" s="6">
        <v>649000</v>
      </c>
      <c r="BJ454" s="6">
        <v>30</v>
      </c>
      <c r="BK454" s="6">
        <v>194700</v>
      </c>
      <c r="BL454" s="6">
        <v>454300</v>
      </c>
      <c r="BM454" s="2">
        <v>454300</v>
      </c>
      <c r="BN454">
        <f>InvoiceTable[[#This Row],[Giảm giá]]*InvoiceTable[[#This Row],[Số lượng]]</f>
        <v>194700</v>
      </c>
    </row>
    <row r="455" spans="1:66" x14ac:dyDescent="0.25">
      <c r="A455" t="s">
        <v>65</v>
      </c>
      <c r="B455" t="s">
        <v>1715</v>
      </c>
      <c r="F455" s="2"/>
      <c r="G455" s="3">
        <v>46011.641937997687</v>
      </c>
      <c r="H455" s="3">
        <v>46011.64192642361</v>
      </c>
      <c r="I455" s="4" t="s">
        <v>1202</v>
      </c>
      <c r="J455" t="s">
        <v>1716</v>
      </c>
      <c r="K455" t="s">
        <v>67</v>
      </c>
      <c r="L455" t="s">
        <v>1717</v>
      </c>
      <c r="M455" t="s">
        <v>1718</v>
      </c>
      <c r="N455" t="s">
        <v>67</v>
      </c>
      <c r="O455" t="s">
        <v>1719</v>
      </c>
      <c r="P455" t="s">
        <v>1720</v>
      </c>
      <c r="Q455" t="s">
        <v>67</v>
      </c>
      <c r="R455" t="s">
        <v>67</v>
      </c>
      <c r="S455" s="5"/>
      <c r="T455" t="s">
        <v>72</v>
      </c>
      <c r="U455" t="s">
        <v>102</v>
      </c>
      <c r="V455" t="s">
        <v>74</v>
      </c>
      <c r="W455" t="s">
        <v>102</v>
      </c>
      <c r="AE455" s="2"/>
      <c r="AF455" s="2"/>
      <c r="AG455" s="2"/>
      <c r="AH455" s="2"/>
      <c r="AK455" t="s">
        <v>1721</v>
      </c>
      <c r="AL455" s="2">
        <v>1540800</v>
      </c>
      <c r="AM455" s="2">
        <v>0</v>
      </c>
      <c r="AN455" s="2"/>
      <c r="AO455" s="2">
        <v>0</v>
      </c>
      <c r="AP455" s="2">
        <v>1540800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4"/>
      <c r="AX455" t="s">
        <v>75</v>
      </c>
      <c r="AZ455" t="s">
        <v>710</v>
      </c>
      <c r="BA455" t="s">
        <v>67</v>
      </c>
      <c r="BB455" t="s">
        <v>711</v>
      </c>
      <c r="BC455" t="s">
        <v>204</v>
      </c>
      <c r="BD455" t="s">
        <v>79</v>
      </c>
      <c r="BE455" t="s">
        <v>273</v>
      </c>
      <c r="BF455" s="5">
        <v>46266</v>
      </c>
      <c r="BG455" t="s">
        <v>67</v>
      </c>
      <c r="BH455">
        <v>1</v>
      </c>
      <c r="BI455" s="6">
        <v>850000</v>
      </c>
      <c r="BJ455" s="6">
        <v>37</v>
      </c>
      <c r="BK455" s="6">
        <v>314500</v>
      </c>
      <c r="BL455" s="6">
        <v>535500</v>
      </c>
      <c r="BM455" s="2">
        <v>535500</v>
      </c>
      <c r="BN455">
        <f>InvoiceTable[[#This Row],[Giảm giá]]*InvoiceTable[[#This Row],[Số lượng]]</f>
        <v>314500</v>
      </c>
    </row>
    <row r="456" spans="1:66" x14ac:dyDescent="0.25">
      <c r="A456" t="s">
        <v>65</v>
      </c>
      <c r="B456" t="s">
        <v>1715</v>
      </c>
      <c r="F456" s="2"/>
      <c r="G456" s="3">
        <v>46011.641937997687</v>
      </c>
      <c r="H456" s="3">
        <v>46011.64192642361</v>
      </c>
      <c r="I456" s="4" t="s">
        <v>1202</v>
      </c>
      <c r="J456" t="s">
        <v>1716</v>
      </c>
      <c r="K456" t="s">
        <v>67</v>
      </c>
      <c r="L456" t="s">
        <v>1717</v>
      </c>
      <c r="M456" t="s">
        <v>1718</v>
      </c>
      <c r="N456" t="s">
        <v>67</v>
      </c>
      <c r="O456" t="s">
        <v>1719</v>
      </c>
      <c r="P456" t="s">
        <v>1720</v>
      </c>
      <c r="Q456" t="s">
        <v>67</v>
      </c>
      <c r="R456" t="s">
        <v>67</v>
      </c>
      <c r="S456" s="5"/>
      <c r="T456" t="s">
        <v>72</v>
      </c>
      <c r="U456" t="s">
        <v>102</v>
      </c>
      <c r="V456" t="s">
        <v>74</v>
      </c>
      <c r="W456" t="s">
        <v>102</v>
      </c>
      <c r="AE456" s="2"/>
      <c r="AF456" s="2"/>
      <c r="AG456" s="2"/>
      <c r="AH456" s="2"/>
      <c r="AK456" t="s">
        <v>1721</v>
      </c>
      <c r="AL456" s="2">
        <v>1540800</v>
      </c>
      <c r="AM456" s="2">
        <v>0</v>
      </c>
      <c r="AN456" s="2"/>
      <c r="AO456" s="2">
        <v>0</v>
      </c>
      <c r="AP456" s="2">
        <v>1540800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4"/>
      <c r="AX456" t="s">
        <v>75</v>
      </c>
      <c r="AZ456" t="s">
        <v>1208</v>
      </c>
      <c r="BA456" t="s">
        <v>67</v>
      </c>
      <c r="BB456" t="s">
        <v>1209</v>
      </c>
      <c r="BC456" t="s">
        <v>344</v>
      </c>
      <c r="BD456" t="s">
        <v>79</v>
      </c>
      <c r="BE456" t="s">
        <v>293</v>
      </c>
      <c r="BF456" s="5">
        <v>46722</v>
      </c>
      <c r="BG456" t="s">
        <v>67</v>
      </c>
      <c r="BH456">
        <v>1</v>
      </c>
      <c r="BI456" s="6">
        <v>950000</v>
      </c>
      <c r="BJ456" s="6">
        <v>42</v>
      </c>
      <c r="BK456" s="6">
        <v>399000</v>
      </c>
      <c r="BL456" s="6">
        <v>551000</v>
      </c>
      <c r="BM456" s="2">
        <v>551000</v>
      </c>
      <c r="BN456">
        <f>InvoiceTable[[#This Row],[Giảm giá]]*InvoiceTable[[#This Row],[Số lượng]]</f>
        <v>399000</v>
      </c>
    </row>
    <row r="457" spans="1:66" x14ac:dyDescent="0.25">
      <c r="A457" t="s">
        <v>65</v>
      </c>
      <c r="B457" t="s">
        <v>1722</v>
      </c>
      <c r="F457" s="2"/>
      <c r="G457" s="3">
        <v>46011.641331747684</v>
      </c>
      <c r="H457" s="3">
        <v>46011.641331828701</v>
      </c>
      <c r="I457" s="4" t="s">
        <v>67</v>
      </c>
      <c r="J457" t="s">
        <v>1723</v>
      </c>
      <c r="K457" t="s">
        <v>67</v>
      </c>
      <c r="L457" t="s">
        <v>147</v>
      </c>
      <c r="M457" t="s">
        <v>148</v>
      </c>
      <c r="N457" t="s">
        <v>67</v>
      </c>
      <c r="O457" t="s">
        <v>149</v>
      </c>
      <c r="P457" t="s">
        <v>150</v>
      </c>
      <c r="S457" s="5"/>
      <c r="T457" t="s">
        <v>72</v>
      </c>
      <c r="U457" t="s">
        <v>87</v>
      </c>
      <c r="V457" t="s">
        <v>74</v>
      </c>
      <c r="W457" t="s">
        <v>102</v>
      </c>
      <c r="AE457" s="2"/>
      <c r="AF457" s="2"/>
      <c r="AG457" s="2"/>
      <c r="AH457" s="2"/>
      <c r="AK457" t="s">
        <v>1724</v>
      </c>
      <c r="AL457" s="2">
        <v>662400</v>
      </c>
      <c r="AM457" s="2">
        <v>0</v>
      </c>
      <c r="AN457" s="2"/>
      <c r="AO457" s="2">
        <v>0</v>
      </c>
      <c r="AP457" s="2">
        <v>662400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4"/>
      <c r="AX457" t="s">
        <v>75</v>
      </c>
      <c r="AZ457" t="s">
        <v>1725</v>
      </c>
      <c r="BA457" t="s">
        <v>67</v>
      </c>
      <c r="BB457" t="s">
        <v>1726</v>
      </c>
      <c r="BC457" t="s">
        <v>1183</v>
      </c>
      <c r="BD457" t="s">
        <v>79</v>
      </c>
      <c r="BE457" t="s">
        <v>1706</v>
      </c>
      <c r="BF457" s="5">
        <v>46903</v>
      </c>
      <c r="BG457" t="s">
        <v>67</v>
      </c>
      <c r="BH457">
        <v>1</v>
      </c>
      <c r="BI457" s="6">
        <v>1380000</v>
      </c>
      <c r="BJ457" s="6">
        <v>52</v>
      </c>
      <c r="BK457" s="6">
        <v>717600</v>
      </c>
      <c r="BL457" s="6">
        <v>662400</v>
      </c>
      <c r="BM457" s="2">
        <v>662400</v>
      </c>
      <c r="BN457">
        <f>InvoiceTable[[#This Row],[Giảm giá]]*InvoiceTable[[#This Row],[Số lượng]]</f>
        <v>717600</v>
      </c>
    </row>
    <row r="458" spans="1:66" x14ac:dyDescent="0.25">
      <c r="A458" t="s">
        <v>65</v>
      </c>
      <c r="B458" t="s">
        <v>1727</v>
      </c>
      <c r="F458" s="2"/>
      <c r="G458" s="3">
        <v>46011.640565162037</v>
      </c>
      <c r="H458" s="3">
        <v>46011.640565312497</v>
      </c>
      <c r="I458" s="4" t="s">
        <v>67</v>
      </c>
      <c r="J458" t="s">
        <v>1728</v>
      </c>
      <c r="K458" t="s">
        <v>67</v>
      </c>
      <c r="L458" t="s">
        <v>884</v>
      </c>
      <c r="M458" t="s">
        <v>885</v>
      </c>
      <c r="N458" t="s">
        <v>67</v>
      </c>
      <c r="O458" t="s">
        <v>886</v>
      </c>
      <c r="P458" t="s">
        <v>887</v>
      </c>
      <c r="Q458" t="s">
        <v>67</v>
      </c>
      <c r="R458" t="s">
        <v>67</v>
      </c>
      <c r="S458" s="5"/>
      <c r="T458" t="s">
        <v>72</v>
      </c>
      <c r="U458" t="s">
        <v>102</v>
      </c>
      <c r="V458" t="s">
        <v>74</v>
      </c>
      <c r="W458" t="s">
        <v>102</v>
      </c>
      <c r="AE458" s="2"/>
      <c r="AF458" s="2"/>
      <c r="AG458" s="2"/>
      <c r="AH458" s="2"/>
      <c r="AK458" t="s">
        <v>1729</v>
      </c>
      <c r="AL458" s="2">
        <v>1095300</v>
      </c>
      <c r="AM458" s="2">
        <v>0</v>
      </c>
      <c r="AN458" s="2"/>
      <c r="AO458" s="2">
        <v>0</v>
      </c>
      <c r="AP458" s="2">
        <v>1095300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4"/>
      <c r="AX458" t="s">
        <v>75</v>
      </c>
      <c r="AZ458" t="s">
        <v>1730</v>
      </c>
      <c r="BB458" t="s">
        <v>1731</v>
      </c>
      <c r="BC458" t="s">
        <v>1732</v>
      </c>
      <c r="BD458" t="s">
        <v>79</v>
      </c>
      <c r="BE458" t="s">
        <v>690</v>
      </c>
      <c r="BF458" s="5">
        <v>46807</v>
      </c>
      <c r="BG458" t="s">
        <v>67</v>
      </c>
      <c r="BH458">
        <v>1</v>
      </c>
      <c r="BI458" s="6">
        <v>1590000</v>
      </c>
      <c r="BJ458" s="6">
        <v>33</v>
      </c>
      <c r="BK458" s="6">
        <v>524700</v>
      </c>
      <c r="BL458" s="6">
        <v>1065300</v>
      </c>
      <c r="BM458" s="2">
        <v>1065300</v>
      </c>
      <c r="BN458">
        <f>InvoiceTable[[#This Row],[Giảm giá]]*InvoiceTable[[#This Row],[Số lượng]]</f>
        <v>524700</v>
      </c>
    </row>
    <row r="459" spans="1:66" x14ac:dyDescent="0.25">
      <c r="A459" t="s">
        <v>65</v>
      </c>
      <c r="B459" t="s">
        <v>1727</v>
      </c>
      <c r="F459" s="2"/>
      <c r="G459" s="3">
        <v>46011.640565162037</v>
      </c>
      <c r="H459" s="3">
        <v>46011.640565312497</v>
      </c>
      <c r="I459" s="4" t="s">
        <v>67</v>
      </c>
      <c r="J459" t="s">
        <v>1728</v>
      </c>
      <c r="K459" t="s">
        <v>67</v>
      </c>
      <c r="L459" t="s">
        <v>884</v>
      </c>
      <c r="M459" t="s">
        <v>885</v>
      </c>
      <c r="N459" t="s">
        <v>67</v>
      </c>
      <c r="O459" t="s">
        <v>886</v>
      </c>
      <c r="P459" t="s">
        <v>887</v>
      </c>
      <c r="Q459" t="s">
        <v>67</v>
      </c>
      <c r="R459" t="s">
        <v>67</v>
      </c>
      <c r="S459" s="5"/>
      <c r="T459" t="s">
        <v>72</v>
      </c>
      <c r="U459" t="s">
        <v>102</v>
      </c>
      <c r="V459" t="s">
        <v>74</v>
      </c>
      <c r="W459" t="s">
        <v>102</v>
      </c>
      <c r="AE459" s="2"/>
      <c r="AF459" s="2"/>
      <c r="AG459" s="2"/>
      <c r="AH459" s="2"/>
      <c r="AK459" t="s">
        <v>1729</v>
      </c>
      <c r="AL459" s="2">
        <v>1095300</v>
      </c>
      <c r="AM459" s="2">
        <v>0</v>
      </c>
      <c r="AN459" s="2"/>
      <c r="AO459" s="2">
        <v>0</v>
      </c>
      <c r="AP459" s="2">
        <v>1095300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4"/>
      <c r="AX459" t="s">
        <v>75</v>
      </c>
      <c r="AZ459" t="s">
        <v>88</v>
      </c>
      <c r="BB459" t="s">
        <v>89</v>
      </c>
      <c r="BC459" t="s">
        <v>90</v>
      </c>
      <c r="BF459" s="5"/>
      <c r="BG459" t="s">
        <v>67</v>
      </c>
      <c r="BH459">
        <v>1</v>
      </c>
      <c r="BI459" s="6">
        <v>30000</v>
      </c>
      <c r="BJ459" s="6">
        <v>0</v>
      </c>
      <c r="BK459" s="6">
        <v>0</v>
      </c>
      <c r="BL459" s="6">
        <v>30000</v>
      </c>
      <c r="BM459" s="2">
        <v>30000</v>
      </c>
      <c r="BN459">
        <f>InvoiceTable[[#This Row],[Giảm giá]]*InvoiceTable[[#This Row],[Số lượng]]</f>
        <v>0</v>
      </c>
    </row>
    <row r="460" spans="1:66" x14ac:dyDescent="0.25">
      <c r="A460" t="s">
        <v>65</v>
      </c>
      <c r="B460" t="s">
        <v>1733</v>
      </c>
      <c r="F460" s="2"/>
      <c r="G460" s="3">
        <v>46011.636934641203</v>
      </c>
      <c r="H460" s="3">
        <v>46011.636934756942</v>
      </c>
      <c r="I460" s="4" t="s">
        <v>67</v>
      </c>
      <c r="J460" t="s">
        <v>67</v>
      </c>
      <c r="K460" t="s">
        <v>67</v>
      </c>
      <c r="L460" t="s">
        <v>884</v>
      </c>
      <c r="M460" t="s">
        <v>885</v>
      </c>
      <c r="N460" t="s">
        <v>67</v>
      </c>
      <c r="O460" t="s">
        <v>886</v>
      </c>
      <c r="P460" t="s">
        <v>887</v>
      </c>
      <c r="Q460" t="s">
        <v>67</v>
      </c>
      <c r="R460" t="s">
        <v>67</v>
      </c>
      <c r="S460" s="5"/>
      <c r="T460" t="s">
        <v>72</v>
      </c>
      <c r="U460" t="s">
        <v>102</v>
      </c>
      <c r="V460" t="s">
        <v>74</v>
      </c>
      <c r="W460" t="s">
        <v>102</v>
      </c>
      <c r="AE460" s="2"/>
      <c r="AF460" s="2"/>
      <c r="AG460" s="2"/>
      <c r="AH460" s="2"/>
      <c r="AK460" t="s">
        <v>1734</v>
      </c>
      <c r="AL460" s="2">
        <v>4087000</v>
      </c>
      <c r="AM460" s="2">
        <v>0</v>
      </c>
      <c r="AN460" s="2"/>
      <c r="AO460" s="2">
        <v>0</v>
      </c>
      <c r="AP460" s="2">
        <v>4087000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4"/>
      <c r="AX460" t="s">
        <v>75</v>
      </c>
      <c r="AZ460" t="s">
        <v>1730</v>
      </c>
      <c r="BB460" t="s">
        <v>1731</v>
      </c>
      <c r="BC460" t="s">
        <v>1732</v>
      </c>
      <c r="BD460" t="s">
        <v>79</v>
      </c>
      <c r="BE460" t="s">
        <v>690</v>
      </c>
      <c r="BF460" s="5">
        <v>46807</v>
      </c>
      <c r="BG460" t="s">
        <v>67</v>
      </c>
      <c r="BH460">
        <v>1</v>
      </c>
      <c r="BI460" s="6">
        <v>1590000</v>
      </c>
      <c r="BJ460" s="6">
        <v>33</v>
      </c>
      <c r="BK460" s="6">
        <v>524700</v>
      </c>
      <c r="BL460" s="6">
        <v>1065300</v>
      </c>
      <c r="BM460" s="2">
        <v>1065300</v>
      </c>
      <c r="BN460">
        <f>InvoiceTable[[#This Row],[Giảm giá]]*InvoiceTable[[#This Row],[Số lượng]]</f>
        <v>524700</v>
      </c>
    </row>
    <row r="461" spans="1:66" x14ac:dyDescent="0.25">
      <c r="A461" t="s">
        <v>65</v>
      </c>
      <c r="B461" t="s">
        <v>1733</v>
      </c>
      <c r="F461" s="2"/>
      <c r="G461" s="3">
        <v>46011.636934641203</v>
      </c>
      <c r="H461" s="3">
        <v>46011.636934756942</v>
      </c>
      <c r="I461" s="4" t="s">
        <v>67</v>
      </c>
      <c r="J461" t="s">
        <v>67</v>
      </c>
      <c r="K461" t="s">
        <v>67</v>
      </c>
      <c r="L461" t="s">
        <v>884</v>
      </c>
      <c r="M461" t="s">
        <v>885</v>
      </c>
      <c r="N461" t="s">
        <v>67</v>
      </c>
      <c r="O461" t="s">
        <v>886</v>
      </c>
      <c r="P461" t="s">
        <v>887</v>
      </c>
      <c r="Q461" t="s">
        <v>67</v>
      </c>
      <c r="R461" t="s">
        <v>67</v>
      </c>
      <c r="S461" s="5"/>
      <c r="T461" t="s">
        <v>72</v>
      </c>
      <c r="U461" t="s">
        <v>102</v>
      </c>
      <c r="V461" t="s">
        <v>74</v>
      </c>
      <c r="W461" t="s">
        <v>102</v>
      </c>
      <c r="AE461" s="2"/>
      <c r="AF461" s="2"/>
      <c r="AG461" s="2"/>
      <c r="AH461" s="2"/>
      <c r="AK461" t="s">
        <v>1734</v>
      </c>
      <c r="AL461" s="2">
        <v>4087000</v>
      </c>
      <c r="AM461" s="2">
        <v>0</v>
      </c>
      <c r="AN461" s="2"/>
      <c r="AO461" s="2">
        <v>0</v>
      </c>
      <c r="AP461" s="2">
        <v>4087000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4"/>
      <c r="AX461" t="s">
        <v>75</v>
      </c>
      <c r="AZ461" t="s">
        <v>1735</v>
      </c>
      <c r="BA461" t="s">
        <v>67</v>
      </c>
      <c r="BB461" t="s">
        <v>1736</v>
      </c>
      <c r="BC461" t="s">
        <v>1732</v>
      </c>
      <c r="BD461" t="s">
        <v>79</v>
      </c>
      <c r="BE461" t="s">
        <v>198</v>
      </c>
      <c r="BF461" s="5">
        <v>46753</v>
      </c>
      <c r="BG461" t="s">
        <v>67</v>
      </c>
      <c r="BH461">
        <v>1</v>
      </c>
      <c r="BI461" s="6">
        <v>3020000</v>
      </c>
      <c r="BJ461" s="6">
        <v>33</v>
      </c>
      <c r="BK461" s="6">
        <v>996600</v>
      </c>
      <c r="BL461" s="6">
        <v>2023400</v>
      </c>
      <c r="BM461" s="2">
        <v>2023400</v>
      </c>
      <c r="BN461">
        <f>InvoiceTable[[#This Row],[Giảm giá]]*InvoiceTable[[#This Row],[Số lượng]]</f>
        <v>996600</v>
      </c>
    </row>
    <row r="462" spans="1:66" x14ac:dyDescent="0.25">
      <c r="A462" t="s">
        <v>65</v>
      </c>
      <c r="B462" t="s">
        <v>1733</v>
      </c>
      <c r="F462" s="2"/>
      <c r="G462" s="3">
        <v>46011.636934641203</v>
      </c>
      <c r="H462" s="3">
        <v>46011.636934756942</v>
      </c>
      <c r="I462" s="4" t="s">
        <v>67</v>
      </c>
      <c r="J462" t="s">
        <v>67</v>
      </c>
      <c r="K462" t="s">
        <v>67</v>
      </c>
      <c r="L462" t="s">
        <v>884</v>
      </c>
      <c r="M462" t="s">
        <v>885</v>
      </c>
      <c r="N462" t="s">
        <v>67</v>
      </c>
      <c r="O462" t="s">
        <v>886</v>
      </c>
      <c r="P462" t="s">
        <v>887</v>
      </c>
      <c r="Q462" t="s">
        <v>67</v>
      </c>
      <c r="R462" t="s">
        <v>67</v>
      </c>
      <c r="S462" s="5"/>
      <c r="T462" t="s">
        <v>72</v>
      </c>
      <c r="U462" t="s">
        <v>102</v>
      </c>
      <c r="V462" t="s">
        <v>74</v>
      </c>
      <c r="W462" t="s">
        <v>102</v>
      </c>
      <c r="AE462" s="2"/>
      <c r="AF462" s="2"/>
      <c r="AG462" s="2"/>
      <c r="AH462" s="2"/>
      <c r="AK462" t="s">
        <v>1734</v>
      </c>
      <c r="AL462" s="2">
        <v>4087000</v>
      </c>
      <c r="AM462" s="2">
        <v>0</v>
      </c>
      <c r="AN462" s="2"/>
      <c r="AO462" s="2">
        <v>0</v>
      </c>
      <c r="AP462" s="2">
        <v>4087000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4"/>
      <c r="AX462" t="s">
        <v>75</v>
      </c>
      <c r="AZ462" t="s">
        <v>1737</v>
      </c>
      <c r="BA462" t="s">
        <v>67</v>
      </c>
      <c r="BB462" t="s">
        <v>1738</v>
      </c>
      <c r="BC462" t="s">
        <v>1732</v>
      </c>
      <c r="BD462" t="s">
        <v>79</v>
      </c>
      <c r="BE462" t="s">
        <v>1739</v>
      </c>
      <c r="BF462" s="5">
        <v>47021</v>
      </c>
      <c r="BG462" t="s">
        <v>67</v>
      </c>
      <c r="BH462">
        <v>1</v>
      </c>
      <c r="BI462" s="6">
        <v>1490000</v>
      </c>
      <c r="BJ462" s="6">
        <v>33</v>
      </c>
      <c r="BK462" s="6">
        <v>491700</v>
      </c>
      <c r="BL462" s="6">
        <v>998300</v>
      </c>
      <c r="BM462" s="2">
        <v>998300</v>
      </c>
      <c r="BN462">
        <f>InvoiceTable[[#This Row],[Giảm giá]]*InvoiceTable[[#This Row],[Số lượng]]</f>
        <v>491700</v>
      </c>
    </row>
    <row r="463" spans="1:66" x14ac:dyDescent="0.25">
      <c r="A463" t="s">
        <v>65</v>
      </c>
      <c r="B463" t="s">
        <v>1740</v>
      </c>
      <c r="F463" s="2"/>
      <c r="G463" s="3">
        <v>46011.620084837959</v>
      </c>
      <c r="H463" s="3">
        <v>46011.620084953705</v>
      </c>
      <c r="I463" s="4" t="s">
        <v>67</v>
      </c>
      <c r="J463" t="s">
        <v>1741</v>
      </c>
      <c r="K463" t="s">
        <v>67</v>
      </c>
      <c r="L463" t="s">
        <v>726</v>
      </c>
      <c r="M463" t="s">
        <v>727</v>
      </c>
      <c r="N463" t="s">
        <v>67</v>
      </c>
      <c r="O463" t="s">
        <v>728</v>
      </c>
      <c r="P463" t="s">
        <v>729</v>
      </c>
      <c r="S463" s="5"/>
      <c r="T463" t="s">
        <v>72</v>
      </c>
      <c r="U463" t="s">
        <v>87</v>
      </c>
      <c r="V463" t="s">
        <v>74</v>
      </c>
      <c r="W463" t="s">
        <v>102</v>
      </c>
      <c r="AE463" s="2"/>
      <c r="AF463" s="2"/>
      <c r="AG463" s="2"/>
      <c r="AH463" s="2"/>
      <c r="AK463" t="s">
        <v>67</v>
      </c>
      <c r="AL463" s="2">
        <v>8521500</v>
      </c>
      <c r="AM463" s="2">
        <v>0</v>
      </c>
      <c r="AN463" s="2"/>
      <c r="AO463" s="2">
        <v>0</v>
      </c>
      <c r="AP463" s="2">
        <v>8521500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4"/>
      <c r="AX463" t="s">
        <v>75</v>
      </c>
      <c r="AZ463" t="s">
        <v>424</v>
      </c>
      <c r="BA463" t="s">
        <v>67</v>
      </c>
      <c r="BB463" t="s">
        <v>425</v>
      </c>
      <c r="BC463" t="s">
        <v>426</v>
      </c>
      <c r="BD463" t="s">
        <v>79</v>
      </c>
      <c r="BE463" t="s">
        <v>198</v>
      </c>
      <c r="BF463" s="5">
        <v>46753</v>
      </c>
      <c r="BH463">
        <v>15</v>
      </c>
      <c r="BI463" s="6">
        <v>590000</v>
      </c>
      <c r="BJ463" s="6">
        <v>45</v>
      </c>
      <c r="BK463" s="6">
        <v>265500</v>
      </c>
      <c r="BL463" s="6">
        <v>324500</v>
      </c>
      <c r="BM463" s="2">
        <v>4867500</v>
      </c>
      <c r="BN463">
        <f>InvoiceTable[[#This Row],[Giảm giá]]*InvoiceTable[[#This Row],[Số lượng]]</f>
        <v>3982500</v>
      </c>
    </row>
    <row r="464" spans="1:66" x14ac:dyDescent="0.25">
      <c r="A464" t="s">
        <v>65</v>
      </c>
      <c r="B464" t="s">
        <v>1740</v>
      </c>
      <c r="F464" s="2"/>
      <c r="G464" s="3">
        <v>46011.620084837959</v>
      </c>
      <c r="H464" s="3">
        <v>46011.620084953705</v>
      </c>
      <c r="I464" s="4" t="s">
        <v>67</v>
      </c>
      <c r="J464" t="s">
        <v>1741</v>
      </c>
      <c r="K464" t="s">
        <v>67</v>
      </c>
      <c r="L464" t="s">
        <v>726</v>
      </c>
      <c r="M464" t="s">
        <v>727</v>
      </c>
      <c r="N464" t="s">
        <v>67</v>
      </c>
      <c r="O464" t="s">
        <v>728</v>
      </c>
      <c r="P464" t="s">
        <v>729</v>
      </c>
      <c r="S464" s="5"/>
      <c r="T464" t="s">
        <v>72</v>
      </c>
      <c r="U464" t="s">
        <v>87</v>
      </c>
      <c r="V464" t="s">
        <v>74</v>
      </c>
      <c r="W464" t="s">
        <v>102</v>
      </c>
      <c r="AE464" s="2"/>
      <c r="AF464" s="2"/>
      <c r="AG464" s="2"/>
      <c r="AH464" s="2"/>
      <c r="AK464" t="s">
        <v>67</v>
      </c>
      <c r="AL464" s="2">
        <v>8521500</v>
      </c>
      <c r="AM464" s="2">
        <v>0</v>
      </c>
      <c r="AN464" s="2"/>
      <c r="AO464" s="2">
        <v>0</v>
      </c>
      <c r="AP464" s="2">
        <v>8521500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4"/>
      <c r="AX464" t="s">
        <v>75</v>
      </c>
      <c r="AZ464" t="s">
        <v>763</v>
      </c>
      <c r="BA464" t="s">
        <v>67</v>
      </c>
      <c r="BB464" t="s">
        <v>764</v>
      </c>
      <c r="BC464" t="s">
        <v>251</v>
      </c>
      <c r="BD464" t="s">
        <v>79</v>
      </c>
      <c r="BE464" t="s">
        <v>715</v>
      </c>
      <c r="BF464" s="5">
        <v>46631</v>
      </c>
      <c r="BG464" t="s">
        <v>67</v>
      </c>
      <c r="BH464">
        <v>15</v>
      </c>
      <c r="BI464" s="6">
        <v>435000</v>
      </c>
      <c r="BJ464" s="6">
        <v>44</v>
      </c>
      <c r="BK464" s="6">
        <v>191400</v>
      </c>
      <c r="BL464" s="6">
        <v>243600</v>
      </c>
      <c r="BM464" s="2">
        <v>3654000</v>
      </c>
      <c r="BN464">
        <f>InvoiceTable[[#This Row],[Giảm giá]]*InvoiceTable[[#This Row],[Số lượng]]</f>
        <v>2871000</v>
      </c>
    </row>
    <row r="465" spans="1:66" x14ac:dyDescent="0.25">
      <c r="A465" t="s">
        <v>65</v>
      </c>
      <c r="B465" t="s">
        <v>1742</v>
      </c>
      <c r="F465" s="2"/>
      <c r="G465" s="3">
        <v>46011.611788344904</v>
      </c>
      <c r="H465" s="3">
        <v>46011.611788541668</v>
      </c>
      <c r="I465" s="4" t="s">
        <v>67</v>
      </c>
      <c r="J465" t="s">
        <v>67</v>
      </c>
      <c r="K465" t="s">
        <v>67</v>
      </c>
      <c r="L465" t="s">
        <v>884</v>
      </c>
      <c r="M465" t="s">
        <v>885</v>
      </c>
      <c r="N465" t="s">
        <v>67</v>
      </c>
      <c r="O465" t="s">
        <v>886</v>
      </c>
      <c r="P465" t="s">
        <v>887</v>
      </c>
      <c r="Q465" t="s">
        <v>67</v>
      </c>
      <c r="R465" t="s">
        <v>67</v>
      </c>
      <c r="S465" s="5"/>
      <c r="T465" t="s">
        <v>72</v>
      </c>
      <c r="U465" t="s">
        <v>102</v>
      </c>
      <c r="V465" t="s">
        <v>74</v>
      </c>
      <c r="W465" t="s">
        <v>102</v>
      </c>
      <c r="AE465" s="2"/>
      <c r="AF465" s="2"/>
      <c r="AG465" s="2"/>
      <c r="AH465" s="2"/>
      <c r="AL465" s="2">
        <v>1260000</v>
      </c>
      <c r="AM465" s="2">
        <v>0</v>
      </c>
      <c r="AN465" s="2"/>
      <c r="AO465" s="2">
        <v>0</v>
      </c>
      <c r="AP465" s="2">
        <v>1260000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4"/>
      <c r="AX465" t="s">
        <v>75</v>
      </c>
      <c r="AZ465" t="s">
        <v>124</v>
      </c>
      <c r="BA465" t="s">
        <v>67</v>
      </c>
      <c r="BB465" t="s">
        <v>125</v>
      </c>
      <c r="BC465" t="s">
        <v>126</v>
      </c>
      <c r="BD465" t="s">
        <v>79</v>
      </c>
      <c r="BE465" t="s">
        <v>127</v>
      </c>
      <c r="BF465" s="5">
        <v>46683</v>
      </c>
      <c r="BH465">
        <v>2</v>
      </c>
      <c r="BI465" s="6">
        <v>1200000</v>
      </c>
      <c r="BJ465" s="6">
        <v>0</v>
      </c>
      <c r="BK465" s="6">
        <v>570000</v>
      </c>
      <c r="BL465" s="6">
        <v>630000</v>
      </c>
      <c r="BM465" s="2">
        <v>1260000</v>
      </c>
      <c r="BN465">
        <f>InvoiceTable[[#This Row],[Giảm giá]]*InvoiceTable[[#This Row],[Số lượng]]</f>
        <v>1140000</v>
      </c>
    </row>
    <row r="466" spans="1:66" x14ac:dyDescent="0.25">
      <c r="A466" t="s">
        <v>65</v>
      </c>
      <c r="B466" t="s">
        <v>1743</v>
      </c>
      <c r="F466" s="2"/>
      <c r="G466" s="3">
        <v>46011.604157870373</v>
      </c>
      <c r="H466" s="3">
        <v>46011.604158020833</v>
      </c>
      <c r="I466" s="4" t="s">
        <v>67</v>
      </c>
      <c r="J466" t="s">
        <v>67</v>
      </c>
      <c r="K466" t="s">
        <v>67</v>
      </c>
      <c r="L466" t="s">
        <v>1353</v>
      </c>
      <c r="M466" t="s">
        <v>1354</v>
      </c>
      <c r="N466" t="s">
        <v>1355</v>
      </c>
      <c r="O466" t="s">
        <v>1356</v>
      </c>
      <c r="P466" t="s">
        <v>1357</v>
      </c>
      <c r="S466" s="5"/>
      <c r="T466" t="s">
        <v>72</v>
      </c>
      <c r="U466" t="s">
        <v>102</v>
      </c>
      <c r="V466" t="s">
        <v>74</v>
      </c>
      <c r="W466" t="s">
        <v>102</v>
      </c>
      <c r="AE466" s="2"/>
      <c r="AF466" s="2"/>
      <c r="AG466" s="2"/>
      <c r="AH466" s="2"/>
      <c r="AL466" s="2">
        <v>461500</v>
      </c>
      <c r="AM466" s="2">
        <v>0</v>
      </c>
      <c r="AN466" s="2"/>
      <c r="AO466" s="2">
        <v>0</v>
      </c>
      <c r="AP466" s="2">
        <v>461500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4"/>
      <c r="AX466" t="s">
        <v>75</v>
      </c>
      <c r="AZ466" t="s">
        <v>1744</v>
      </c>
      <c r="BA466" t="s">
        <v>67</v>
      </c>
      <c r="BB466" t="s">
        <v>1745</v>
      </c>
      <c r="BC466" t="s">
        <v>93</v>
      </c>
      <c r="BD466" t="s">
        <v>79</v>
      </c>
      <c r="BE466" t="s">
        <v>142</v>
      </c>
      <c r="BF466" s="5">
        <v>46844</v>
      </c>
      <c r="BH466">
        <v>5</v>
      </c>
      <c r="BI466" s="6">
        <v>142000</v>
      </c>
      <c r="BJ466" s="6">
        <v>35</v>
      </c>
      <c r="BK466" s="6">
        <v>49700</v>
      </c>
      <c r="BL466" s="6">
        <v>92300</v>
      </c>
      <c r="BM466" s="2">
        <v>461500</v>
      </c>
      <c r="BN466">
        <f>InvoiceTable[[#This Row],[Giảm giá]]*InvoiceTable[[#This Row],[Số lượng]]</f>
        <v>248500</v>
      </c>
    </row>
    <row r="467" spans="1:66" x14ac:dyDescent="0.25">
      <c r="A467" t="s">
        <v>65</v>
      </c>
      <c r="B467" t="s">
        <v>1746</v>
      </c>
      <c r="F467" s="2"/>
      <c r="G467" s="3">
        <v>46011.601427696762</v>
      </c>
      <c r="H467" s="3">
        <v>46011.6014278125</v>
      </c>
      <c r="I467" s="4" t="s">
        <v>67</v>
      </c>
      <c r="J467" t="s">
        <v>1747</v>
      </c>
      <c r="K467" t="s">
        <v>67</v>
      </c>
      <c r="L467" t="s">
        <v>1748</v>
      </c>
      <c r="M467" t="s">
        <v>1749</v>
      </c>
      <c r="N467" t="s">
        <v>67</v>
      </c>
      <c r="O467" t="s">
        <v>1750</v>
      </c>
      <c r="P467" t="s">
        <v>1751</v>
      </c>
      <c r="Q467" t="s">
        <v>67</v>
      </c>
      <c r="R467" t="s">
        <v>67</v>
      </c>
      <c r="S467" s="5"/>
      <c r="T467" t="s">
        <v>72</v>
      </c>
      <c r="U467" t="s">
        <v>102</v>
      </c>
      <c r="V467" t="s">
        <v>74</v>
      </c>
      <c r="W467" t="s">
        <v>102</v>
      </c>
      <c r="AE467" s="2"/>
      <c r="AF467" s="2"/>
      <c r="AG467" s="2"/>
      <c r="AH467" s="2"/>
      <c r="AL467" s="2">
        <v>650000</v>
      </c>
      <c r="AM467" s="2">
        <v>0</v>
      </c>
      <c r="AN467" s="2"/>
      <c r="AO467" s="2">
        <v>0</v>
      </c>
      <c r="AP467" s="2">
        <v>650000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4"/>
      <c r="AX467" t="s">
        <v>75</v>
      </c>
      <c r="AZ467" t="s">
        <v>375</v>
      </c>
      <c r="BA467" t="s">
        <v>67</v>
      </c>
      <c r="BB467" t="s">
        <v>376</v>
      </c>
      <c r="BC467" t="s">
        <v>377</v>
      </c>
      <c r="BD467" t="s">
        <v>79</v>
      </c>
      <c r="BE467" t="s">
        <v>378</v>
      </c>
      <c r="BF467" s="5">
        <v>46997</v>
      </c>
      <c r="BH467">
        <v>2</v>
      </c>
      <c r="BI467" s="6">
        <v>500000</v>
      </c>
      <c r="BJ467" s="6">
        <v>35</v>
      </c>
      <c r="BK467" s="6">
        <v>175000</v>
      </c>
      <c r="BL467" s="6">
        <v>325000</v>
      </c>
      <c r="BM467" s="2">
        <v>650000</v>
      </c>
      <c r="BN467">
        <f>InvoiceTable[[#This Row],[Giảm giá]]*InvoiceTable[[#This Row],[Số lượng]]</f>
        <v>350000</v>
      </c>
    </row>
    <row r="468" spans="1:66" x14ac:dyDescent="0.25">
      <c r="A468" t="s">
        <v>65</v>
      </c>
      <c r="B468" t="s">
        <v>1752</v>
      </c>
      <c r="F468" s="2"/>
      <c r="G468" s="3">
        <v>46011.600910150461</v>
      </c>
      <c r="H468" s="3">
        <v>46011.60089869213</v>
      </c>
      <c r="I468" s="4" t="s">
        <v>1682</v>
      </c>
      <c r="J468" t="s">
        <v>1753</v>
      </c>
      <c r="K468" t="s">
        <v>67</v>
      </c>
      <c r="L468" t="s">
        <v>147</v>
      </c>
      <c r="M468" t="s">
        <v>148</v>
      </c>
      <c r="N468" t="s">
        <v>67</v>
      </c>
      <c r="O468" t="s">
        <v>149</v>
      </c>
      <c r="P468" t="s">
        <v>150</v>
      </c>
      <c r="S468" s="5"/>
      <c r="T468" t="s">
        <v>72</v>
      </c>
      <c r="U468" t="s">
        <v>87</v>
      </c>
      <c r="V468" t="s">
        <v>74</v>
      </c>
      <c r="W468" t="s">
        <v>102</v>
      </c>
      <c r="AE468" s="2"/>
      <c r="AF468" s="2"/>
      <c r="AG468" s="2"/>
      <c r="AH468" s="2"/>
      <c r="AK468" t="s">
        <v>1754</v>
      </c>
      <c r="AL468" s="2">
        <v>2500000</v>
      </c>
      <c r="AM468" s="2">
        <v>0</v>
      </c>
      <c r="AN468" s="2"/>
      <c r="AO468" s="2">
        <v>0</v>
      </c>
      <c r="AP468" s="2">
        <v>2500000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4"/>
      <c r="AX468" t="s">
        <v>75</v>
      </c>
      <c r="AZ468" t="s">
        <v>107</v>
      </c>
      <c r="BA468" t="s">
        <v>67</v>
      </c>
      <c r="BB468" t="s">
        <v>108</v>
      </c>
      <c r="BC468" t="s">
        <v>109</v>
      </c>
      <c r="BD468" t="s">
        <v>79</v>
      </c>
      <c r="BE468" t="s">
        <v>94</v>
      </c>
      <c r="BF468" s="5">
        <v>46692</v>
      </c>
      <c r="BG468" t="s">
        <v>67</v>
      </c>
      <c r="BH468">
        <v>1</v>
      </c>
      <c r="BI468" s="6">
        <v>4500000</v>
      </c>
      <c r="BJ468" s="6">
        <v>0</v>
      </c>
      <c r="BK468" s="6">
        <v>2000000</v>
      </c>
      <c r="BL468" s="6">
        <v>2500000</v>
      </c>
      <c r="BM468" s="2">
        <v>2500000</v>
      </c>
      <c r="BN468">
        <f>InvoiceTable[[#This Row],[Giảm giá]]*InvoiceTable[[#This Row],[Số lượng]]</f>
        <v>2000000</v>
      </c>
    </row>
    <row r="469" spans="1:66" x14ac:dyDescent="0.25">
      <c r="A469" t="s">
        <v>65</v>
      </c>
      <c r="B469" t="s">
        <v>1755</v>
      </c>
      <c r="F469" s="2"/>
      <c r="G469" s="3">
        <v>46011.600231979166</v>
      </c>
      <c r="H469" s="3">
        <v>46011.600232141202</v>
      </c>
      <c r="I469" s="4" t="s">
        <v>67</v>
      </c>
      <c r="J469" t="s">
        <v>1756</v>
      </c>
      <c r="K469" t="s">
        <v>67</v>
      </c>
      <c r="L469" t="s">
        <v>654</v>
      </c>
      <c r="M469" t="s">
        <v>655</v>
      </c>
      <c r="N469" t="s">
        <v>67</v>
      </c>
      <c r="O469" t="s">
        <v>656</v>
      </c>
      <c r="P469" t="s">
        <v>657</v>
      </c>
      <c r="Q469" t="s">
        <v>658</v>
      </c>
      <c r="R469" t="s">
        <v>67</v>
      </c>
      <c r="S469" s="5"/>
      <c r="T469" t="s">
        <v>72</v>
      </c>
      <c r="U469" t="s">
        <v>87</v>
      </c>
      <c r="V469" t="s">
        <v>74</v>
      </c>
      <c r="W469" t="s">
        <v>102</v>
      </c>
      <c r="AE469" s="2"/>
      <c r="AF469" s="2"/>
      <c r="AG469" s="2"/>
      <c r="AH469" s="2"/>
      <c r="AK469" t="s">
        <v>282</v>
      </c>
      <c r="AL469" s="2">
        <v>5778000</v>
      </c>
      <c r="AM469" s="2">
        <v>0</v>
      </c>
      <c r="AN469" s="2"/>
      <c r="AO469" s="2">
        <v>0</v>
      </c>
      <c r="AP469" s="2">
        <v>5778000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4"/>
      <c r="AX469" t="s">
        <v>75</v>
      </c>
      <c r="AZ469" t="s">
        <v>1588</v>
      </c>
      <c r="BA469" t="s">
        <v>67</v>
      </c>
      <c r="BB469" t="s">
        <v>1589</v>
      </c>
      <c r="BC469" t="s">
        <v>377</v>
      </c>
      <c r="BD469" t="s">
        <v>79</v>
      </c>
      <c r="BE469" t="s">
        <v>378</v>
      </c>
      <c r="BF469" s="5">
        <v>46997</v>
      </c>
      <c r="BG469" t="s">
        <v>67</v>
      </c>
      <c r="BH469">
        <v>2</v>
      </c>
      <c r="BI469" s="6">
        <v>4815000</v>
      </c>
      <c r="BJ469" s="6">
        <v>40</v>
      </c>
      <c r="BK469" s="6">
        <v>1926000</v>
      </c>
      <c r="BL469" s="6">
        <v>2889000</v>
      </c>
      <c r="BM469" s="2">
        <v>5778000</v>
      </c>
      <c r="BN469">
        <f>InvoiceTable[[#This Row],[Giảm giá]]*InvoiceTable[[#This Row],[Số lượng]]</f>
        <v>3852000</v>
      </c>
    </row>
    <row r="470" spans="1:66" x14ac:dyDescent="0.25">
      <c r="A470" t="s">
        <v>65</v>
      </c>
      <c r="B470" t="s">
        <v>1757</v>
      </c>
      <c r="F470" s="2"/>
      <c r="G470" s="3">
        <v>46011.599125000001</v>
      </c>
      <c r="H470" s="3">
        <v>46011.59912515046</v>
      </c>
      <c r="I470" s="4" t="s">
        <v>67</v>
      </c>
      <c r="J470" t="s">
        <v>1758</v>
      </c>
      <c r="K470" t="s">
        <v>67</v>
      </c>
      <c r="L470" t="s">
        <v>1353</v>
      </c>
      <c r="M470" t="s">
        <v>1354</v>
      </c>
      <c r="N470" t="s">
        <v>1355</v>
      </c>
      <c r="O470" t="s">
        <v>1356</v>
      </c>
      <c r="P470" t="s">
        <v>1357</v>
      </c>
      <c r="S470" s="5"/>
      <c r="T470" t="s">
        <v>72</v>
      </c>
      <c r="U470" t="s">
        <v>102</v>
      </c>
      <c r="V470" t="s">
        <v>74</v>
      </c>
      <c r="W470" t="s">
        <v>102</v>
      </c>
      <c r="AE470" s="2"/>
      <c r="AF470" s="2"/>
      <c r="AG470" s="2"/>
      <c r="AH470" s="2"/>
      <c r="AL470" s="2">
        <v>1617033</v>
      </c>
      <c r="AM470" s="2">
        <v>0</v>
      </c>
      <c r="AN470" s="2"/>
      <c r="AO470" s="2">
        <v>0</v>
      </c>
      <c r="AP470" s="2">
        <v>1617033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4"/>
      <c r="AX470" t="s">
        <v>75</v>
      </c>
      <c r="AZ470" t="s">
        <v>1759</v>
      </c>
      <c r="BA470" t="s">
        <v>67</v>
      </c>
      <c r="BB470" t="s">
        <v>1760</v>
      </c>
      <c r="BC470" t="s">
        <v>1492</v>
      </c>
      <c r="BD470" t="s">
        <v>79</v>
      </c>
      <c r="BE470" t="s">
        <v>324</v>
      </c>
      <c r="BF470" s="5">
        <v>47058</v>
      </c>
      <c r="BG470" t="s">
        <v>67</v>
      </c>
      <c r="BH470">
        <v>1</v>
      </c>
      <c r="BI470" s="6">
        <v>2836900</v>
      </c>
      <c r="BJ470" s="6">
        <v>43</v>
      </c>
      <c r="BK470" s="6">
        <v>1219867</v>
      </c>
      <c r="BL470" s="6">
        <v>1617033</v>
      </c>
      <c r="BM470" s="2">
        <v>1617033</v>
      </c>
      <c r="BN470">
        <f>InvoiceTable[[#This Row],[Giảm giá]]*InvoiceTable[[#This Row],[Số lượng]]</f>
        <v>1219867</v>
      </c>
    </row>
    <row r="471" spans="1:66" x14ac:dyDescent="0.25">
      <c r="A471" t="s">
        <v>65</v>
      </c>
      <c r="B471" t="s">
        <v>1761</v>
      </c>
      <c r="F471" s="2"/>
      <c r="G471" s="3">
        <v>46011.591698993056</v>
      </c>
      <c r="H471" s="3">
        <v>46011.591699074073</v>
      </c>
      <c r="I471" s="4" t="s">
        <v>67</v>
      </c>
      <c r="J471" t="s">
        <v>1762</v>
      </c>
      <c r="K471" t="s">
        <v>67</v>
      </c>
      <c r="L471" t="s">
        <v>1353</v>
      </c>
      <c r="M471" t="s">
        <v>1354</v>
      </c>
      <c r="N471" t="s">
        <v>1355</v>
      </c>
      <c r="O471" t="s">
        <v>1356</v>
      </c>
      <c r="P471" t="s">
        <v>1357</v>
      </c>
      <c r="S471" s="5"/>
      <c r="T471" t="s">
        <v>72</v>
      </c>
      <c r="U471" t="s">
        <v>102</v>
      </c>
      <c r="V471" t="s">
        <v>74</v>
      </c>
      <c r="W471" t="s">
        <v>102</v>
      </c>
      <c r="AE471" s="2"/>
      <c r="AF471" s="2"/>
      <c r="AG471" s="2"/>
      <c r="AH471" s="2"/>
      <c r="AL471" s="2">
        <v>930000</v>
      </c>
      <c r="AM471" s="2">
        <v>0</v>
      </c>
      <c r="AN471" s="2"/>
      <c r="AO471" s="2">
        <v>0</v>
      </c>
      <c r="AP471" s="2">
        <v>930000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4"/>
      <c r="AX471" t="s">
        <v>75</v>
      </c>
      <c r="AZ471" t="s">
        <v>1763</v>
      </c>
      <c r="BA471" t="s">
        <v>67</v>
      </c>
      <c r="BB471" t="s">
        <v>1764</v>
      </c>
      <c r="BC471" t="s">
        <v>90</v>
      </c>
      <c r="BD471" t="s">
        <v>79</v>
      </c>
      <c r="BE471" t="s">
        <v>168</v>
      </c>
      <c r="BF471" s="5">
        <v>46388</v>
      </c>
      <c r="BH471">
        <v>1</v>
      </c>
      <c r="BI471" s="6">
        <v>2000000</v>
      </c>
      <c r="BJ471" s="6">
        <v>0</v>
      </c>
      <c r="BK471" s="6">
        <v>1070000</v>
      </c>
      <c r="BL471" s="6">
        <v>930000</v>
      </c>
      <c r="BM471" s="2">
        <v>930000</v>
      </c>
      <c r="BN471">
        <f>InvoiceTable[[#This Row],[Giảm giá]]*InvoiceTable[[#This Row],[Số lượng]]</f>
        <v>1070000</v>
      </c>
    </row>
    <row r="472" spans="1:66" x14ac:dyDescent="0.25">
      <c r="A472" t="s">
        <v>65</v>
      </c>
      <c r="B472" t="s">
        <v>1765</v>
      </c>
      <c r="F472" s="2"/>
      <c r="G472" s="3">
        <v>46011.570675960647</v>
      </c>
      <c r="H472" s="3">
        <v>46011.570664502317</v>
      </c>
      <c r="I472" s="4" t="s">
        <v>1202</v>
      </c>
      <c r="J472" t="s">
        <v>1766</v>
      </c>
      <c r="K472" t="s">
        <v>67</v>
      </c>
      <c r="L472" t="s">
        <v>82</v>
      </c>
      <c r="M472" t="s">
        <v>83</v>
      </c>
      <c r="N472" t="s">
        <v>84</v>
      </c>
      <c r="O472" t="s">
        <v>85</v>
      </c>
      <c r="P472" t="s">
        <v>86</v>
      </c>
      <c r="S472" s="5"/>
      <c r="T472" t="s">
        <v>72</v>
      </c>
      <c r="U472" t="s">
        <v>87</v>
      </c>
      <c r="V472" t="s">
        <v>74</v>
      </c>
      <c r="W472" t="s">
        <v>102</v>
      </c>
      <c r="AE472" s="2"/>
      <c r="AF472" s="2"/>
      <c r="AG472" s="2"/>
      <c r="AH472" s="2"/>
      <c r="AK472" t="s">
        <v>1767</v>
      </c>
      <c r="AL472" s="2">
        <v>2677200</v>
      </c>
      <c r="AM472" s="2">
        <v>0</v>
      </c>
      <c r="AN472" s="2"/>
      <c r="AO472" s="2">
        <v>0</v>
      </c>
      <c r="AP472" s="2">
        <v>2677200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4"/>
      <c r="AX472" t="s">
        <v>75</v>
      </c>
      <c r="AZ472" t="s">
        <v>929</v>
      </c>
      <c r="BA472" t="s">
        <v>67</v>
      </c>
      <c r="BB472" t="s">
        <v>930</v>
      </c>
      <c r="BC472" t="s">
        <v>187</v>
      </c>
      <c r="BD472" t="s">
        <v>79</v>
      </c>
      <c r="BE472" t="s">
        <v>188</v>
      </c>
      <c r="BF472" s="5">
        <v>46905</v>
      </c>
      <c r="BG472" t="s">
        <v>67</v>
      </c>
      <c r="BH472">
        <v>1</v>
      </c>
      <c r="BI472" s="6">
        <v>690000</v>
      </c>
      <c r="BJ472" s="6">
        <v>50</v>
      </c>
      <c r="BK472" s="6">
        <v>345000</v>
      </c>
      <c r="BL472" s="6">
        <v>345000</v>
      </c>
      <c r="BM472" s="2">
        <v>345000</v>
      </c>
      <c r="BN472">
        <f>InvoiceTable[[#This Row],[Giảm giá]]*InvoiceTable[[#This Row],[Số lượng]]</f>
        <v>345000</v>
      </c>
    </row>
    <row r="473" spans="1:66" x14ac:dyDescent="0.25">
      <c r="A473" t="s">
        <v>65</v>
      </c>
      <c r="B473" t="s">
        <v>1765</v>
      </c>
      <c r="F473" s="2"/>
      <c r="G473" s="3">
        <v>46011.570675960647</v>
      </c>
      <c r="H473" s="3">
        <v>46011.570664502317</v>
      </c>
      <c r="I473" s="4" t="s">
        <v>1202</v>
      </c>
      <c r="J473" t="s">
        <v>1766</v>
      </c>
      <c r="K473" t="s">
        <v>67</v>
      </c>
      <c r="L473" t="s">
        <v>82</v>
      </c>
      <c r="M473" t="s">
        <v>83</v>
      </c>
      <c r="N473" t="s">
        <v>84</v>
      </c>
      <c r="O473" t="s">
        <v>85</v>
      </c>
      <c r="P473" t="s">
        <v>86</v>
      </c>
      <c r="S473" s="5"/>
      <c r="T473" t="s">
        <v>72</v>
      </c>
      <c r="U473" t="s">
        <v>87</v>
      </c>
      <c r="V473" t="s">
        <v>74</v>
      </c>
      <c r="W473" t="s">
        <v>102</v>
      </c>
      <c r="AE473" s="2"/>
      <c r="AF473" s="2"/>
      <c r="AG473" s="2"/>
      <c r="AH473" s="2"/>
      <c r="AK473" t="s">
        <v>1767</v>
      </c>
      <c r="AL473" s="2">
        <v>2677200</v>
      </c>
      <c r="AM473" s="2">
        <v>0</v>
      </c>
      <c r="AN473" s="2"/>
      <c r="AO473" s="2">
        <v>0</v>
      </c>
      <c r="AP473" s="2">
        <v>2677200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4"/>
      <c r="AX473" t="s">
        <v>75</v>
      </c>
      <c r="AZ473" t="s">
        <v>1768</v>
      </c>
      <c r="BA473" t="s">
        <v>67</v>
      </c>
      <c r="BB473" t="s">
        <v>1769</v>
      </c>
      <c r="BC473" t="s">
        <v>187</v>
      </c>
      <c r="BD473" t="s">
        <v>79</v>
      </c>
      <c r="BE473" t="s">
        <v>142</v>
      </c>
      <c r="BF473" s="5">
        <v>46844</v>
      </c>
      <c r="BG473" t="s">
        <v>67</v>
      </c>
      <c r="BH473">
        <v>1</v>
      </c>
      <c r="BI473" s="6">
        <v>690000</v>
      </c>
      <c r="BJ473" s="6">
        <v>50</v>
      </c>
      <c r="BK473" s="6">
        <v>345000</v>
      </c>
      <c r="BL473" s="6">
        <v>345000</v>
      </c>
      <c r="BM473" s="2">
        <v>345000</v>
      </c>
      <c r="BN473">
        <f>InvoiceTable[[#This Row],[Giảm giá]]*InvoiceTable[[#This Row],[Số lượng]]</f>
        <v>345000</v>
      </c>
    </row>
    <row r="474" spans="1:66" x14ac:dyDescent="0.25">
      <c r="A474" t="s">
        <v>65</v>
      </c>
      <c r="B474" t="s">
        <v>1765</v>
      </c>
      <c r="F474" s="2"/>
      <c r="G474" s="3">
        <v>46011.570675960647</v>
      </c>
      <c r="H474" s="3">
        <v>46011.570664502317</v>
      </c>
      <c r="I474" s="4" t="s">
        <v>1202</v>
      </c>
      <c r="J474" t="s">
        <v>1766</v>
      </c>
      <c r="K474" t="s">
        <v>67</v>
      </c>
      <c r="L474" t="s">
        <v>82</v>
      </c>
      <c r="M474" t="s">
        <v>83</v>
      </c>
      <c r="N474" t="s">
        <v>84</v>
      </c>
      <c r="O474" t="s">
        <v>85</v>
      </c>
      <c r="P474" t="s">
        <v>86</v>
      </c>
      <c r="S474" s="5"/>
      <c r="T474" t="s">
        <v>72</v>
      </c>
      <c r="U474" t="s">
        <v>87</v>
      </c>
      <c r="V474" t="s">
        <v>74</v>
      </c>
      <c r="W474" t="s">
        <v>102</v>
      </c>
      <c r="AE474" s="2"/>
      <c r="AF474" s="2"/>
      <c r="AG474" s="2"/>
      <c r="AH474" s="2"/>
      <c r="AK474" t="s">
        <v>1767</v>
      </c>
      <c r="AL474" s="2">
        <v>2677200</v>
      </c>
      <c r="AM474" s="2">
        <v>0</v>
      </c>
      <c r="AN474" s="2"/>
      <c r="AO474" s="2">
        <v>0</v>
      </c>
      <c r="AP474" s="2">
        <v>2677200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4"/>
      <c r="AX474" t="s">
        <v>75</v>
      </c>
      <c r="AZ474" t="s">
        <v>922</v>
      </c>
      <c r="BA474" t="s">
        <v>67</v>
      </c>
      <c r="BB474" t="s">
        <v>923</v>
      </c>
      <c r="BC474" t="s">
        <v>187</v>
      </c>
      <c r="BD474" t="s">
        <v>79</v>
      </c>
      <c r="BE474" t="s">
        <v>177</v>
      </c>
      <c r="BF474" s="5">
        <v>47027</v>
      </c>
      <c r="BG474" t="s">
        <v>67</v>
      </c>
      <c r="BH474">
        <v>6</v>
      </c>
      <c r="BI474" s="6">
        <v>690000</v>
      </c>
      <c r="BJ474" s="6">
        <v>52</v>
      </c>
      <c r="BK474" s="6">
        <v>358800</v>
      </c>
      <c r="BL474" s="6">
        <v>331200</v>
      </c>
      <c r="BM474" s="2">
        <v>1987200</v>
      </c>
      <c r="BN474">
        <f>InvoiceTable[[#This Row],[Giảm giá]]*InvoiceTable[[#This Row],[Số lượng]]</f>
        <v>2152800</v>
      </c>
    </row>
    <row r="475" spans="1:66" x14ac:dyDescent="0.25">
      <c r="A475" t="s">
        <v>65</v>
      </c>
      <c r="B475" t="s">
        <v>1770</v>
      </c>
      <c r="F475" s="2"/>
      <c r="G475" s="3">
        <v>46011.556849270833</v>
      </c>
      <c r="H475" s="3">
        <v>46011.556849456021</v>
      </c>
      <c r="I475" s="4" t="s">
        <v>67</v>
      </c>
      <c r="J475" t="s">
        <v>1771</v>
      </c>
      <c r="K475" t="s">
        <v>67</v>
      </c>
      <c r="L475" t="s">
        <v>1772</v>
      </c>
      <c r="M475" t="s">
        <v>1773</v>
      </c>
      <c r="N475" t="s">
        <v>67</v>
      </c>
      <c r="O475" t="s">
        <v>1774</v>
      </c>
      <c r="P475" t="s">
        <v>1775</v>
      </c>
      <c r="Q475" t="s">
        <v>67</v>
      </c>
      <c r="R475" t="s">
        <v>67</v>
      </c>
      <c r="S475" s="5"/>
      <c r="T475" t="s">
        <v>72</v>
      </c>
      <c r="U475" t="s">
        <v>87</v>
      </c>
      <c r="V475" t="s">
        <v>74</v>
      </c>
      <c r="W475" t="s">
        <v>102</v>
      </c>
      <c r="AE475" s="2"/>
      <c r="AF475" s="2"/>
      <c r="AG475" s="2"/>
      <c r="AH475" s="2"/>
      <c r="AK475" t="s">
        <v>1776</v>
      </c>
      <c r="AL475" s="2">
        <v>228000</v>
      </c>
      <c r="AM475" s="2">
        <v>0</v>
      </c>
      <c r="AN475" s="2"/>
      <c r="AO475" s="2">
        <v>0</v>
      </c>
      <c r="AP475" s="2">
        <v>228000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4"/>
      <c r="AX475" t="s">
        <v>75</v>
      </c>
      <c r="AZ475" t="s">
        <v>1777</v>
      </c>
      <c r="BA475" t="s">
        <v>67</v>
      </c>
      <c r="BB475" t="s">
        <v>1778</v>
      </c>
      <c r="BC475" t="s">
        <v>1779</v>
      </c>
      <c r="BD475" t="s">
        <v>79</v>
      </c>
      <c r="BE475" t="s">
        <v>1780</v>
      </c>
      <c r="BF475" s="5">
        <v>46956</v>
      </c>
      <c r="BG475" t="s">
        <v>67</v>
      </c>
      <c r="BH475">
        <v>1</v>
      </c>
      <c r="BI475" s="6">
        <v>380000</v>
      </c>
      <c r="BJ475" s="6">
        <v>40</v>
      </c>
      <c r="BK475" s="6">
        <v>152000</v>
      </c>
      <c r="BL475" s="6">
        <v>228000</v>
      </c>
      <c r="BM475" s="2">
        <v>228000</v>
      </c>
      <c r="BN475">
        <f>InvoiceTable[[#This Row],[Giảm giá]]*InvoiceTable[[#This Row],[Số lượng]]</f>
        <v>152000</v>
      </c>
    </row>
    <row r="476" spans="1:66" x14ac:dyDescent="0.25">
      <c r="A476" t="s">
        <v>65</v>
      </c>
      <c r="B476" t="s">
        <v>1781</v>
      </c>
      <c r="F476" s="2"/>
      <c r="G476" s="3">
        <v>46011.556611574073</v>
      </c>
      <c r="H476" s="3">
        <v>46011.556611689812</v>
      </c>
      <c r="I476" s="4" t="s">
        <v>67</v>
      </c>
      <c r="J476" t="s">
        <v>1782</v>
      </c>
      <c r="K476" t="s">
        <v>67</v>
      </c>
      <c r="L476" t="s">
        <v>1368</v>
      </c>
      <c r="M476" t="s">
        <v>1369</v>
      </c>
      <c r="N476" t="s">
        <v>67</v>
      </c>
      <c r="O476" t="s">
        <v>1370</v>
      </c>
      <c r="Q476" t="s">
        <v>67</v>
      </c>
      <c r="R476" t="s">
        <v>67</v>
      </c>
      <c r="S476" s="5"/>
      <c r="T476" t="s">
        <v>72</v>
      </c>
      <c r="U476" t="s">
        <v>87</v>
      </c>
      <c r="V476" t="s">
        <v>74</v>
      </c>
      <c r="W476" t="s">
        <v>102</v>
      </c>
      <c r="AE476" s="2"/>
      <c r="AF476" s="2"/>
      <c r="AG476" s="2"/>
      <c r="AH476" s="2"/>
      <c r="AK476" t="s">
        <v>1783</v>
      </c>
      <c r="AL476" s="2">
        <v>1696280</v>
      </c>
      <c r="AM476" s="2">
        <v>0</v>
      </c>
      <c r="AN476" s="2"/>
      <c r="AO476" s="2">
        <v>0</v>
      </c>
      <c r="AP476" s="2">
        <v>1696280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4"/>
      <c r="AX476" t="s">
        <v>75</v>
      </c>
      <c r="AZ476" t="s">
        <v>88</v>
      </c>
      <c r="BB476" t="s">
        <v>89</v>
      </c>
      <c r="BC476" t="s">
        <v>90</v>
      </c>
      <c r="BF476" s="5"/>
      <c r="BG476" t="s">
        <v>67</v>
      </c>
      <c r="BH476">
        <v>1</v>
      </c>
      <c r="BI476" s="6">
        <v>35000</v>
      </c>
      <c r="BJ476" s="6">
        <v>0</v>
      </c>
      <c r="BK476" s="6">
        <v>0</v>
      </c>
      <c r="BL476" s="6">
        <v>35000</v>
      </c>
      <c r="BM476" s="2">
        <v>35000</v>
      </c>
      <c r="BN476">
        <f>InvoiceTable[[#This Row],[Giảm giá]]*InvoiceTable[[#This Row],[Số lượng]]</f>
        <v>0</v>
      </c>
    </row>
    <row r="477" spans="1:66" x14ac:dyDescent="0.25">
      <c r="A477" t="s">
        <v>65</v>
      </c>
      <c r="B477" t="s">
        <v>1781</v>
      </c>
      <c r="F477" s="2"/>
      <c r="G477" s="3">
        <v>46011.556611574073</v>
      </c>
      <c r="H477" s="3">
        <v>46011.556611689812</v>
      </c>
      <c r="I477" s="4" t="s">
        <v>67</v>
      </c>
      <c r="J477" t="s">
        <v>1782</v>
      </c>
      <c r="K477" t="s">
        <v>67</v>
      </c>
      <c r="L477" t="s">
        <v>1368</v>
      </c>
      <c r="M477" t="s">
        <v>1369</v>
      </c>
      <c r="N477" t="s">
        <v>67</v>
      </c>
      <c r="O477" t="s">
        <v>1370</v>
      </c>
      <c r="Q477" t="s">
        <v>67</v>
      </c>
      <c r="R477" t="s">
        <v>67</v>
      </c>
      <c r="S477" s="5"/>
      <c r="T477" t="s">
        <v>72</v>
      </c>
      <c r="U477" t="s">
        <v>87</v>
      </c>
      <c r="V477" t="s">
        <v>74</v>
      </c>
      <c r="W477" t="s">
        <v>102</v>
      </c>
      <c r="AE477" s="2"/>
      <c r="AF477" s="2"/>
      <c r="AG477" s="2"/>
      <c r="AH477" s="2"/>
      <c r="AK477" t="s">
        <v>1783</v>
      </c>
      <c r="AL477" s="2">
        <v>1696280</v>
      </c>
      <c r="AM477" s="2">
        <v>0</v>
      </c>
      <c r="AN477" s="2"/>
      <c r="AO477" s="2">
        <v>0</v>
      </c>
      <c r="AP477" s="2">
        <v>1696280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4"/>
      <c r="AX477" t="s">
        <v>75</v>
      </c>
      <c r="AZ477" t="s">
        <v>1784</v>
      </c>
      <c r="BA477" t="s">
        <v>67</v>
      </c>
      <c r="BB477" t="s">
        <v>1785</v>
      </c>
      <c r="BC477" t="s">
        <v>1786</v>
      </c>
      <c r="BD477" t="s">
        <v>79</v>
      </c>
      <c r="BE477" t="s">
        <v>378</v>
      </c>
      <c r="BF477" s="5">
        <v>46997</v>
      </c>
      <c r="BG477" t="s">
        <v>67</v>
      </c>
      <c r="BH477">
        <v>2</v>
      </c>
      <c r="BI477" s="6">
        <v>972000</v>
      </c>
      <c r="BJ477" s="6">
        <v>38</v>
      </c>
      <c r="BK477" s="6">
        <v>369360</v>
      </c>
      <c r="BL477" s="6">
        <v>602640</v>
      </c>
      <c r="BM477" s="2">
        <v>1205280</v>
      </c>
      <c r="BN477">
        <f>InvoiceTable[[#This Row],[Giảm giá]]*InvoiceTable[[#This Row],[Số lượng]]</f>
        <v>738720</v>
      </c>
    </row>
    <row r="478" spans="1:66" x14ac:dyDescent="0.25">
      <c r="A478" t="s">
        <v>65</v>
      </c>
      <c r="B478" t="s">
        <v>1781</v>
      </c>
      <c r="F478" s="2"/>
      <c r="G478" s="3">
        <v>46011.556611574073</v>
      </c>
      <c r="H478" s="3">
        <v>46011.556611689812</v>
      </c>
      <c r="I478" s="4" t="s">
        <v>67</v>
      </c>
      <c r="J478" t="s">
        <v>1782</v>
      </c>
      <c r="K478" t="s">
        <v>67</v>
      </c>
      <c r="L478" t="s">
        <v>1368</v>
      </c>
      <c r="M478" t="s">
        <v>1369</v>
      </c>
      <c r="N478" t="s">
        <v>67</v>
      </c>
      <c r="O478" t="s">
        <v>1370</v>
      </c>
      <c r="Q478" t="s">
        <v>67</v>
      </c>
      <c r="R478" t="s">
        <v>67</v>
      </c>
      <c r="S478" s="5"/>
      <c r="T478" t="s">
        <v>72</v>
      </c>
      <c r="U478" t="s">
        <v>87</v>
      </c>
      <c r="V478" t="s">
        <v>74</v>
      </c>
      <c r="W478" t="s">
        <v>102</v>
      </c>
      <c r="AE478" s="2"/>
      <c r="AF478" s="2"/>
      <c r="AG478" s="2"/>
      <c r="AH478" s="2"/>
      <c r="AK478" t="s">
        <v>1783</v>
      </c>
      <c r="AL478" s="2">
        <v>1696280</v>
      </c>
      <c r="AM478" s="2">
        <v>0</v>
      </c>
      <c r="AN478" s="2"/>
      <c r="AO478" s="2">
        <v>0</v>
      </c>
      <c r="AP478" s="2">
        <v>1696280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4"/>
      <c r="AX478" t="s">
        <v>75</v>
      </c>
      <c r="AZ478" t="s">
        <v>1777</v>
      </c>
      <c r="BA478" t="s">
        <v>67</v>
      </c>
      <c r="BB478" t="s">
        <v>1778</v>
      </c>
      <c r="BC478" t="s">
        <v>1779</v>
      </c>
      <c r="BD478" t="s">
        <v>79</v>
      </c>
      <c r="BE478" t="s">
        <v>1780</v>
      </c>
      <c r="BF478" s="5">
        <v>46956</v>
      </c>
      <c r="BG478" t="s">
        <v>67</v>
      </c>
      <c r="BH478">
        <v>2</v>
      </c>
      <c r="BI478" s="6">
        <v>380000</v>
      </c>
      <c r="BJ478" s="6">
        <v>40</v>
      </c>
      <c r="BK478" s="6">
        <v>152000</v>
      </c>
      <c r="BL478" s="6">
        <v>228000</v>
      </c>
      <c r="BM478" s="2">
        <v>456000</v>
      </c>
      <c r="BN478">
        <f>InvoiceTable[[#This Row],[Giảm giá]]*InvoiceTable[[#This Row],[Số lượng]]</f>
        <v>304000</v>
      </c>
    </row>
    <row r="479" spans="1:66" x14ac:dyDescent="0.25">
      <c r="A479" t="s">
        <v>65</v>
      </c>
      <c r="B479" t="s">
        <v>1787</v>
      </c>
      <c r="F479" s="2"/>
      <c r="G479" s="3">
        <v>46011.553415625</v>
      </c>
      <c r="H479" s="3">
        <v>46011.553415740738</v>
      </c>
      <c r="I479" s="4" t="s">
        <v>1788</v>
      </c>
      <c r="J479" t="s">
        <v>67</v>
      </c>
      <c r="K479" t="s">
        <v>67</v>
      </c>
      <c r="L479" t="s">
        <v>1273</v>
      </c>
      <c r="M479" t="s">
        <v>1274</v>
      </c>
      <c r="N479" t="s">
        <v>67</v>
      </c>
      <c r="O479" t="s">
        <v>1275</v>
      </c>
      <c r="P479" t="s">
        <v>1276</v>
      </c>
      <c r="S479" s="5"/>
      <c r="T479" t="s">
        <v>72</v>
      </c>
      <c r="U479" t="s">
        <v>73</v>
      </c>
      <c r="V479" t="s">
        <v>74</v>
      </c>
      <c r="W479" t="s">
        <v>102</v>
      </c>
      <c r="AE479" s="2"/>
      <c r="AF479" s="2"/>
      <c r="AG479" s="2"/>
      <c r="AH479" s="2"/>
      <c r="AL479" s="2">
        <v>2197800</v>
      </c>
      <c r="AM479" s="2">
        <v>0</v>
      </c>
      <c r="AN479" s="2"/>
      <c r="AO479" s="2">
        <v>0</v>
      </c>
      <c r="AP479" s="2">
        <v>2197800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4"/>
      <c r="AX479" t="s">
        <v>75</v>
      </c>
      <c r="AZ479" t="s">
        <v>1789</v>
      </c>
      <c r="BB479" t="s">
        <v>1790</v>
      </c>
      <c r="BC479" t="s">
        <v>1791</v>
      </c>
      <c r="BD479" t="s">
        <v>79</v>
      </c>
      <c r="BE479" t="s">
        <v>334</v>
      </c>
      <c r="BF479" s="5">
        <v>47209</v>
      </c>
      <c r="BG479" t="s">
        <v>67</v>
      </c>
      <c r="BH479">
        <v>1</v>
      </c>
      <c r="BI479" s="6">
        <v>3996000</v>
      </c>
      <c r="BJ479" s="6">
        <v>45</v>
      </c>
      <c r="BK479" s="6">
        <v>1798200</v>
      </c>
      <c r="BL479" s="6">
        <v>2197800</v>
      </c>
      <c r="BM479" s="2">
        <v>2197800</v>
      </c>
      <c r="BN479">
        <f>InvoiceTable[[#This Row],[Giảm giá]]*InvoiceTable[[#This Row],[Số lượng]]</f>
        <v>1798200</v>
      </c>
    </row>
    <row r="480" spans="1:66" x14ac:dyDescent="0.25">
      <c r="A480" t="s">
        <v>65</v>
      </c>
      <c r="B480" t="s">
        <v>1792</v>
      </c>
      <c r="F480" s="2"/>
      <c r="G480" s="3">
        <v>46011.553053240743</v>
      </c>
      <c r="H480" s="3">
        <v>46011.553053356482</v>
      </c>
      <c r="I480" s="4" t="s">
        <v>1793</v>
      </c>
      <c r="J480" t="s">
        <v>1794</v>
      </c>
      <c r="K480" t="s">
        <v>67</v>
      </c>
      <c r="L480" t="s">
        <v>1795</v>
      </c>
      <c r="M480" t="s">
        <v>1796</v>
      </c>
      <c r="N480" t="s">
        <v>67</v>
      </c>
      <c r="O480" t="s">
        <v>1797</v>
      </c>
      <c r="P480" t="s">
        <v>1798</v>
      </c>
      <c r="S480" s="5"/>
      <c r="T480" t="s">
        <v>72</v>
      </c>
      <c r="U480" t="s">
        <v>87</v>
      </c>
      <c r="V480" t="s">
        <v>74</v>
      </c>
      <c r="W480" t="s">
        <v>73</v>
      </c>
      <c r="AE480" s="2"/>
      <c r="AF480" s="2"/>
      <c r="AG480" s="2"/>
      <c r="AH480" s="2"/>
      <c r="AK480" t="s">
        <v>1799</v>
      </c>
      <c r="AL480" s="2">
        <v>3860000</v>
      </c>
      <c r="AM480" s="2">
        <v>0</v>
      </c>
      <c r="AN480" s="2"/>
      <c r="AO480" s="2">
        <v>0</v>
      </c>
      <c r="AP480" s="2">
        <v>3860000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4"/>
      <c r="AX480" t="s">
        <v>75</v>
      </c>
      <c r="AZ480" t="s">
        <v>1800</v>
      </c>
      <c r="BA480" t="s">
        <v>67</v>
      </c>
      <c r="BB480" t="s">
        <v>1801</v>
      </c>
      <c r="BC480" t="s">
        <v>1802</v>
      </c>
      <c r="BD480" t="s">
        <v>79</v>
      </c>
      <c r="BE480" t="s">
        <v>1803</v>
      </c>
      <c r="BF480" s="5">
        <v>46694</v>
      </c>
      <c r="BG480" t="s">
        <v>67</v>
      </c>
      <c r="BH480">
        <v>1</v>
      </c>
      <c r="BI480" s="6">
        <v>1250000</v>
      </c>
      <c r="BJ480" s="6">
        <v>42</v>
      </c>
      <c r="BK480" s="6">
        <v>525000</v>
      </c>
      <c r="BL480" s="6">
        <v>725000</v>
      </c>
      <c r="BM480" s="2">
        <v>725000</v>
      </c>
      <c r="BN480">
        <f>InvoiceTable[[#This Row],[Giảm giá]]*InvoiceTable[[#This Row],[Số lượng]]</f>
        <v>525000</v>
      </c>
    </row>
    <row r="481" spans="1:66" x14ac:dyDescent="0.25">
      <c r="A481" t="s">
        <v>65</v>
      </c>
      <c r="B481" t="s">
        <v>1792</v>
      </c>
      <c r="F481" s="2"/>
      <c r="G481" s="3">
        <v>46011.553053240743</v>
      </c>
      <c r="H481" s="3">
        <v>46011.553053356482</v>
      </c>
      <c r="I481" s="4" t="s">
        <v>1793</v>
      </c>
      <c r="J481" t="s">
        <v>1794</v>
      </c>
      <c r="K481" t="s">
        <v>67</v>
      </c>
      <c r="L481" t="s">
        <v>1795</v>
      </c>
      <c r="M481" t="s">
        <v>1796</v>
      </c>
      <c r="N481" t="s">
        <v>67</v>
      </c>
      <c r="O481" t="s">
        <v>1797</v>
      </c>
      <c r="P481" t="s">
        <v>1798</v>
      </c>
      <c r="S481" s="5"/>
      <c r="T481" t="s">
        <v>72</v>
      </c>
      <c r="U481" t="s">
        <v>87</v>
      </c>
      <c r="V481" t="s">
        <v>74</v>
      </c>
      <c r="W481" t="s">
        <v>73</v>
      </c>
      <c r="AE481" s="2"/>
      <c r="AF481" s="2"/>
      <c r="AG481" s="2"/>
      <c r="AH481" s="2"/>
      <c r="AK481" t="s">
        <v>1799</v>
      </c>
      <c r="AL481" s="2">
        <v>3860000</v>
      </c>
      <c r="AM481" s="2">
        <v>0</v>
      </c>
      <c r="AN481" s="2"/>
      <c r="AO481" s="2">
        <v>0</v>
      </c>
      <c r="AP481" s="2">
        <v>3860000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4"/>
      <c r="AX481" t="s">
        <v>75</v>
      </c>
      <c r="AZ481" t="s">
        <v>1804</v>
      </c>
      <c r="BA481" t="s">
        <v>67</v>
      </c>
      <c r="BB481" t="s">
        <v>1805</v>
      </c>
      <c r="BC481" t="s">
        <v>138</v>
      </c>
      <c r="BD481" t="s">
        <v>79</v>
      </c>
      <c r="BE481" t="s">
        <v>198</v>
      </c>
      <c r="BF481" s="5">
        <v>46753</v>
      </c>
      <c r="BG481" t="s">
        <v>67</v>
      </c>
      <c r="BH481">
        <v>1</v>
      </c>
      <c r="BI481" s="6">
        <v>5500000</v>
      </c>
      <c r="BJ481" s="6">
        <v>45</v>
      </c>
      <c r="BK481" s="6">
        <v>2475000</v>
      </c>
      <c r="BL481" s="6">
        <v>3025000</v>
      </c>
      <c r="BM481" s="2">
        <v>3025000</v>
      </c>
      <c r="BN481">
        <f>InvoiceTable[[#This Row],[Giảm giá]]*InvoiceTable[[#This Row],[Số lượng]]</f>
        <v>2475000</v>
      </c>
    </row>
    <row r="482" spans="1:66" x14ac:dyDescent="0.25">
      <c r="A482" t="s">
        <v>65</v>
      </c>
      <c r="B482" t="s">
        <v>1792</v>
      </c>
      <c r="F482" s="2"/>
      <c r="G482" s="3">
        <v>46011.553053240743</v>
      </c>
      <c r="H482" s="3">
        <v>46011.553053356482</v>
      </c>
      <c r="I482" s="4" t="s">
        <v>1793</v>
      </c>
      <c r="J482" t="s">
        <v>1794</v>
      </c>
      <c r="K482" t="s">
        <v>67</v>
      </c>
      <c r="L482" t="s">
        <v>1795</v>
      </c>
      <c r="M482" t="s">
        <v>1796</v>
      </c>
      <c r="N482" t="s">
        <v>67</v>
      </c>
      <c r="O482" t="s">
        <v>1797</v>
      </c>
      <c r="P482" t="s">
        <v>1798</v>
      </c>
      <c r="S482" s="5"/>
      <c r="T482" t="s">
        <v>72</v>
      </c>
      <c r="U482" t="s">
        <v>87</v>
      </c>
      <c r="V482" t="s">
        <v>74</v>
      </c>
      <c r="W482" t="s">
        <v>73</v>
      </c>
      <c r="AE482" s="2"/>
      <c r="AF482" s="2"/>
      <c r="AG482" s="2"/>
      <c r="AH482" s="2"/>
      <c r="AK482" t="s">
        <v>1799</v>
      </c>
      <c r="AL482" s="2">
        <v>3860000</v>
      </c>
      <c r="AM482" s="2">
        <v>0</v>
      </c>
      <c r="AN482" s="2"/>
      <c r="AO482" s="2">
        <v>0</v>
      </c>
      <c r="AP482" s="2">
        <v>3860000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4"/>
      <c r="AX482" t="s">
        <v>75</v>
      </c>
      <c r="AZ482" t="s">
        <v>321</v>
      </c>
      <c r="BA482" t="s">
        <v>67</v>
      </c>
      <c r="BB482" t="s">
        <v>322</v>
      </c>
      <c r="BC482" t="s">
        <v>323</v>
      </c>
      <c r="BD482" t="s">
        <v>79</v>
      </c>
      <c r="BE482" t="s">
        <v>324</v>
      </c>
      <c r="BF482" s="5">
        <v>47058</v>
      </c>
      <c r="BH482">
        <v>10</v>
      </c>
      <c r="BI482" s="6">
        <v>25000</v>
      </c>
      <c r="BJ482" s="6">
        <v>0</v>
      </c>
      <c r="BK482" s="6">
        <v>14000</v>
      </c>
      <c r="BL482" s="6">
        <v>11000</v>
      </c>
      <c r="BM482" s="2">
        <v>110000</v>
      </c>
      <c r="BN482">
        <f>InvoiceTable[[#This Row],[Giảm giá]]*InvoiceTable[[#This Row],[Số lượng]]</f>
        <v>140000</v>
      </c>
    </row>
    <row r="483" spans="1:66" x14ac:dyDescent="0.25">
      <c r="A483" t="s">
        <v>65</v>
      </c>
      <c r="B483" t="s">
        <v>1806</v>
      </c>
      <c r="F483" s="2"/>
      <c r="G483" s="3">
        <v>46011.552977777777</v>
      </c>
      <c r="H483" s="3">
        <v>46011.552977893516</v>
      </c>
      <c r="I483" s="4" t="s">
        <v>67</v>
      </c>
      <c r="J483" t="s">
        <v>1807</v>
      </c>
      <c r="K483" t="s">
        <v>67</v>
      </c>
      <c r="L483" t="s">
        <v>1273</v>
      </c>
      <c r="M483" t="s">
        <v>1274</v>
      </c>
      <c r="N483" t="s">
        <v>67</v>
      </c>
      <c r="O483" t="s">
        <v>1275</v>
      </c>
      <c r="P483" t="s">
        <v>1276</v>
      </c>
      <c r="S483" s="5"/>
      <c r="T483" t="s">
        <v>72</v>
      </c>
      <c r="U483" t="s">
        <v>73</v>
      </c>
      <c r="V483" t="s">
        <v>74</v>
      </c>
      <c r="W483" t="s">
        <v>102</v>
      </c>
      <c r="AE483" s="2"/>
      <c r="AF483" s="2"/>
      <c r="AG483" s="2"/>
      <c r="AH483" s="2"/>
      <c r="AK483" t="s">
        <v>1808</v>
      </c>
      <c r="AL483" s="2">
        <v>1485000</v>
      </c>
      <c r="AM483" s="2">
        <v>0</v>
      </c>
      <c r="AN483" s="2"/>
      <c r="AO483" s="2">
        <v>0</v>
      </c>
      <c r="AP483" s="2">
        <v>1485000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4"/>
      <c r="AX483" t="s">
        <v>75</v>
      </c>
      <c r="AZ483" t="s">
        <v>1809</v>
      </c>
      <c r="BA483" t="s">
        <v>67</v>
      </c>
      <c r="BB483" t="s">
        <v>1810</v>
      </c>
      <c r="BC483" t="s">
        <v>78</v>
      </c>
      <c r="BD483" t="s">
        <v>79</v>
      </c>
      <c r="BE483" t="s">
        <v>317</v>
      </c>
      <c r="BF483" s="5">
        <v>46935</v>
      </c>
      <c r="BG483" t="s">
        <v>67</v>
      </c>
      <c r="BH483">
        <v>1</v>
      </c>
      <c r="BI483" s="6">
        <v>2700000</v>
      </c>
      <c r="BJ483" s="6">
        <v>45</v>
      </c>
      <c r="BK483" s="6">
        <v>1215000</v>
      </c>
      <c r="BL483" s="6">
        <v>1485000</v>
      </c>
      <c r="BM483" s="2">
        <v>1485000</v>
      </c>
      <c r="BN483">
        <f>InvoiceTable[[#This Row],[Giảm giá]]*InvoiceTable[[#This Row],[Số lượng]]</f>
        <v>1215000</v>
      </c>
    </row>
    <row r="484" spans="1:66" x14ac:dyDescent="0.25">
      <c r="A484" t="s">
        <v>65</v>
      </c>
      <c r="B484" t="s">
        <v>1811</v>
      </c>
      <c r="F484" s="2"/>
      <c r="G484" s="3">
        <v>46011.550826967592</v>
      </c>
      <c r="H484" s="3">
        <v>46011.55082704861</v>
      </c>
      <c r="I484" s="4" t="s">
        <v>1812</v>
      </c>
      <c r="J484" t="s">
        <v>67</v>
      </c>
      <c r="K484" t="s">
        <v>67</v>
      </c>
      <c r="L484" t="s">
        <v>1795</v>
      </c>
      <c r="M484" t="s">
        <v>1796</v>
      </c>
      <c r="N484" t="s">
        <v>67</v>
      </c>
      <c r="O484" t="s">
        <v>1797</v>
      </c>
      <c r="P484" t="s">
        <v>1798</v>
      </c>
      <c r="S484" s="5"/>
      <c r="T484" t="s">
        <v>72</v>
      </c>
      <c r="U484" t="s">
        <v>87</v>
      </c>
      <c r="V484" t="s">
        <v>74</v>
      </c>
      <c r="W484" t="s">
        <v>102</v>
      </c>
      <c r="AE484" s="2"/>
      <c r="AF484" s="2"/>
      <c r="AG484" s="2"/>
      <c r="AH484" s="2"/>
      <c r="AL484" s="2">
        <v>976000</v>
      </c>
      <c r="AM484" s="2">
        <v>0</v>
      </c>
      <c r="AN484" s="2"/>
      <c r="AO484" s="2">
        <v>0</v>
      </c>
      <c r="AP484" s="2">
        <v>976000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4"/>
      <c r="AX484" t="s">
        <v>75</v>
      </c>
      <c r="AZ484" t="s">
        <v>1813</v>
      </c>
      <c r="BA484" t="s">
        <v>67</v>
      </c>
      <c r="BB484" t="s">
        <v>1814</v>
      </c>
      <c r="BC484" t="s">
        <v>1815</v>
      </c>
      <c r="BD484" t="s">
        <v>79</v>
      </c>
      <c r="BE484" t="s">
        <v>188</v>
      </c>
      <c r="BF484" s="5">
        <v>46905</v>
      </c>
      <c r="BG484" t="s">
        <v>67</v>
      </c>
      <c r="BH484">
        <v>1</v>
      </c>
      <c r="BI484" s="6">
        <v>1600000</v>
      </c>
      <c r="BJ484" s="6">
        <v>39</v>
      </c>
      <c r="BK484" s="6">
        <v>624000</v>
      </c>
      <c r="BL484" s="6">
        <v>976000</v>
      </c>
      <c r="BM484" s="2">
        <v>976000</v>
      </c>
      <c r="BN484">
        <f>InvoiceTable[[#This Row],[Giảm giá]]*InvoiceTable[[#This Row],[Số lượng]]</f>
        <v>624000</v>
      </c>
    </row>
    <row r="485" spans="1:66" x14ac:dyDescent="0.25">
      <c r="A485" t="s">
        <v>65</v>
      </c>
      <c r="B485" t="s">
        <v>1816</v>
      </c>
      <c r="F485" s="2"/>
      <c r="G485" s="3">
        <v>46011.550372106482</v>
      </c>
      <c r="H485" s="3">
        <v>46011.550302777781</v>
      </c>
      <c r="I485" s="4" t="s">
        <v>96</v>
      </c>
      <c r="J485" t="s">
        <v>1817</v>
      </c>
      <c r="K485" t="s">
        <v>67</v>
      </c>
      <c r="L485" t="s">
        <v>1795</v>
      </c>
      <c r="M485" t="s">
        <v>1796</v>
      </c>
      <c r="N485" t="s">
        <v>67</v>
      </c>
      <c r="O485" t="s">
        <v>1797</v>
      </c>
      <c r="P485" t="s">
        <v>1798</v>
      </c>
      <c r="S485" s="5"/>
      <c r="T485" t="s">
        <v>72</v>
      </c>
      <c r="U485" t="s">
        <v>87</v>
      </c>
      <c r="V485" t="s">
        <v>74</v>
      </c>
      <c r="W485" t="s">
        <v>102</v>
      </c>
      <c r="AE485" s="2"/>
      <c r="AF485" s="2"/>
      <c r="AG485" s="2"/>
      <c r="AH485" s="2"/>
      <c r="AK485" t="s">
        <v>1799</v>
      </c>
      <c r="AL485" s="2">
        <v>3405500</v>
      </c>
      <c r="AM485" s="2">
        <v>0</v>
      </c>
      <c r="AN485" s="2"/>
      <c r="AO485" s="2">
        <v>0</v>
      </c>
      <c r="AP485" s="2">
        <v>3405500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4"/>
      <c r="AX485" t="s">
        <v>75</v>
      </c>
      <c r="AZ485" t="s">
        <v>1818</v>
      </c>
      <c r="BB485" t="s">
        <v>1819</v>
      </c>
      <c r="BC485" t="s">
        <v>1820</v>
      </c>
      <c r="BE485" t="s">
        <v>155</v>
      </c>
      <c r="BF485" s="5">
        <v>46600</v>
      </c>
      <c r="BG485" t="s">
        <v>67</v>
      </c>
      <c r="BH485">
        <v>1</v>
      </c>
      <c r="BI485" s="6">
        <v>2050000</v>
      </c>
      <c r="BJ485" s="6">
        <v>39</v>
      </c>
      <c r="BK485" s="6">
        <v>799500</v>
      </c>
      <c r="BL485" s="6">
        <v>1250500</v>
      </c>
      <c r="BM485" s="2">
        <v>1250500</v>
      </c>
      <c r="BN485">
        <f>InvoiceTable[[#This Row],[Giảm giá]]*InvoiceTable[[#This Row],[Số lượng]]</f>
        <v>799500</v>
      </c>
    </row>
    <row r="486" spans="1:66" x14ac:dyDescent="0.25">
      <c r="A486" t="s">
        <v>65</v>
      </c>
      <c r="B486" t="s">
        <v>1816</v>
      </c>
      <c r="F486" s="2"/>
      <c r="G486" s="3">
        <v>46011.550372106482</v>
      </c>
      <c r="H486" s="3">
        <v>46011.550302777781</v>
      </c>
      <c r="I486" s="4" t="s">
        <v>96</v>
      </c>
      <c r="J486" t="s">
        <v>1817</v>
      </c>
      <c r="K486" t="s">
        <v>67</v>
      </c>
      <c r="L486" t="s">
        <v>1795</v>
      </c>
      <c r="M486" t="s">
        <v>1796</v>
      </c>
      <c r="N486" t="s">
        <v>67</v>
      </c>
      <c r="O486" t="s">
        <v>1797</v>
      </c>
      <c r="P486" t="s">
        <v>1798</v>
      </c>
      <c r="S486" s="5"/>
      <c r="T486" t="s">
        <v>72</v>
      </c>
      <c r="U486" t="s">
        <v>87</v>
      </c>
      <c r="V486" t="s">
        <v>74</v>
      </c>
      <c r="W486" t="s">
        <v>102</v>
      </c>
      <c r="AE486" s="2"/>
      <c r="AF486" s="2"/>
      <c r="AG486" s="2"/>
      <c r="AH486" s="2"/>
      <c r="AK486" t="s">
        <v>1799</v>
      </c>
      <c r="AL486" s="2">
        <v>3405500</v>
      </c>
      <c r="AM486" s="2">
        <v>0</v>
      </c>
      <c r="AN486" s="2"/>
      <c r="AO486" s="2">
        <v>0</v>
      </c>
      <c r="AP486" s="2">
        <v>3405500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4"/>
      <c r="AX486" t="s">
        <v>75</v>
      </c>
      <c r="AZ486" t="s">
        <v>1297</v>
      </c>
      <c r="BA486" t="s">
        <v>67</v>
      </c>
      <c r="BB486" t="s">
        <v>1298</v>
      </c>
      <c r="BC486" t="s">
        <v>1299</v>
      </c>
      <c r="BD486" t="s">
        <v>79</v>
      </c>
      <c r="BE486" t="s">
        <v>159</v>
      </c>
      <c r="BF486" s="5">
        <v>46478</v>
      </c>
      <c r="BH486">
        <v>1</v>
      </c>
      <c r="BI486" s="6">
        <v>270000</v>
      </c>
      <c r="BJ486" s="6">
        <v>0</v>
      </c>
      <c r="BK486" s="6">
        <v>165000</v>
      </c>
      <c r="BL486" s="6">
        <v>105000</v>
      </c>
      <c r="BM486" s="2">
        <v>105000</v>
      </c>
      <c r="BN486">
        <f>InvoiceTable[[#This Row],[Giảm giá]]*InvoiceTable[[#This Row],[Số lượng]]</f>
        <v>165000</v>
      </c>
    </row>
    <row r="487" spans="1:66" x14ac:dyDescent="0.25">
      <c r="A487" t="s">
        <v>65</v>
      </c>
      <c r="B487" t="s">
        <v>1816</v>
      </c>
      <c r="F487" s="2"/>
      <c r="G487" s="3">
        <v>46011.550372106482</v>
      </c>
      <c r="H487" s="3">
        <v>46011.550302777781</v>
      </c>
      <c r="I487" s="4" t="s">
        <v>96</v>
      </c>
      <c r="J487" t="s">
        <v>1817</v>
      </c>
      <c r="K487" t="s">
        <v>67</v>
      </c>
      <c r="L487" t="s">
        <v>1795</v>
      </c>
      <c r="M487" t="s">
        <v>1796</v>
      </c>
      <c r="N487" t="s">
        <v>67</v>
      </c>
      <c r="O487" t="s">
        <v>1797</v>
      </c>
      <c r="P487" t="s">
        <v>1798</v>
      </c>
      <c r="S487" s="5"/>
      <c r="T487" t="s">
        <v>72</v>
      </c>
      <c r="U487" t="s">
        <v>87</v>
      </c>
      <c r="V487" t="s">
        <v>74</v>
      </c>
      <c r="W487" t="s">
        <v>102</v>
      </c>
      <c r="AE487" s="2"/>
      <c r="AF487" s="2"/>
      <c r="AG487" s="2"/>
      <c r="AH487" s="2"/>
      <c r="AK487" t="s">
        <v>1799</v>
      </c>
      <c r="AL487" s="2">
        <v>3405500</v>
      </c>
      <c r="AM487" s="2">
        <v>0</v>
      </c>
      <c r="AN487" s="2"/>
      <c r="AO487" s="2">
        <v>0</v>
      </c>
      <c r="AP487" s="2">
        <v>3405500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4"/>
      <c r="AX487" t="s">
        <v>75</v>
      </c>
      <c r="AZ487" t="s">
        <v>581</v>
      </c>
      <c r="BA487" t="s">
        <v>67</v>
      </c>
      <c r="BB487" t="s">
        <v>582</v>
      </c>
      <c r="BC487" t="s">
        <v>583</v>
      </c>
      <c r="BD487" t="s">
        <v>79</v>
      </c>
      <c r="BE487" t="s">
        <v>584</v>
      </c>
      <c r="BF487" s="5">
        <v>46672</v>
      </c>
      <c r="BH487">
        <v>1</v>
      </c>
      <c r="BI487" s="6">
        <v>2600000</v>
      </c>
      <c r="BJ487" s="6">
        <v>0</v>
      </c>
      <c r="BK487" s="6">
        <v>550000</v>
      </c>
      <c r="BL487" s="6">
        <v>2050000</v>
      </c>
      <c r="BM487" s="2">
        <v>2050000</v>
      </c>
      <c r="BN487">
        <f>InvoiceTable[[#This Row],[Giảm giá]]*InvoiceTable[[#This Row],[Số lượng]]</f>
        <v>550000</v>
      </c>
    </row>
    <row r="488" spans="1:66" x14ac:dyDescent="0.25">
      <c r="A488" t="s">
        <v>65</v>
      </c>
      <c r="B488" t="s">
        <v>1821</v>
      </c>
      <c r="F488" s="2"/>
      <c r="G488" s="3">
        <v>46011.546892708335</v>
      </c>
      <c r="H488" s="3">
        <v>46011.546892824073</v>
      </c>
      <c r="I488" s="4" t="s">
        <v>1812</v>
      </c>
      <c r="J488" t="s">
        <v>1822</v>
      </c>
      <c r="K488" t="s">
        <v>67</v>
      </c>
      <c r="L488" t="s">
        <v>464</v>
      </c>
      <c r="M488" t="s">
        <v>465</v>
      </c>
      <c r="N488" t="s">
        <v>466</v>
      </c>
      <c r="O488" t="s">
        <v>467</v>
      </c>
      <c r="P488" t="s">
        <v>468</v>
      </c>
      <c r="S488" s="5"/>
      <c r="T488" t="s">
        <v>72</v>
      </c>
      <c r="U488" t="s">
        <v>73</v>
      </c>
      <c r="V488" t="s">
        <v>74</v>
      </c>
      <c r="W488" t="s">
        <v>102</v>
      </c>
      <c r="AE488" s="2"/>
      <c r="AF488" s="2"/>
      <c r="AG488" s="2"/>
      <c r="AH488" s="2"/>
      <c r="AK488" t="s">
        <v>909</v>
      </c>
      <c r="AL488" s="2">
        <v>220000</v>
      </c>
      <c r="AM488" s="2">
        <v>0</v>
      </c>
      <c r="AN488" s="2"/>
      <c r="AO488" s="2">
        <v>0</v>
      </c>
      <c r="AP488" s="2">
        <v>220000</v>
      </c>
      <c r="AQ488" s="2">
        <v>220000</v>
      </c>
      <c r="AR488" s="2">
        <v>220000</v>
      </c>
      <c r="AS488" s="2">
        <v>0</v>
      </c>
      <c r="AT488" s="2">
        <v>0</v>
      </c>
      <c r="AU488" s="2">
        <v>0</v>
      </c>
      <c r="AV488" s="2">
        <v>0</v>
      </c>
      <c r="AW488" s="4"/>
      <c r="AX488" t="s">
        <v>75</v>
      </c>
      <c r="AZ488" t="s">
        <v>321</v>
      </c>
      <c r="BA488" t="s">
        <v>67</v>
      </c>
      <c r="BB488" t="s">
        <v>322</v>
      </c>
      <c r="BC488" t="s">
        <v>323</v>
      </c>
      <c r="BD488" t="s">
        <v>79</v>
      </c>
      <c r="BE488" t="s">
        <v>324</v>
      </c>
      <c r="BF488" s="5">
        <v>47058</v>
      </c>
      <c r="BH488">
        <v>20</v>
      </c>
      <c r="BI488" s="6">
        <v>25000</v>
      </c>
      <c r="BJ488" s="6">
        <v>0</v>
      </c>
      <c r="BK488" s="6">
        <v>14000</v>
      </c>
      <c r="BL488" s="6">
        <v>11000</v>
      </c>
      <c r="BM488" s="2">
        <v>220000</v>
      </c>
      <c r="BN488">
        <f>InvoiceTable[[#This Row],[Giảm giá]]*InvoiceTable[[#This Row],[Số lượng]]</f>
        <v>280000</v>
      </c>
    </row>
    <row r="489" spans="1:66" x14ac:dyDescent="0.25">
      <c r="A489" t="s">
        <v>65</v>
      </c>
      <c r="B489" t="s">
        <v>1823</v>
      </c>
      <c r="F489" s="2"/>
      <c r="G489" s="3">
        <v>46011.545757442131</v>
      </c>
      <c r="H489" s="3">
        <v>46011.5457459838</v>
      </c>
      <c r="I489" s="4" t="s">
        <v>1682</v>
      </c>
      <c r="J489" t="s">
        <v>1824</v>
      </c>
      <c r="K489" t="s">
        <v>67</v>
      </c>
      <c r="L489" t="s">
        <v>303</v>
      </c>
      <c r="M489" t="s">
        <v>304</v>
      </c>
      <c r="N489" t="s">
        <v>67</v>
      </c>
      <c r="O489" t="s">
        <v>305</v>
      </c>
      <c r="P489" t="s">
        <v>306</v>
      </c>
      <c r="Q489" t="s">
        <v>67</v>
      </c>
      <c r="R489" t="s">
        <v>67</v>
      </c>
      <c r="S489" s="5"/>
      <c r="T489" t="s">
        <v>72</v>
      </c>
      <c r="U489" t="s">
        <v>87</v>
      </c>
      <c r="V489" t="s">
        <v>74</v>
      </c>
      <c r="W489" t="s">
        <v>102</v>
      </c>
      <c r="AE489" s="2"/>
      <c r="AF489" s="2"/>
      <c r="AG489" s="2"/>
      <c r="AH489" s="2"/>
      <c r="AK489" t="s">
        <v>1825</v>
      </c>
      <c r="AL489" s="2">
        <v>58200000</v>
      </c>
      <c r="AM489" s="2">
        <v>0</v>
      </c>
      <c r="AN489" s="2"/>
      <c r="AO489" s="2">
        <v>0</v>
      </c>
      <c r="AP489" s="2">
        <v>58200000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4"/>
      <c r="AX489" t="s">
        <v>75</v>
      </c>
      <c r="AZ489" t="s">
        <v>103</v>
      </c>
      <c r="BB489" t="s">
        <v>104</v>
      </c>
      <c r="BC489" t="s">
        <v>105</v>
      </c>
      <c r="BD489" t="s">
        <v>79</v>
      </c>
      <c r="BE489" t="s">
        <v>106</v>
      </c>
      <c r="BF489" s="5">
        <v>46327</v>
      </c>
      <c r="BH489">
        <v>15</v>
      </c>
      <c r="BI489" s="6">
        <v>6930000</v>
      </c>
      <c r="BJ489" s="6">
        <v>0</v>
      </c>
      <c r="BK489" s="6">
        <v>3050000</v>
      </c>
      <c r="BL489" s="6">
        <v>3880000</v>
      </c>
      <c r="BM489" s="2">
        <v>58200000</v>
      </c>
      <c r="BN489">
        <f>InvoiceTable[[#This Row],[Giảm giá]]*InvoiceTable[[#This Row],[Số lượng]]</f>
        <v>45750000</v>
      </c>
    </row>
    <row r="490" spans="1:66" x14ac:dyDescent="0.25">
      <c r="A490" t="s">
        <v>65</v>
      </c>
      <c r="B490" t="s">
        <v>1826</v>
      </c>
      <c r="F490" s="2"/>
      <c r="G490" s="3">
        <v>46011.544554664353</v>
      </c>
      <c r="H490" s="3">
        <v>46011.544554826389</v>
      </c>
      <c r="I490" s="4" t="s">
        <v>67</v>
      </c>
      <c r="J490" t="s">
        <v>1827</v>
      </c>
      <c r="K490" t="s">
        <v>67</v>
      </c>
      <c r="L490" t="s">
        <v>350</v>
      </c>
      <c r="M490" t="s">
        <v>351</v>
      </c>
      <c r="N490" t="s">
        <v>67</v>
      </c>
      <c r="O490" t="s">
        <v>352</v>
      </c>
      <c r="P490" t="s">
        <v>353</v>
      </c>
      <c r="S490" s="5"/>
      <c r="T490" t="s">
        <v>72</v>
      </c>
      <c r="U490" t="s">
        <v>87</v>
      </c>
      <c r="V490" t="s">
        <v>74</v>
      </c>
      <c r="W490" t="s">
        <v>102</v>
      </c>
      <c r="AE490" s="2"/>
      <c r="AF490" s="2"/>
      <c r="AG490" s="2"/>
      <c r="AH490" s="2"/>
      <c r="AK490" t="s">
        <v>1828</v>
      </c>
      <c r="AL490" s="2">
        <v>9735000</v>
      </c>
      <c r="AM490" s="2">
        <v>0</v>
      </c>
      <c r="AN490" s="2"/>
      <c r="AO490" s="2">
        <v>0</v>
      </c>
      <c r="AP490" s="2">
        <v>9735000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4"/>
      <c r="AX490" t="s">
        <v>75</v>
      </c>
      <c r="AZ490" t="s">
        <v>424</v>
      </c>
      <c r="BA490" t="s">
        <v>67</v>
      </c>
      <c r="BB490" t="s">
        <v>425</v>
      </c>
      <c r="BC490" t="s">
        <v>426</v>
      </c>
      <c r="BD490" t="s">
        <v>79</v>
      </c>
      <c r="BE490" t="s">
        <v>198</v>
      </c>
      <c r="BF490" s="5">
        <v>46753</v>
      </c>
      <c r="BG490" t="s">
        <v>67</v>
      </c>
      <c r="BH490">
        <v>30</v>
      </c>
      <c r="BI490" s="6">
        <v>590000</v>
      </c>
      <c r="BJ490" s="6">
        <v>45</v>
      </c>
      <c r="BK490" s="6">
        <v>265500</v>
      </c>
      <c r="BL490" s="6">
        <v>324500</v>
      </c>
      <c r="BM490" s="2">
        <v>9735000</v>
      </c>
      <c r="BN490">
        <f>InvoiceTable[[#This Row],[Giảm giá]]*InvoiceTable[[#This Row],[Số lượng]]</f>
        <v>7965000</v>
      </c>
    </row>
    <row r="491" spans="1:66" x14ac:dyDescent="0.25">
      <c r="A491" t="s">
        <v>65</v>
      </c>
      <c r="B491" t="s">
        <v>1829</v>
      </c>
      <c r="F491" s="2"/>
      <c r="G491" s="3">
        <v>46011.464495601853</v>
      </c>
      <c r="H491" s="3">
        <v>46011.464449733794</v>
      </c>
      <c r="I491" s="4" t="s">
        <v>1050</v>
      </c>
      <c r="J491" t="s">
        <v>1830</v>
      </c>
      <c r="K491" t="s">
        <v>67</v>
      </c>
      <c r="L491" t="s">
        <v>1273</v>
      </c>
      <c r="M491" t="s">
        <v>1274</v>
      </c>
      <c r="N491" t="s">
        <v>67</v>
      </c>
      <c r="O491" t="s">
        <v>1275</v>
      </c>
      <c r="P491" t="s">
        <v>1276</v>
      </c>
      <c r="S491" s="5"/>
      <c r="T491" t="s">
        <v>72</v>
      </c>
      <c r="U491" t="s">
        <v>73</v>
      </c>
      <c r="V491" t="s">
        <v>74</v>
      </c>
      <c r="W491" t="s">
        <v>73</v>
      </c>
      <c r="AE491" s="2"/>
      <c r="AF491" s="2"/>
      <c r="AG491" s="2"/>
      <c r="AH491" s="2"/>
      <c r="AK491" t="s">
        <v>1831</v>
      </c>
      <c r="AL491" s="2">
        <v>420000</v>
      </c>
      <c r="AM491" s="2">
        <v>0</v>
      </c>
      <c r="AN491" s="2"/>
      <c r="AO491" s="2">
        <v>0</v>
      </c>
      <c r="AP491" s="2">
        <v>420000</v>
      </c>
      <c r="AQ491" s="2">
        <v>420000</v>
      </c>
      <c r="AR491" s="2">
        <v>420000</v>
      </c>
      <c r="AS491" s="2">
        <v>0</v>
      </c>
      <c r="AT491" s="2">
        <v>0</v>
      </c>
      <c r="AU491" s="2">
        <v>0</v>
      </c>
      <c r="AV491" s="2">
        <v>0</v>
      </c>
      <c r="AW491" s="4"/>
      <c r="AX491" t="s">
        <v>75</v>
      </c>
      <c r="AZ491" t="s">
        <v>828</v>
      </c>
      <c r="BA491" t="s">
        <v>67</v>
      </c>
      <c r="BB491" t="s">
        <v>829</v>
      </c>
      <c r="BC491" t="s">
        <v>830</v>
      </c>
      <c r="BD491" t="s">
        <v>79</v>
      </c>
      <c r="BE491" t="s">
        <v>117</v>
      </c>
      <c r="BF491" s="5">
        <v>46569</v>
      </c>
      <c r="BH491">
        <v>1</v>
      </c>
      <c r="BI491" s="6">
        <v>550000</v>
      </c>
      <c r="BJ491" s="6">
        <v>0</v>
      </c>
      <c r="BK491" s="6">
        <v>130000</v>
      </c>
      <c r="BL491" s="6">
        <v>420000</v>
      </c>
      <c r="BM491" s="2">
        <v>420000</v>
      </c>
      <c r="BN491">
        <f>InvoiceTable[[#This Row],[Giảm giá]]*InvoiceTable[[#This Row],[Số lượng]]</f>
        <v>130000</v>
      </c>
    </row>
    <row r="492" spans="1:66" x14ac:dyDescent="0.25">
      <c r="A492" t="s">
        <v>65</v>
      </c>
      <c r="B492" t="s">
        <v>1832</v>
      </c>
      <c r="F492" s="2"/>
      <c r="G492" s="3">
        <v>46011.449969328707</v>
      </c>
      <c r="H492" s="3">
        <v>46011.449969479167</v>
      </c>
      <c r="I492" s="4" t="s">
        <v>67</v>
      </c>
      <c r="J492" t="s">
        <v>1833</v>
      </c>
      <c r="K492" t="s">
        <v>67</v>
      </c>
      <c r="L492" t="s">
        <v>1834</v>
      </c>
      <c r="M492" t="s">
        <v>1835</v>
      </c>
      <c r="N492" t="s">
        <v>1836</v>
      </c>
      <c r="O492" t="s">
        <v>1837</v>
      </c>
      <c r="P492" t="s">
        <v>1838</v>
      </c>
      <c r="Q492" t="s">
        <v>459</v>
      </c>
      <c r="R492" t="s">
        <v>1839</v>
      </c>
      <c r="S492" s="5"/>
      <c r="T492" t="s">
        <v>72</v>
      </c>
      <c r="U492" t="s">
        <v>102</v>
      </c>
      <c r="V492" t="s">
        <v>74</v>
      </c>
      <c r="W492" t="s">
        <v>102</v>
      </c>
      <c r="AE492" s="2"/>
      <c r="AF492" s="2"/>
      <c r="AG492" s="2"/>
      <c r="AH492" s="2"/>
      <c r="AK492" t="s">
        <v>1840</v>
      </c>
      <c r="AL492" s="2">
        <v>1014000</v>
      </c>
      <c r="AM492" s="2">
        <v>0</v>
      </c>
      <c r="AN492" s="2"/>
      <c r="AO492" s="2">
        <v>0</v>
      </c>
      <c r="AP492" s="2">
        <v>1014000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4"/>
      <c r="AX492" t="s">
        <v>75</v>
      </c>
      <c r="AZ492" t="s">
        <v>1841</v>
      </c>
      <c r="BA492" t="s">
        <v>67</v>
      </c>
      <c r="BB492" t="s">
        <v>1842</v>
      </c>
      <c r="BC492" t="s">
        <v>223</v>
      </c>
      <c r="BD492" t="s">
        <v>79</v>
      </c>
      <c r="BE492" t="s">
        <v>142</v>
      </c>
      <c r="BF492" s="5">
        <v>46844</v>
      </c>
      <c r="BG492" t="s">
        <v>67</v>
      </c>
      <c r="BH492">
        <v>1</v>
      </c>
      <c r="BI492" s="6">
        <v>1950000</v>
      </c>
      <c r="BJ492" s="6">
        <v>48</v>
      </c>
      <c r="BK492" s="6">
        <v>936000</v>
      </c>
      <c r="BL492" s="6">
        <v>1014000</v>
      </c>
      <c r="BM492" s="2">
        <v>1014000</v>
      </c>
      <c r="BN492">
        <f>InvoiceTable[[#This Row],[Giảm giá]]*InvoiceTable[[#This Row],[Số lượng]]</f>
        <v>936000</v>
      </c>
    </row>
    <row r="493" spans="1:66" x14ac:dyDescent="0.25">
      <c r="A493" t="s">
        <v>65</v>
      </c>
      <c r="B493" t="s">
        <v>1843</v>
      </c>
      <c r="F493" s="2"/>
      <c r="G493" s="3">
        <v>46011.425018020833</v>
      </c>
      <c r="H493" s="3">
        <v>46011.424948761574</v>
      </c>
      <c r="I493" s="4" t="s">
        <v>96</v>
      </c>
      <c r="J493" t="s">
        <v>1844</v>
      </c>
      <c r="K493" t="s">
        <v>67</v>
      </c>
      <c r="L493" t="s">
        <v>1845</v>
      </c>
      <c r="M493" t="s">
        <v>1846</v>
      </c>
      <c r="N493" t="s">
        <v>67</v>
      </c>
      <c r="O493" t="s">
        <v>1847</v>
      </c>
      <c r="P493" t="s">
        <v>1848</v>
      </c>
      <c r="S493" s="5"/>
      <c r="T493" t="s">
        <v>72</v>
      </c>
      <c r="U493" t="s">
        <v>87</v>
      </c>
      <c r="V493" t="s">
        <v>74</v>
      </c>
      <c r="W493" t="s">
        <v>102</v>
      </c>
      <c r="AE493" s="2"/>
      <c r="AF493" s="2"/>
      <c r="AG493" s="2"/>
      <c r="AH493" s="2"/>
      <c r="AK493" t="s">
        <v>1003</v>
      </c>
      <c r="AL493" s="2">
        <v>732564</v>
      </c>
      <c r="AM493" s="2">
        <v>0</v>
      </c>
      <c r="AN493" s="2"/>
      <c r="AO493" s="2">
        <v>0</v>
      </c>
      <c r="AP493" s="2">
        <v>732564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4"/>
      <c r="AX493" t="s">
        <v>75</v>
      </c>
      <c r="AZ493" t="s">
        <v>1849</v>
      </c>
      <c r="BA493" t="s">
        <v>67</v>
      </c>
      <c r="BB493" t="s">
        <v>1850</v>
      </c>
      <c r="BC493" t="s">
        <v>1851</v>
      </c>
      <c r="BD493" t="s">
        <v>79</v>
      </c>
      <c r="BE493" t="s">
        <v>145</v>
      </c>
      <c r="BF493" s="5">
        <v>46508</v>
      </c>
      <c r="BH493">
        <v>1</v>
      </c>
      <c r="BI493" s="6">
        <v>1285200</v>
      </c>
      <c r="BJ493" s="6">
        <v>43</v>
      </c>
      <c r="BK493" s="6">
        <v>552636</v>
      </c>
      <c r="BL493" s="6">
        <v>732564</v>
      </c>
      <c r="BM493" s="2">
        <v>732564</v>
      </c>
      <c r="BN493">
        <f>InvoiceTable[[#This Row],[Giảm giá]]*InvoiceTable[[#This Row],[Số lượng]]</f>
        <v>552636</v>
      </c>
    </row>
    <row r="494" spans="1:66" x14ac:dyDescent="0.25">
      <c r="A494" t="s">
        <v>65</v>
      </c>
      <c r="B494" t="s">
        <v>1852</v>
      </c>
      <c r="F494" s="2"/>
      <c r="G494" s="3">
        <v>46011.419964201392</v>
      </c>
      <c r="H494" s="3">
        <v>46011.419964386572</v>
      </c>
      <c r="I494" s="4" t="s">
        <v>67</v>
      </c>
      <c r="J494" t="s">
        <v>1853</v>
      </c>
      <c r="K494" t="s">
        <v>67</v>
      </c>
      <c r="L494" t="s">
        <v>1854</v>
      </c>
      <c r="M494" t="s">
        <v>1855</v>
      </c>
      <c r="N494" t="s">
        <v>67</v>
      </c>
      <c r="O494" t="s">
        <v>1856</v>
      </c>
      <c r="P494" t="s">
        <v>1857</v>
      </c>
      <c r="Q494" t="s">
        <v>1858</v>
      </c>
      <c r="R494" t="s">
        <v>1859</v>
      </c>
      <c r="S494" s="5"/>
      <c r="T494" t="s">
        <v>72</v>
      </c>
      <c r="U494" t="s">
        <v>87</v>
      </c>
      <c r="V494" t="s">
        <v>74</v>
      </c>
      <c r="W494" t="s">
        <v>102</v>
      </c>
      <c r="AE494" s="2"/>
      <c r="AF494" s="2"/>
      <c r="AG494" s="2"/>
      <c r="AH494" s="2"/>
      <c r="AK494" t="s">
        <v>1003</v>
      </c>
      <c r="AL494" s="2">
        <v>857800</v>
      </c>
      <c r="AM494" s="2">
        <v>0</v>
      </c>
      <c r="AN494" s="2"/>
      <c r="AO494" s="2">
        <v>0</v>
      </c>
      <c r="AP494" s="2">
        <v>857800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4"/>
      <c r="AX494" t="s">
        <v>75</v>
      </c>
      <c r="AZ494" t="s">
        <v>1860</v>
      </c>
      <c r="BA494" t="s">
        <v>67</v>
      </c>
      <c r="BB494" t="s">
        <v>1861</v>
      </c>
      <c r="BC494" t="s">
        <v>1714</v>
      </c>
      <c r="BD494" t="s">
        <v>79</v>
      </c>
      <c r="BE494" t="s">
        <v>317</v>
      </c>
      <c r="BF494" s="5">
        <v>46935</v>
      </c>
      <c r="BG494" t="s">
        <v>67</v>
      </c>
      <c r="BH494">
        <v>1</v>
      </c>
      <c r="BI494" s="6">
        <v>390000</v>
      </c>
      <c r="BJ494" s="6">
        <v>38</v>
      </c>
      <c r="BK494" s="6">
        <v>148200</v>
      </c>
      <c r="BL494" s="6">
        <v>241800</v>
      </c>
      <c r="BM494" s="2">
        <v>241800</v>
      </c>
      <c r="BN494">
        <f>InvoiceTable[[#This Row],[Giảm giá]]*InvoiceTable[[#This Row],[Số lượng]]</f>
        <v>148200</v>
      </c>
    </row>
    <row r="495" spans="1:66" x14ac:dyDescent="0.25">
      <c r="A495" t="s">
        <v>65</v>
      </c>
      <c r="B495" t="s">
        <v>1852</v>
      </c>
      <c r="F495" s="2"/>
      <c r="G495" s="3">
        <v>46011.419964201392</v>
      </c>
      <c r="H495" s="3">
        <v>46011.419964386572</v>
      </c>
      <c r="I495" s="4" t="s">
        <v>67</v>
      </c>
      <c r="J495" t="s">
        <v>1853</v>
      </c>
      <c r="K495" t="s">
        <v>67</v>
      </c>
      <c r="L495" t="s">
        <v>1854</v>
      </c>
      <c r="M495" t="s">
        <v>1855</v>
      </c>
      <c r="N495" t="s">
        <v>67</v>
      </c>
      <c r="O495" t="s">
        <v>1856</v>
      </c>
      <c r="P495" t="s">
        <v>1857</v>
      </c>
      <c r="Q495" t="s">
        <v>1858</v>
      </c>
      <c r="R495" t="s">
        <v>1859</v>
      </c>
      <c r="S495" s="5"/>
      <c r="T495" t="s">
        <v>72</v>
      </c>
      <c r="U495" t="s">
        <v>87</v>
      </c>
      <c r="V495" t="s">
        <v>74</v>
      </c>
      <c r="W495" t="s">
        <v>102</v>
      </c>
      <c r="AE495" s="2"/>
      <c r="AF495" s="2"/>
      <c r="AG495" s="2"/>
      <c r="AH495" s="2"/>
      <c r="AK495" t="s">
        <v>1003</v>
      </c>
      <c r="AL495" s="2">
        <v>857800</v>
      </c>
      <c r="AM495" s="2">
        <v>0</v>
      </c>
      <c r="AN495" s="2"/>
      <c r="AO495" s="2">
        <v>0</v>
      </c>
      <c r="AP495" s="2">
        <v>857800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4"/>
      <c r="AX495" t="s">
        <v>75</v>
      </c>
      <c r="AZ495" t="s">
        <v>1862</v>
      </c>
      <c r="BA495" t="s">
        <v>67</v>
      </c>
      <c r="BB495" t="s">
        <v>1863</v>
      </c>
      <c r="BC495" t="s">
        <v>721</v>
      </c>
      <c r="BD495" t="s">
        <v>79</v>
      </c>
      <c r="BE495" t="s">
        <v>324</v>
      </c>
      <c r="BF495" s="5">
        <v>47058</v>
      </c>
      <c r="BG495" t="s">
        <v>67</v>
      </c>
      <c r="BH495">
        <v>1</v>
      </c>
      <c r="BI495" s="6">
        <v>1100000</v>
      </c>
      <c r="BJ495" s="6">
        <v>44</v>
      </c>
      <c r="BK495" s="6">
        <v>484000</v>
      </c>
      <c r="BL495" s="6">
        <v>616000</v>
      </c>
      <c r="BM495" s="2">
        <v>616000</v>
      </c>
      <c r="BN495">
        <f>InvoiceTable[[#This Row],[Giảm giá]]*InvoiceTable[[#This Row],[Số lượng]]</f>
        <v>484000</v>
      </c>
    </row>
    <row r="496" spans="1:66" x14ac:dyDescent="0.25">
      <c r="A496" t="s">
        <v>65</v>
      </c>
      <c r="B496" t="s">
        <v>1864</v>
      </c>
      <c r="F496" s="2"/>
      <c r="G496" s="3">
        <v>46011.418618900461</v>
      </c>
      <c r="H496" s="3">
        <v>46011.418549571761</v>
      </c>
      <c r="I496" s="4" t="s">
        <v>96</v>
      </c>
      <c r="J496" t="s">
        <v>1865</v>
      </c>
      <c r="K496" t="s">
        <v>67</v>
      </c>
      <c r="L496" t="s">
        <v>82</v>
      </c>
      <c r="M496" t="s">
        <v>83</v>
      </c>
      <c r="N496" t="s">
        <v>84</v>
      </c>
      <c r="O496" t="s">
        <v>85</v>
      </c>
      <c r="P496" t="s">
        <v>86</v>
      </c>
      <c r="S496" s="5"/>
      <c r="T496" t="s">
        <v>72</v>
      </c>
      <c r="U496" t="s">
        <v>87</v>
      </c>
      <c r="V496" t="s">
        <v>74</v>
      </c>
      <c r="W496" t="s">
        <v>102</v>
      </c>
      <c r="AE496" s="2"/>
      <c r="AF496" s="2"/>
      <c r="AG496" s="2"/>
      <c r="AH496" s="2"/>
      <c r="AK496" t="s">
        <v>67</v>
      </c>
      <c r="AL496" s="2">
        <v>132000</v>
      </c>
      <c r="AM496" s="2">
        <v>0</v>
      </c>
      <c r="AN496" s="2"/>
      <c r="AO496" s="2">
        <v>0</v>
      </c>
      <c r="AP496" s="2">
        <v>132000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4"/>
      <c r="AX496" t="s">
        <v>75</v>
      </c>
      <c r="AZ496" t="s">
        <v>1866</v>
      </c>
      <c r="BA496" t="s">
        <v>67</v>
      </c>
      <c r="BB496" t="s">
        <v>1867</v>
      </c>
      <c r="BC496" t="s">
        <v>126</v>
      </c>
      <c r="BD496" t="s">
        <v>79</v>
      </c>
      <c r="BE496" t="s">
        <v>216</v>
      </c>
      <c r="BF496" s="5">
        <v>46784</v>
      </c>
      <c r="BG496" t="s">
        <v>67</v>
      </c>
      <c r="BH496">
        <v>2</v>
      </c>
      <c r="BI496" s="6">
        <v>110000</v>
      </c>
      <c r="BJ496" s="6">
        <v>40</v>
      </c>
      <c r="BK496" s="6">
        <v>44000</v>
      </c>
      <c r="BL496" s="6">
        <v>66000</v>
      </c>
      <c r="BM496" s="2">
        <v>132000</v>
      </c>
      <c r="BN496">
        <f>InvoiceTable[[#This Row],[Giảm giá]]*InvoiceTable[[#This Row],[Số lượng]]</f>
        <v>88000</v>
      </c>
    </row>
    <row r="497" spans="1:66" x14ac:dyDescent="0.25">
      <c r="A497" t="s">
        <v>65</v>
      </c>
      <c r="B497" t="s">
        <v>1868</v>
      </c>
      <c r="F497" s="2"/>
      <c r="G497" s="3">
        <v>46011.417109374997</v>
      </c>
      <c r="H497" s="3">
        <v>46011.417109756941</v>
      </c>
      <c r="I497" s="4" t="s">
        <v>1869</v>
      </c>
      <c r="J497" t="s">
        <v>1870</v>
      </c>
      <c r="K497" t="s">
        <v>67</v>
      </c>
      <c r="L497" t="s">
        <v>464</v>
      </c>
      <c r="M497" t="s">
        <v>465</v>
      </c>
      <c r="N497" t="s">
        <v>466</v>
      </c>
      <c r="O497" t="s">
        <v>467</v>
      </c>
      <c r="P497" t="s">
        <v>468</v>
      </c>
      <c r="S497" s="5"/>
      <c r="T497" t="s">
        <v>72</v>
      </c>
      <c r="U497" t="s">
        <v>73</v>
      </c>
      <c r="V497" t="s">
        <v>74</v>
      </c>
      <c r="W497" t="s">
        <v>102</v>
      </c>
      <c r="AE497" s="2"/>
      <c r="AF497" s="2"/>
      <c r="AG497" s="2"/>
      <c r="AH497" s="2"/>
      <c r="AK497" t="s">
        <v>909</v>
      </c>
      <c r="AL497" s="2">
        <v>204100</v>
      </c>
      <c r="AM497" s="2">
        <v>0</v>
      </c>
      <c r="AN497" s="2"/>
      <c r="AO497" s="2">
        <v>0</v>
      </c>
      <c r="AP497" s="2">
        <v>204100</v>
      </c>
      <c r="AQ497" s="2">
        <v>204100</v>
      </c>
      <c r="AR497" s="2">
        <v>204100</v>
      </c>
      <c r="AS497" s="2">
        <v>0</v>
      </c>
      <c r="AT497" s="2">
        <v>0</v>
      </c>
      <c r="AU497" s="2">
        <v>0</v>
      </c>
      <c r="AV497" s="2">
        <v>0</v>
      </c>
      <c r="AW497" s="4"/>
      <c r="AX497" t="s">
        <v>75</v>
      </c>
      <c r="AZ497" t="s">
        <v>1871</v>
      </c>
      <c r="BA497" t="s">
        <v>67</v>
      </c>
      <c r="BB497" t="s">
        <v>1872</v>
      </c>
      <c r="BC497" t="s">
        <v>93</v>
      </c>
      <c r="BD497" t="s">
        <v>79</v>
      </c>
      <c r="BE497" t="s">
        <v>810</v>
      </c>
      <c r="BF497" s="5">
        <v>46539</v>
      </c>
      <c r="BH497">
        <v>1</v>
      </c>
      <c r="BI497" s="6">
        <v>314000</v>
      </c>
      <c r="BJ497" s="6">
        <v>35</v>
      </c>
      <c r="BK497" s="6">
        <v>109900</v>
      </c>
      <c r="BL497" s="6">
        <v>204100</v>
      </c>
      <c r="BM497" s="2">
        <v>204100</v>
      </c>
      <c r="BN497">
        <f>InvoiceTable[[#This Row],[Giảm giá]]*InvoiceTable[[#This Row],[Số lượng]]</f>
        <v>109900</v>
      </c>
    </row>
    <row r="498" spans="1:66" x14ac:dyDescent="0.25">
      <c r="A498" t="s">
        <v>65</v>
      </c>
      <c r="B498" t="s">
        <v>1873</v>
      </c>
      <c r="F498" s="2"/>
      <c r="G498" s="3">
        <v>46011.416217210652</v>
      </c>
      <c r="H498" s="3">
        <v>46011.416217280093</v>
      </c>
      <c r="I498" s="4" t="s">
        <v>67</v>
      </c>
      <c r="J498" t="s">
        <v>1874</v>
      </c>
      <c r="K498" t="s">
        <v>67</v>
      </c>
      <c r="L498" t="s">
        <v>1875</v>
      </c>
      <c r="M498" t="s">
        <v>1876</v>
      </c>
      <c r="N498" t="s">
        <v>67</v>
      </c>
      <c r="O498" t="s">
        <v>1877</v>
      </c>
      <c r="S498" s="5"/>
      <c r="T498" t="s">
        <v>72</v>
      </c>
      <c r="U498" t="s">
        <v>87</v>
      </c>
      <c r="V498" t="s">
        <v>74</v>
      </c>
      <c r="W498" t="s">
        <v>102</v>
      </c>
      <c r="AE498" s="2"/>
      <c r="AF498" s="2"/>
      <c r="AG498" s="2"/>
      <c r="AH498" s="2"/>
      <c r="AK498" t="s">
        <v>1878</v>
      </c>
      <c r="AL498" s="2">
        <v>195000</v>
      </c>
      <c r="AM498" s="2">
        <v>0</v>
      </c>
      <c r="AN498" s="2"/>
      <c r="AO498" s="2">
        <v>0</v>
      </c>
      <c r="AP498" s="2">
        <v>195000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4"/>
      <c r="AX498" t="s">
        <v>75</v>
      </c>
      <c r="AZ498" t="s">
        <v>573</v>
      </c>
      <c r="BA498" t="s">
        <v>67</v>
      </c>
      <c r="BB498" t="s">
        <v>89</v>
      </c>
      <c r="BC498" t="s">
        <v>90</v>
      </c>
      <c r="BF498" s="5"/>
      <c r="BG498" t="s">
        <v>67</v>
      </c>
      <c r="BH498">
        <v>1</v>
      </c>
      <c r="BI498" s="6">
        <v>195000</v>
      </c>
      <c r="BJ498" s="6">
        <v>0</v>
      </c>
      <c r="BK498" s="6">
        <v>0</v>
      </c>
      <c r="BL498" s="6">
        <v>195000</v>
      </c>
      <c r="BM498" s="2">
        <v>195000</v>
      </c>
      <c r="BN498">
        <f>InvoiceTable[[#This Row],[Giảm giá]]*InvoiceTable[[#This Row],[Số lượng]]</f>
        <v>0</v>
      </c>
    </row>
    <row r="499" spans="1:66" x14ac:dyDescent="0.25">
      <c r="A499" t="s">
        <v>65</v>
      </c>
      <c r="B499" t="s">
        <v>1879</v>
      </c>
      <c r="F499" s="2"/>
      <c r="G499" s="3">
        <v>46011.415337233797</v>
      </c>
      <c r="H499" s="3">
        <v>46011.415325729169</v>
      </c>
      <c r="I499" s="4" t="s">
        <v>1682</v>
      </c>
      <c r="J499" t="s">
        <v>1880</v>
      </c>
      <c r="K499" t="s">
        <v>67</v>
      </c>
      <c r="L499" t="s">
        <v>814</v>
      </c>
      <c r="M499" t="s">
        <v>815</v>
      </c>
      <c r="N499" t="s">
        <v>67</v>
      </c>
      <c r="O499" t="s">
        <v>816</v>
      </c>
      <c r="Q499" t="s">
        <v>67</v>
      </c>
      <c r="R499" t="s">
        <v>67</v>
      </c>
      <c r="S499" s="5"/>
      <c r="T499" t="s">
        <v>72</v>
      </c>
      <c r="U499" t="s">
        <v>102</v>
      </c>
      <c r="V499" t="s">
        <v>74</v>
      </c>
      <c r="W499" t="s">
        <v>102</v>
      </c>
      <c r="AE499" s="2"/>
      <c r="AF499" s="2"/>
      <c r="AG499" s="2"/>
      <c r="AH499" s="2"/>
      <c r="AK499" t="s">
        <v>1881</v>
      </c>
      <c r="AL499" s="2">
        <v>318000</v>
      </c>
      <c r="AM499" s="2">
        <v>0</v>
      </c>
      <c r="AN499" s="2"/>
      <c r="AO499" s="2">
        <v>0</v>
      </c>
      <c r="AP499" s="2">
        <v>318000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4"/>
      <c r="AX499" t="s">
        <v>75</v>
      </c>
      <c r="AZ499" t="s">
        <v>1539</v>
      </c>
      <c r="BA499" t="s">
        <v>67</v>
      </c>
      <c r="BB499" t="s">
        <v>1540</v>
      </c>
      <c r="BC499" t="s">
        <v>485</v>
      </c>
      <c r="BD499" t="s">
        <v>79</v>
      </c>
      <c r="BE499" t="s">
        <v>1541</v>
      </c>
      <c r="BF499" s="5">
        <v>46627</v>
      </c>
      <c r="BH499">
        <v>1</v>
      </c>
      <c r="BI499" s="6">
        <v>600000</v>
      </c>
      <c r="BJ499" s="6">
        <v>47</v>
      </c>
      <c r="BK499" s="6">
        <v>282000</v>
      </c>
      <c r="BL499" s="6">
        <v>318000</v>
      </c>
      <c r="BM499" s="2">
        <v>318000</v>
      </c>
      <c r="BN499">
        <f>InvoiceTable[[#This Row],[Giảm giá]]*InvoiceTable[[#This Row],[Số lượng]]</f>
        <v>282000</v>
      </c>
    </row>
    <row r="500" spans="1:66" x14ac:dyDescent="0.25">
      <c r="A500" t="s">
        <v>65</v>
      </c>
      <c r="B500" t="s">
        <v>1882</v>
      </c>
      <c r="F500" s="2"/>
      <c r="G500" s="3">
        <v>46011.414349687497</v>
      </c>
      <c r="H500" s="3">
        <v>46011.414349803243</v>
      </c>
      <c r="I500" s="4" t="s">
        <v>67</v>
      </c>
      <c r="J500" t="s">
        <v>1883</v>
      </c>
      <c r="K500" t="s">
        <v>67</v>
      </c>
      <c r="L500" t="s">
        <v>1884</v>
      </c>
      <c r="M500" t="s">
        <v>1885</v>
      </c>
      <c r="N500" t="s">
        <v>67</v>
      </c>
      <c r="O500" t="s">
        <v>1886</v>
      </c>
      <c r="P500" t="s">
        <v>1887</v>
      </c>
      <c r="Q500" t="s">
        <v>67</v>
      </c>
      <c r="R500" t="s">
        <v>67</v>
      </c>
      <c r="S500" s="5"/>
      <c r="T500" t="s">
        <v>72</v>
      </c>
      <c r="U500" t="s">
        <v>87</v>
      </c>
      <c r="V500" t="s">
        <v>74</v>
      </c>
      <c r="W500" t="s">
        <v>102</v>
      </c>
      <c r="AE500" s="2"/>
      <c r="AF500" s="2"/>
      <c r="AG500" s="2"/>
      <c r="AH500" s="2"/>
      <c r="AK500" t="s">
        <v>67</v>
      </c>
      <c r="AL500" s="2">
        <v>2818800</v>
      </c>
      <c r="AM500" s="2">
        <v>0</v>
      </c>
      <c r="AN500" s="2"/>
      <c r="AO500" s="2">
        <v>0</v>
      </c>
      <c r="AP500" s="2">
        <v>2818800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4"/>
      <c r="AX500" t="s">
        <v>75</v>
      </c>
      <c r="AZ500" t="s">
        <v>1888</v>
      </c>
      <c r="BB500" t="s">
        <v>1889</v>
      </c>
      <c r="BC500" t="s">
        <v>1786</v>
      </c>
      <c r="BD500" t="s">
        <v>79</v>
      </c>
      <c r="BE500" t="s">
        <v>94</v>
      </c>
      <c r="BF500" s="5">
        <v>46692</v>
      </c>
      <c r="BG500" t="s">
        <v>67</v>
      </c>
      <c r="BH500">
        <v>5</v>
      </c>
      <c r="BI500" s="6">
        <v>972000</v>
      </c>
      <c r="BJ500" s="6">
        <v>42</v>
      </c>
      <c r="BK500" s="6">
        <v>408240</v>
      </c>
      <c r="BL500" s="6">
        <v>563760</v>
      </c>
      <c r="BM500" s="2">
        <v>2818800</v>
      </c>
      <c r="BN500">
        <f>InvoiceTable[[#This Row],[Giảm giá]]*InvoiceTable[[#This Row],[Số lượng]]</f>
        <v>2041200</v>
      </c>
    </row>
    <row r="501" spans="1:66" x14ac:dyDescent="0.25">
      <c r="A501" t="s">
        <v>65</v>
      </c>
      <c r="B501" t="s">
        <v>1890</v>
      </c>
      <c r="F501" s="2"/>
      <c r="G501" s="3">
        <v>46010.763899074074</v>
      </c>
      <c r="H501" s="3">
        <v>46010.763899270831</v>
      </c>
      <c r="I501" s="4" t="s">
        <v>67</v>
      </c>
      <c r="J501" t="s">
        <v>1891</v>
      </c>
      <c r="K501" t="s">
        <v>67</v>
      </c>
      <c r="L501" t="s">
        <v>1892</v>
      </c>
      <c r="M501" t="s">
        <v>1893</v>
      </c>
      <c r="N501" t="s">
        <v>1894</v>
      </c>
      <c r="O501" t="s">
        <v>1895</v>
      </c>
      <c r="P501" t="s">
        <v>1896</v>
      </c>
      <c r="S501" s="5"/>
      <c r="T501" t="s">
        <v>72</v>
      </c>
      <c r="U501" t="s">
        <v>73</v>
      </c>
      <c r="V501" t="s">
        <v>74</v>
      </c>
      <c r="W501" t="s">
        <v>73</v>
      </c>
      <c r="AE501" s="2"/>
      <c r="AF501" s="2"/>
      <c r="AG501" s="2"/>
      <c r="AH501" s="2"/>
      <c r="AK501" t="s">
        <v>313</v>
      </c>
      <c r="AL501" s="2">
        <v>344500</v>
      </c>
      <c r="AM501" s="2">
        <v>0</v>
      </c>
      <c r="AN501" s="2"/>
      <c r="AO501" s="2">
        <v>0</v>
      </c>
      <c r="AP501" s="2">
        <v>344500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4"/>
      <c r="AX501" t="s">
        <v>75</v>
      </c>
      <c r="AZ501" t="s">
        <v>1897</v>
      </c>
      <c r="BA501" t="s">
        <v>67</v>
      </c>
      <c r="BB501" t="s">
        <v>1898</v>
      </c>
      <c r="BC501" t="s">
        <v>703</v>
      </c>
      <c r="BD501" t="s">
        <v>79</v>
      </c>
      <c r="BE501" t="s">
        <v>1899</v>
      </c>
      <c r="BF501" s="5">
        <v>47150</v>
      </c>
      <c r="BH501">
        <v>1</v>
      </c>
      <c r="BI501" s="6">
        <v>650000</v>
      </c>
      <c r="BJ501" s="6">
        <v>47</v>
      </c>
      <c r="BK501" s="6">
        <v>305500</v>
      </c>
      <c r="BL501" s="6">
        <v>344500</v>
      </c>
      <c r="BM501" s="2">
        <v>344500</v>
      </c>
      <c r="BN501">
        <f>InvoiceTable[[#This Row],[Giảm giá]]*InvoiceTable[[#This Row],[Số lượng]]</f>
        <v>305500</v>
      </c>
    </row>
    <row r="502" spans="1:66" x14ac:dyDescent="0.25">
      <c r="A502" t="s">
        <v>65</v>
      </c>
      <c r="B502" t="s">
        <v>1900</v>
      </c>
      <c r="F502" s="2"/>
      <c r="G502" s="3">
        <v>46010.759369409723</v>
      </c>
      <c r="H502" s="3">
        <v>46010.759369594911</v>
      </c>
      <c r="I502" s="4" t="s">
        <v>67</v>
      </c>
      <c r="J502" t="s">
        <v>67</v>
      </c>
      <c r="K502" t="s">
        <v>67</v>
      </c>
      <c r="L502" t="s">
        <v>1901</v>
      </c>
      <c r="M502" t="s">
        <v>1902</v>
      </c>
      <c r="N502" t="s">
        <v>67</v>
      </c>
      <c r="O502" t="s">
        <v>1903</v>
      </c>
      <c r="P502" t="s">
        <v>1904</v>
      </c>
      <c r="Q502" t="s">
        <v>67</v>
      </c>
      <c r="R502" t="s">
        <v>67</v>
      </c>
      <c r="S502" s="5"/>
      <c r="T502" t="s">
        <v>72</v>
      </c>
      <c r="U502" t="s">
        <v>87</v>
      </c>
      <c r="V502" t="s">
        <v>74</v>
      </c>
      <c r="W502" t="s">
        <v>87</v>
      </c>
      <c r="AE502" s="2"/>
      <c r="AF502" s="2"/>
      <c r="AG502" s="2"/>
      <c r="AH502" s="2"/>
      <c r="AL502" s="2">
        <v>6625000</v>
      </c>
      <c r="AM502" s="2">
        <v>0</v>
      </c>
      <c r="AN502" s="2"/>
      <c r="AO502" s="2">
        <v>0</v>
      </c>
      <c r="AP502" s="2">
        <v>6625000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4"/>
      <c r="AX502" t="s">
        <v>75</v>
      </c>
      <c r="AZ502" t="s">
        <v>1215</v>
      </c>
      <c r="BA502" t="s">
        <v>67</v>
      </c>
      <c r="BB502" t="s">
        <v>1216</v>
      </c>
      <c r="BC502" t="s">
        <v>770</v>
      </c>
      <c r="BD502" t="s">
        <v>79</v>
      </c>
      <c r="BE502" t="s">
        <v>198</v>
      </c>
      <c r="BF502" s="5">
        <v>46753</v>
      </c>
      <c r="BH502">
        <v>50</v>
      </c>
      <c r="BI502" s="6">
        <v>250000</v>
      </c>
      <c r="BJ502" s="6">
        <v>47</v>
      </c>
      <c r="BK502" s="6">
        <v>117500</v>
      </c>
      <c r="BL502" s="6">
        <v>132500</v>
      </c>
      <c r="BM502" s="2">
        <v>6625000</v>
      </c>
      <c r="BN502">
        <f>InvoiceTable[[#This Row],[Giảm giá]]*InvoiceTable[[#This Row],[Số lượng]]</f>
        <v>5875000</v>
      </c>
    </row>
    <row r="503" spans="1:66" x14ac:dyDescent="0.25">
      <c r="A503" t="s">
        <v>65</v>
      </c>
      <c r="B503" t="s">
        <v>1905</v>
      </c>
      <c r="F503" s="2"/>
      <c r="G503" s="3">
        <v>46010.757709224534</v>
      </c>
      <c r="H503" s="3">
        <v>46010.757709409721</v>
      </c>
      <c r="I503" s="4" t="s">
        <v>67</v>
      </c>
      <c r="J503" t="s">
        <v>67</v>
      </c>
      <c r="K503" t="s">
        <v>67</v>
      </c>
      <c r="L503" t="s">
        <v>1892</v>
      </c>
      <c r="M503" t="s">
        <v>1893</v>
      </c>
      <c r="N503" t="s">
        <v>1894</v>
      </c>
      <c r="O503" t="s">
        <v>1895</v>
      </c>
      <c r="P503" t="s">
        <v>1896</v>
      </c>
      <c r="S503" s="5"/>
      <c r="T503" t="s">
        <v>72</v>
      </c>
      <c r="U503" t="s">
        <v>73</v>
      </c>
      <c r="V503" t="s">
        <v>74</v>
      </c>
      <c r="W503" t="s">
        <v>87</v>
      </c>
      <c r="AE503" s="2"/>
      <c r="AF503" s="2"/>
      <c r="AG503" s="2"/>
      <c r="AH503" s="2"/>
      <c r="AL503" s="2">
        <v>344500</v>
      </c>
      <c r="AM503" s="2">
        <v>0</v>
      </c>
      <c r="AN503" s="2"/>
      <c r="AO503" s="2">
        <v>0</v>
      </c>
      <c r="AP503" s="2">
        <v>344500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4"/>
      <c r="AX503" t="s">
        <v>75</v>
      </c>
      <c r="AZ503" t="s">
        <v>1897</v>
      </c>
      <c r="BA503" t="s">
        <v>67</v>
      </c>
      <c r="BB503" t="s">
        <v>1898</v>
      </c>
      <c r="BC503" t="s">
        <v>703</v>
      </c>
      <c r="BD503" t="s">
        <v>79</v>
      </c>
      <c r="BE503" t="s">
        <v>1899</v>
      </c>
      <c r="BF503" s="5">
        <v>47150</v>
      </c>
      <c r="BH503">
        <v>1</v>
      </c>
      <c r="BI503" s="6">
        <v>650000</v>
      </c>
      <c r="BJ503" s="6">
        <v>47</v>
      </c>
      <c r="BK503" s="6">
        <v>305500</v>
      </c>
      <c r="BL503" s="6">
        <v>344500</v>
      </c>
      <c r="BM503" s="2">
        <v>344500</v>
      </c>
      <c r="BN503">
        <f>InvoiceTable[[#This Row],[Giảm giá]]*InvoiceTable[[#This Row],[Số lượng]]</f>
        <v>305500</v>
      </c>
    </row>
    <row r="504" spans="1:66" x14ac:dyDescent="0.25">
      <c r="A504" t="s">
        <v>65</v>
      </c>
      <c r="B504" t="s">
        <v>1906</v>
      </c>
      <c r="F504" s="2"/>
      <c r="G504" s="3">
        <v>46010.757234409721</v>
      </c>
      <c r="H504" s="3">
        <v>46010.757153472223</v>
      </c>
      <c r="I504" s="4" t="s">
        <v>96</v>
      </c>
      <c r="J504" t="s">
        <v>1907</v>
      </c>
      <c r="K504" t="s">
        <v>67</v>
      </c>
      <c r="L504" t="s">
        <v>1892</v>
      </c>
      <c r="M504" t="s">
        <v>1893</v>
      </c>
      <c r="N504" t="s">
        <v>1894</v>
      </c>
      <c r="O504" t="s">
        <v>1895</v>
      </c>
      <c r="P504" t="s">
        <v>1896</v>
      </c>
      <c r="S504" s="5"/>
      <c r="T504" t="s">
        <v>72</v>
      </c>
      <c r="U504" t="s">
        <v>73</v>
      </c>
      <c r="V504" t="s">
        <v>74</v>
      </c>
      <c r="W504" t="s">
        <v>87</v>
      </c>
      <c r="AE504" s="2"/>
      <c r="AF504" s="2"/>
      <c r="AG504" s="2"/>
      <c r="AH504" s="2"/>
      <c r="AK504" t="s">
        <v>258</v>
      </c>
      <c r="AL504" s="2">
        <v>667000</v>
      </c>
      <c r="AM504" s="2">
        <v>0</v>
      </c>
      <c r="AN504" s="2"/>
      <c r="AO504" s="2">
        <v>0</v>
      </c>
      <c r="AP504" s="2">
        <v>667000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4"/>
      <c r="AX504" t="s">
        <v>75</v>
      </c>
      <c r="AZ504" t="s">
        <v>1908</v>
      </c>
      <c r="BA504" t="s">
        <v>67</v>
      </c>
      <c r="BB504" t="s">
        <v>1909</v>
      </c>
      <c r="BC504" t="s">
        <v>1489</v>
      </c>
      <c r="BD504" t="s">
        <v>79</v>
      </c>
      <c r="BE504" t="s">
        <v>94</v>
      </c>
      <c r="BF504" s="5">
        <v>46692</v>
      </c>
      <c r="BH504">
        <v>2</v>
      </c>
      <c r="BI504" s="6">
        <v>150000</v>
      </c>
      <c r="BJ504" s="6">
        <v>0</v>
      </c>
      <c r="BK504" s="6">
        <v>40000</v>
      </c>
      <c r="BL504" s="6">
        <v>110000</v>
      </c>
      <c r="BM504" s="2">
        <v>220000</v>
      </c>
      <c r="BN504">
        <f>InvoiceTable[[#This Row],[Giảm giá]]*InvoiceTable[[#This Row],[Số lượng]]</f>
        <v>80000</v>
      </c>
    </row>
    <row r="505" spans="1:66" x14ac:dyDescent="0.25">
      <c r="A505" t="s">
        <v>65</v>
      </c>
      <c r="B505" t="s">
        <v>1906</v>
      </c>
      <c r="F505" s="2"/>
      <c r="G505" s="3">
        <v>46010.757234409721</v>
      </c>
      <c r="H505" s="3">
        <v>46010.757153472223</v>
      </c>
      <c r="I505" s="4" t="s">
        <v>96</v>
      </c>
      <c r="J505" t="s">
        <v>1907</v>
      </c>
      <c r="K505" t="s">
        <v>67</v>
      </c>
      <c r="L505" t="s">
        <v>1892</v>
      </c>
      <c r="M505" t="s">
        <v>1893</v>
      </c>
      <c r="N505" t="s">
        <v>1894</v>
      </c>
      <c r="O505" t="s">
        <v>1895</v>
      </c>
      <c r="P505" t="s">
        <v>1896</v>
      </c>
      <c r="S505" s="5"/>
      <c r="T505" t="s">
        <v>72</v>
      </c>
      <c r="U505" t="s">
        <v>73</v>
      </c>
      <c r="V505" t="s">
        <v>74</v>
      </c>
      <c r="W505" t="s">
        <v>87</v>
      </c>
      <c r="AE505" s="2"/>
      <c r="AF505" s="2"/>
      <c r="AG505" s="2"/>
      <c r="AH505" s="2"/>
      <c r="AK505" t="s">
        <v>258</v>
      </c>
      <c r="AL505" s="2">
        <v>667000</v>
      </c>
      <c r="AM505" s="2">
        <v>0</v>
      </c>
      <c r="AN505" s="2"/>
      <c r="AO505" s="2">
        <v>0</v>
      </c>
      <c r="AP505" s="2">
        <v>667000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4"/>
      <c r="AX505" t="s">
        <v>75</v>
      </c>
      <c r="AZ505" t="s">
        <v>1297</v>
      </c>
      <c r="BA505" t="s">
        <v>67</v>
      </c>
      <c r="BB505" t="s">
        <v>1298</v>
      </c>
      <c r="BC505" t="s">
        <v>1299</v>
      </c>
      <c r="BD505" t="s">
        <v>79</v>
      </c>
      <c r="BE505" t="s">
        <v>159</v>
      </c>
      <c r="BF505" s="5">
        <v>46478</v>
      </c>
      <c r="BH505">
        <v>3</v>
      </c>
      <c r="BI505" s="6">
        <v>270000</v>
      </c>
      <c r="BJ505" s="6">
        <v>0</v>
      </c>
      <c r="BK505" s="6">
        <v>160000</v>
      </c>
      <c r="BL505" s="6">
        <v>110000</v>
      </c>
      <c r="BM505" s="2">
        <v>330000</v>
      </c>
      <c r="BN505">
        <f>InvoiceTable[[#This Row],[Giảm giá]]*InvoiceTable[[#This Row],[Số lượng]]</f>
        <v>480000</v>
      </c>
    </row>
    <row r="506" spans="1:66" x14ac:dyDescent="0.25">
      <c r="A506" t="s">
        <v>65</v>
      </c>
      <c r="B506" t="s">
        <v>1906</v>
      </c>
      <c r="F506" s="2"/>
      <c r="G506" s="3">
        <v>46010.757234409721</v>
      </c>
      <c r="H506" s="3">
        <v>46010.757153472223</v>
      </c>
      <c r="I506" s="4" t="s">
        <v>96</v>
      </c>
      <c r="J506" t="s">
        <v>1907</v>
      </c>
      <c r="K506" t="s">
        <v>67</v>
      </c>
      <c r="L506" t="s">
        <v>1892</v>
      </c>
      <c r="M506" t="s">
        <v>1893</v>
      </c>
      <c r="N506" t="s">
        <v>1894</v>
      </c>
      <c r="O506" t="s">
        <v>1895</v>
      </c>
      <c r="P506" t="s">
        <v>1896</v>
      </c>
      <c r="S506" s="5"/>
      <c r="T506" t="s">
        <v>72</v>
      </c>
      <c r="U506" t="s">
        <v>73</v>
      </c>
      <c r="V506" t="s">
        <v>74</v>
      </c>
      <c r="W506" t="s">
        <v>87</v>
      </c>
      <c r="AE506" s="2"/>
      <c r="AF506" s="2"/>
      <c r="AG506" s="2"/>
      <c r="AH506" s="2"/>
      <c r="AK506" t="s">
        <v>258</v>
      </c>
      <c r="AL506" s="2">
        <v>667000</v>
      </c>
      <c r="AM506" s="2">
        <v>0</v>
      </c>
      <c r="AN506" s="2"/>
      <c r="AO506" s="2">
        <v>0</v>
      </c>
      <c r="AP506" s="2">
        <v>667000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4"/>
      <c r="AX506" t="s">
        <v>75</v>
      </c>
      <c r="AZ506" t="s">
        <v>1910</v>
      </c>
      <c r="BA506" t="s">
        <v>67</v>
      </c>
      <c r="BB506" t="s">
        <v>1911</v>
      </c>
      <c r="BC506" t="s">
        <v>1912</v>
      </c>
      <c r="BD506" t="s">
        <v>79</v>
      </c>
      <c r="BE506" t="s">
        <v>198</v>
      </c>
      <c r="BF506" s="5">
        <v>46753</v>
      </c>
      <c r="BH506">
        <v>1</v>
      </c>
      <c r="BI506" s="6">
        <v>195000</v>
      </c>
      <c r="BJ506" s="6">
        <v>40</v>
      </c>
      <c r="BK506" s="6">
        <v>78000</v>
      </c>
      <c r="BL506" s="6">
        <v>117000</v>
      </c>
      <c r="BM506" s="2">
        <v>117000</v>
      </c>
      <c r="BN506">
        <f>InvoiceTable[[#This Row],[Giảm giá]]*InvoiceTable[[#This Row],[Số lượng]]</f>
        <v>78000</v>
      </c>
    </row>
    <row r="507" spans="1:66" x14ac:dyDescent="0.25">
      <c r="A507" t="s">
        <v>65</v>
      </c>
      <c r="B507" t="s">
        <v>1913</v>
      </c>
      <c r="F507" s="2"/>
      <c r="G507" s="3">
        <v>46010.756350150463</v>
      </c>
      <c r="H507" s="3">
        <v>46010.756269247686</v>
      </c>
      <c r="I507" s="4" t="s">
        <v>96</v>
      </c>
      <c r="J507" t="s">
        <v>67</v>
      </c>
      <c r="K507" t="s">
        <v>67</v>
      </c>
      <c r="L507" t="s">
        <v>1914</v>
      </c>
      <c r="M507" t="s">
        <v>1915</v>
      </c>
      <c r="N507" t="s">
        <v>67</v>
      </c>
      <c r="O507" t="s">
        <v>1916</v>
      </c>
      <c r="P507" t="s">
        <v>1917</v>
      </c>
      <c r="Q507" t="s">
        <v>67</v>
      </c>
      <c r="R507" t="s">
        <v>67</v>
      </c>
      <c r="S507" s="5"/>
      <c r="T507" t="s">
        <v>72</v>
      </c>
      <c r="U507" t="s">
        <v>87</v>
      </c>
      <c r="V507" t="s">
        <v>74</v>
      </c>
      <c r="W507" t="s">
        <v>87</v>
      </c>
      <c r="AE507" s="2"/>
      <c r="AF507" s="2"/>
      <c r="AG507" s="2"/>
      <c r="AH507" s="2"/>
      <c r="AL507" s="2">
        <v>7302000</v>
      </c>
      <c r="AM507" s="2">
        <v>0</v>
      </c>
      <c r="AN507" s="2"/>
      <c r="AO507" s="2">
        <v>0</v>
      </c>
      <c r="AP507" s="2">
        <v>7302000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4"/>
      <c r="AX507" t="s">
        <v>75</v>
      </c>
      <c r="AZ507" t="s">
        <v>1918</v>
      </c>
      <c r="BA507" t="s">
        <v>67</v>
      </c>
      <c r="BB507" t="s">
        <v>1919</v>
      </c>
      <c r="BC507" t="s">
        <v>1815</v>
      </c>
      <c r="BD507" t="s">
        <v>79</v>
      </c>
      <c r="BE507" t="s">
        <v>142</v>
      </c>
      <c r="BF507" s="5">
        <v>46844</v>
      </c>
      <c r="BG507" t="s">
        <v>67</v>
      </c>
      <c r="BH507">
        <v>2</v>
      </c>
      <c r="BI507" s="6">
        <v>1450000</v>
      </c>
      <c r="BJ507" s="6">
        <v>40</v>
      </c>
      <c r="BK507" s="6">
        <v>580000</v>
      </c>
      <c r="BL507" s="6">
        <v>870000</v>
      </c>
      <c r="BM507" s="2">
        <v>1740000</v>
      </c>
      <c r="BN507">
        <f>InvoiceTable[[#This Row],[Giảm giá]]*InvoiceTable[[#This Row],[Số lượng]]</f>
        <v>1160000</v>
      </c>
    </row>
    <row r="508" spans="1:66" x14ac:dyDescent="0.25">
      <c r="A508" t="s">
        <v>65</v>
      </c>
      <c r="B508" t="s">
        <v>1913</v>
      </c>
      <c r="F508" s="2"/>
      <c r="G508" s="3">
        <v>46010.756350150463</v>
      </c>
      <c r="H508" s="3">
        <v>46010.756269247686</v>
      </c>
      <c r="I508" s="4" t="s">
        <v>96</v>
      </c>
      <c r="J508" t="s">
        <v>67</v>
      </c>
      <c r="K508" t="s">
        <v>67</v>
      </c>
      <c r="L508" t="s">
        <v>1914</v>
      </c>
      <c r="M508" t="s">
        <v>1915</v>
      </c>
      <c r="N508" t="s">
        <v>67</v>
      </c>
      <c r="O508" t="s">
        <v>1916</v>
      </c>
      <c r="P508" t="s">
        <v>1917</v>
      </c>
      <c r="Q508" t="s">
        <v>67</v>
      </c>
      <c r="R508" t="s">
        <v>67</v>
      </c>
      <c r="S508" s="5"/>
      <c r="T508" t="s">
        <v>72</v>
      </c>
      <c r="U508" t="s">
        <v>87</v>
      </c>
      <c r="V508" t="s">
        <v>74</v>
      </c>
      <c r="W508" t="s">
        <v>87</v>
      </c>
      <c r="AE508" s="2"/>
      <c r="AF508" s="2"/>
      <c r="AG508" s="2"/>
      <c r="AH508" s="2"/>
      <c r="AL508" s="2">
        <v>7302000</v>
      </c>
      <c r="AM508" s="2">
        <v>0</v>
      </c>
      <c r="AN508" s="2"/>
      <c r="AO508" s="2">
        <v>0</v>
      </c>
      <c r="AP508" s="2">
        <v>7302000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4"/>
      <c r="AX508" t="s">
        <v>75</v>
      </c>
      <c r="AZ508" t="s">
        <v>1920</v>
      </c>
      <c r="BA508" t="s">
        <v>67</v>
      </c>
      <c r="BB508" t="s">
        <v>1921</v>
      </c>
      <c r="BC508" t="s">
        <v>126</v>
      </c>
      <c r="BD508" t="s">
        <v>79</v>
      </c>
      <c r="BE508" t="s">
        <v>195</v>
      </c>
      <c r="BF508" s="5">
        <v>46419</v>
      </c>
      <c r="BG508" t="s">
        <v>67</v>
      </c>
      <c r="BH508">
        <v>3</v>
      </c>
      <c r="BI508" s="6">
        <v>780000</v>
      </c>
      <c r="BJ508" s="6">
        <v>0</v>
      </c>
      <c r="BK508" s="6">
        <v>200000</v>
      </c>
      <c r="BL508" s="6">
        <v>580000</v>
      </c>
      <c r="BM508" s="2">
        <v>1740000</v>
      </c>
      <c r="BN508">
        <f>InvoiceTable[[#This Row],[Giảm giá]]*InvoiceTable[[#This Row],[Số lượng]]</f>
        <v>600000</v>
      </c>
    </row>
    <row r="509" spans="1:66" x14ac:dyDescent="0.25">
      <c r="A509" t="s">
        <v>65</v>
      </c>
      <c r="B509" t="s">
        <v>1913</v>
      </c>
      <c r="F509" s="2"/>
      <c r="G509" s="3">
        <v>46010.756350150463</v>
      </c>
      <c r="H509" s="3">
        <v>46010.756269247686</v>
      </c>
      <c r="I509" s="4" t="s">
        <v>96</v>
      </c>
      <c r="J509" t="s">
        <v>67</v>
      </c>
      <c r="K509" t="s">
        <v>67</v>
      </c>
      <c r="L509" t="s">
        <v>1914</v>
      </c>
      <c r="M509" t="s">
        <v>1915</v>
      </c>
      <c r="N509" t="s">
        <v>67</v>
      </c>
      <c r="O509" t="s">
        <v>1916</v>
      </c>
      <c r="P509" t="s">
        <v>1917</v>
      </c>
      <c r="Q509" t="s">
        <v>67</v>
      </c>
      <c r="R509" t="s">
        <v>67</v>
      </c>
      <c r="S509" s="5"/>
      <c r="T509" t="s">
        <v>72</v>
      </c>
      <c r="U509" t="s">
        <v>87</v>
      </c>
      <c r="V509" t="s">
        <v>74</v>
      </c>
      <c r="W509" t="s">
        <v>87</v>
      </c>
      <c r="AE509" s="2"/>
      <c r="AF509" s="2"/>
      <c r="AG509" s="2"/>
      <c r="AH509" s="2"/>
      <c r="AL509" s="2">
        <v>7302000</v>
      </c>
      <c r="AM509" s="2">
        <v>0</v>
      </c>
      <c r="AN509" s="2"/>
      <c r="AO509" s="2">
        <v>0</v>
      </c>
      <c r="AP509" s="2">
        <v>7302000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4"/>
      <c r="AX509" t="s">
        <v>75</v>
      </c>
      <c r="AZ509" t="s">
        <v>1922</v>
      </c>
      <c r="BA509" t="s">
        <v>67</v>
      </c>
      <c r="BB509" t="s">
        <v>1923</v>
      </c>
      <c r="BC509" t="s">
        <v>1924</v>
      </c>
      <c r="BD509" t="s">
        <v>79</v>
      </c>
      <c r="BE509" t="s">
        <v>139</v>
      </c>
      <c r="BF509" s="5">
        <v>46447</v>
      </c>
      <c r="BG509" t="s">
        <v>67</v>
      </c>
      <c r="BH509">
        <v>1</v>
      </c>
      <c r="BI509" s="6">
        <v>5900000</v>
      </c>
      <c r="BJ509" s="6">
        <v>42</v>
      </c>
      <c r="BK509" s="6">
        <v>2478000</v>
      </c>
      <c r="BL509" s="6">
        <v>3422000</v>
      </c>
      <c r="BM509" s="2">
        <v>3422000</v>
      </c>
      <c r="BN509">
        <f>InvoiceTable[[#This Row],[Giảm giá]]*InvoiceTable[[#This Row],[Số lượng]]</f>
        <v>2478000</v>
      </c>
    </row>
    <row r="510" spans="1:66" x14ac:dyDescent="0.25">
      <c r="A510" t="s">
        <v>65</v>
      </c>
      <c r="B510" t="s">
        <v>1913</v>
      </c>
      <c r="F510" s="2"/>
      <c r="G510" s="3">
        <v>46010.756350150463</v>
      </c>
      <c r="H510" s="3">
        <v>46010.756269247686</v>
      </c>
      <c r="I510" s="4" t="s">
        <v>96</v>
      </c>
      <c r="J510" t="s">
        <v>67</v>
      </c>
      <c r="K510" t="s">
        <v>67</v>
      </c>
      <c r="L510" t="s">
        <v>1914</v>
      </c>
      <c r="M510" t="s">
        <v>1915</v>
      </c>
      <c r="N510" t="s">
        <v>67</v>
      </c>
      <c r="O510" t="s">
        <v>1916</v>
      </c>
      <c r="P510" t="s">
        <v>1917</v>
      </c>
      <c r="Q510" t="s">
        <v>67</v>
      </c>
      <c r="R510" t="s">
        <v>67</v>
      </c>
      <c r="S510" s="5"/>
      <c r="T510" t="s">
        <v>72</v>
      </c>
      <c r="U510" t="s">
        <v>87</v>
      </c>
      <c r="V510" t="s">
        <v>74</v>
      </c>
      <c r="W510" t="s">
        <v>87</v>
      </c>
      <c r="AE510" s="2"/>
      <c r="AF510" s="2"/>
      <c r="AG510" s="2"/>
      <c r="AH510" s="2"/>
      <c r="AL510" s="2">
        <v>7302000</v>
      </c>
      <c r="AM510" s="2">
        <v>0</v>
      </c>
      <c r="AN510" s="2"/>
      <c r="AO510" s="2">
        <v>0</v>
      </c>
      <c r="AP510" s="2">
        <v>7302000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4"/>
      <c r="AX510" t="s">
        <v>75</v>
      </c>
      <c r="AZ510" t="s">
        <v>775</v>
      </c>
      <c r="BA510" t="s">
        <v>67</v>
      </c>
      <c r="BB510" t="s">
        <v>776</v>
      </c>
      <c r="BC510" t="s">
        <v>327</v>
      </c>
      <c r="BD510" t="s">
        <v>79</v>
      </c>
      <c r="BE510" t="s">
        <v>142</v>
      </c>
      <c r="BF510" s="5">
        <v>46844</v>
      </c>
      <c r="BH510">
        <v>1</v>
      </c>
      <c r="BI510" s="6">
        <v>1200000</v>
      </c>
      <c r="BJ510" s="6">
        <v>0</v>
      </c>
      <c r="BK510" s="6">
        <v>800000</v>
      </c>
      <c r="BL510" s="6">
        <v>400000</v>
      </c>
      <c r="BM510" s="2">
        <v>400000</v>
      </c>
      <c r="BN510">
        <f>InvoiceTable[[#This Row],[Giảm giá]]*InvoiceTable[[#This Row],[Số lượng]]</f>
        <v>800000</v>
      </c>
    </row>
    <row r="511" spans="1:66" x14ac:dyDescent="0.25">
      <c r="A511" t="s">
        <v>65</v>
      </c>
      <c r="B511" t="s">
        <v>1925</v>
      </c>
      <c r="F511" s="2"/>
      <c r="G511" s="3">
        <v>46010.755400266207</v>
      </c>
      <c r="H511" s="3">
        <v>46010.755400428243</v>
      </c>
      <c r="I511" s="4" t="s">
        <v>67</v>
      </c>
      <c r="J511" t="s">
        <v>67</v>
      </c>
      <c r="K511" t="s">
        <v>67</v>
      </c>
      <c r="L511" t="s">
        <v>1914</v>
      </c>
      <c r="M511" t="s">
        <v>1915</v>
      </c>
      <c r="N511" t="s">
        <v>67</v>
      </c>
      <c r="O511" t="s">
        <v>1916</v>
      </c>
      <c r="P511" t="s">
        <v>1917</v>
      </c>
      <c r="Q511" t="s">
        <v>67</v>
      </c>
      <c r="R511" t="s">
        <v>67</v>
      </c>
      <c r="S511" s="5"/>
      <c r="T511" t="s">
        <v>72</v>
      </c>
      <c r="U511" t="s">
        <v>87</v>
      </c>
      <c r="V511" t="s">
        <v>74</v>
      </c>
      <c r="W511" t="s">
        <v>87</v>
      </c>
      <c r="AE511" s="2"/>
      <c r="AF511" s="2"/>
      <c r="AG511" s="2"/>
      <c r="AH511" s="2"/>
      <c r="AL511" s="2">
        <v>5418438</v>
      </c>
      <c r="AM511" s="2">
        <v>0</v>
      </c>
      <c r="AN511" s="2"/>
      <c r="AO511" s="2">
        <v>0</v>
      </c>
      <c r="AP511" s="2">
        <v>5418438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4"/>
      <c r="AX511" t="s">
        <v>75</v>
      </c>
      <c r="AZ511" t="s">
        <v>1047</v>
      </c>
      <c r="BA511" t="s">
        <v>67</v>
      </c>
      <c r="BB511" t="s">
        <v>1048</v>
      </c>
      <c r="BC511" t="s">
        <v>344</v>
      </c>
      <c r="BD511" t="s">
        <v>79</v>
      </c>
      <c r="BE511" t="s">
        <v>139</v>
      </c>
      <c r="BF511" s="5">
        <v>46447</v>
      </c>
      <c r="BH511">
        <v>1</v>
      </c>
      <c r="BI511" s="6">
        <v>1050000</v>
      </c>
      <c r="BJ511" s="6">
        <v>42</v>
      </c>
      <c r="BK511" s="6">
        <v>441000</v>
      </c>
      <c r="BL511" s="6">
        <v>609000</v>
      </c>
      <c r="BM511" s="2">
        <v>609000</v>
      </c>
      <c r="BN511">
        <f>InvoiceTable[[#This Row],[Giảm giá]]*InvoiceTable[[#This Row],[Số lượng]]</f>
        <v>441000</v>
      </c>
    </row>
    <row r="512" spans="1:66" x14ac:dyDescent="0.25">
      <c r="A512" t="s">
        <v>65</v>
      </c>
      <c r="B512" t="s">
        <v>1925</v>
      </c>
      <c r="F512" s="2"/>
      <c r="G512" s="3">
        <v>46010.755400266207</v>
      </c>
      <c r="H512" s="3">
        <v>46010.755400428243</v>
      </c>
      <c r="I512" s="4" t="s">
        <v>67</v>
      </c>
      <c r="J512" t="s">
        <v>67</v>
      </c>
      <c r="K512" t="s">
        <v>67</v>
      </c>
      <c r="L512" t="s">
        <v>1914</v>
      </c>
      <c r="M512" t="s">
        <v>1915</v>
      </c>
      <c r="N512" t="s">
        <v>67</v>
      </c>
      <c r="O512" t="s">
        <v>1916</v>
      </c>
      <c r="P512" t="s">
        <v>1917</v>
      </c>
      <c r="Q512" t="s">
        <v>67</v>
      </c>
      <c r="R512" t="s">
        <v>67</v>
      </c>
      <c r="S512" s="5"/>
      <c r="T512" t="s">
        <v>72</v>
      </c>
      <c r="U512" t="s">
        <v>87</v>
      </c>
      <c r="V512" t="s">
        <v>74</v>
      </c>
      <c r="W512" t="s">
        <v>87</v>
      </c>
      <c r="AE512" s="2"/>
      <c r="AF512" s="2"/>
      <c r="AG512" s="2"/>
      <c r="AH512" s="2"/>
      <c r="AL512" s="2">
        <v>5418438</v>
      </c>
      <c r="AM512" s="2">
        <v>0</v>
      </c>
      <c r="AN512" s="2"/>
      <c r="AO512" s="2">
        <v>0</v>
      </c>
      <c r="AP512" s="2">
        <v>5418438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4"/>
      <c r="AX512" t="s">
        <v>75</v>
      </c>
      <c r="AZ512" t="s">
        <v>1199</v>
      </c>
      <c r="BA512" t="s">
        <v>67</v>
      </c>
      <c r="BB512" t="s">
        <v>1200</v>
      </c>
      <c r="BC512" t="s">
        <v>78</v>
      </c>
      <c r="BD512" t="s">
        <v>79</v>
      </c>
      <c r="BE512" t="s">
        <v>131</v>
      </c>
      <c r="BF512" s="5">
        <v>46874</v>
      </c>
      <c r="BH512">
        <v>1</v>
      </c>
      <c r="BI512" s="6">
        <v>2700000</v>
      </c>
      <c r="BJ512" s="6">
        <v>45</v>
      </c>
      <c r="BK512" s="6">
        <v>1215000</v>
      </c>
      <c r="BL512" s="6">
        <v>1485000</v>
      </c>
      <c r="BM512" s="2">
        <v>1485000</v>
      </c>
      <c r="BN512">
        <f>InvoiceTable[[#This Row],[Giảm giá]]*InvoiceTable[[#This Row],[Số lượng]]</f>
        <v>1215000</v>
      </c>
    </row>
    <row r="513" spans="1:66" x14ac:dyDescent="0.25">
      <c r="A513" t="s">
        <v>65</v>
      </c>
      <c r="B513" t="s">
        <v>1925</v>
      </c>
      <c r="F513" s="2"/>
      <c r="G513" s="3">
        <v>46010.755400266207</v>
      </c>
      <c r="H513" s="3">
        <v>46010.755400428243</v>
      </c>
      <c r="I513" s="4" t="s">
        <v>67</v>
      </c>
      <c r="J513" t="s">
        <v>67</v>
      </c>
      <c r="K513" t="s">
        <v>67</v>
      </c>
      <c r="L513" t="s">
        <v>1914</v>
      </c>
      <c r="M513" t="s">
        <v>1915</v>
      </c>
      <c r="N513" t="s">
        <v>67</v>
      </c>
      <c r="O513" t="s">
        <v>1916</v>
      </c>
      <c r="P513" t="s">
        <v>1917</v>
      </c>
      <c r="Q513" t="s">
        <v>67</v>
      </c>
      <c r="R513" t="s">
        <v>67</v>
      </c>
      <c r="S513" s="5"/>
      <c r="T513" t="s">
        <v>72</v>
      </c>
      <c r="U513" t="s">
        <v>87</v>
      </c>
      <c r="V513" t="s">
        <v>74</v>
      </c>
      <c r="W513" t="s">
        <v>87</v>
      </c>
      <c r="AE513" s="2"/>
      <c r="AF513" s="2"/>
      <c r="AG513" s="2"/>
      <c r="AH513" s="2"/>
      <c r="AL513" s="2">
        <v>5418438</v>
      </c>
      <c r="AM513" s="2">
        <v>0</v>
      </c>
      <c r="AN513" s="2"/>
      <c r="AO513" s="2">
        <v>0</v>
      </c>
      <c r="AP513" s="2">
        <v>5418438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4"/>
      <c r="AX513" t="s">
        <v>75</v>
      </c>
      <c r="AZ513" t="s">
        <v>1123</v>
      </c>
      <c r="BA513" t="s">
        <v>67</v>
      </c>
      <c r="BB513" t="s">
        <v>1124</v>
      </c>
      <c r="BC513" t="s">
        <v>1125</v>
      </c>
      <c r="BD513" t="s">
        <v>79</v>
      </c>
      <c r="BE513" t="s">
        <v>201</v>
      </c>
      <c r="BF513" s="5">
        <v>46966</v>
      </c>
      <c r="BH513">
        <v>2</v>
      </c>
      <c r="BI513" s="6">
        <v>450000</v>
      </c>
      <c r="BJ513" s="6">
        <v>45</v>
      </c>
      <c r="BK513" s="6">
        <v>202500</v>
      </c>
      <c r="BL513" s="6">
        <v>247500</v>
      </c>
      <c r="BM513" s="2">
        <v>495000</v>
      </c>
      <c r="BN513">
        <f>InvoiceTable[[#This Row],[Giảm giá]]*InvoiceTable[[#This Row],[Số lượng]]</f>
        <v>405000</v>
      </c>
    </row>
    <row r="514" spans="1:66" x14ac:dyDescent="0.25">
      <c r="A514" t="s">
        <v>65</v>
      </c>
      <c r="B514" t="s">
        <v>1925</v>
      </c>
      <c r="F514" s="2"/>
      <c r="G514" s="3">
        <v>46010.755400266207</v>
      </c>
      <c r="H514" s="3">
        <v>46010.755400428243</v>
      </c>
      <c r="I514" s="4" t="s">
        <v>67</v>
      </c>
      <c r="J514" t="s">
        <v>67</v>
      </c>
      <c r="K514" t="s">
        <v>67</v>
      </c>
      <c r="L514" t="s">
        <v>1914</v>
      </c>
      <c r="M514" t="s">
        <v>1915</v>
      </c>
      <c r="N514" t="s">
        <v>67</v>
      </c>
      <c r="O514" t="s">
        <v>1916</v>
      </c>
      <c r="P514" t="s">
        <v>1917</v>
      </c>
      <c r="Q514" t="s">
        <v>67</v>
      </c>
      <c r="R514" t="s">
        <v>67</v>
      </c>
      <c r="S514" s="5"/>
      <c r="T514" t="s">
        <v>72</v>
      </c>
      <c r="U514" t="s">
        <v>87</v>
      </c>
      <c r="V514" t="s">
        <v>74</v>
      </c>
      <c r="W514" t="s">
        <v>87</v>
      </c>
      <c r="AE514" s="2"/>
      <c r="AF514" s="2"/>
      <c r="AG514" s="2"/>
      <c r="AH514" s="2"/>
      <c r="AL514" s="2">
        <v>5418438</v>
      </c>
      <c r="AM514" s="2">
        <v>0</v>
      </c>
      <c r="AN514" s="2"/>
      <c r="AO514" s="2">
        <v>0</v>
      </c>
      <c r="AP514" s="2">
        <v>5418438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4"/>
      <c r="AX514" t="s">
        <v>75</v>
      </c>
      <c r="AZ514" t="s">
        <v>213</v>
      </c>
      <c r="BA514" t="s">
        <v>67</v>
      </c>
      <c r="BB514" t="s">
        <v>214</v>
      </c>
      <c r="BC514" t="s">
        <v>215</v>
      </c>
      <c r="BD514" t="s">
        <v>79</v>
      </c>
      <c r="BE514" t="s">
        <v>216</v>
      </c>
      <c r="BF514" s="5">
        <v>46784</v>
      </c>
      <c r="BH514">
        <v>1</v>
      </c>
      <c r="BI514" s="6">
        <v>760000</v>
      </c>
      <c r="BJ514" s="6">
        <v>52</v>
      </c>
      <c r="BK514" s="6">
        <v>395200</v>
      </c>
      <c r="BL514" s="6">
        <v>364800</v>
      </c>
      <c r="BM514" s="2">
        <v>364800</v>
      </c>
      <c r="BN514">
        <f>InvoiceTable[[#This Row],[Giảm giá]]*InvoiceTable[[#This Row],[Số lượng]]</f>
        <v>395200</v>
      </c>
    </row>
    <row r="515" spans="1:66" x14ac:dyDescent="0.25">
      <c r="A515" t="s">
        <v>65</v>
      </c>
      <c r="B515" t="s">
        <v>1925</v>
      </c>
      <c r="F515" s="2"/>
      <c r="G515" s="3">
        <v>46010.755400266207</v>
      </c>
      <c r="H515" s="3">
        <v>46010.755400428243</v>
      </c>
      <c r="I515" s="4" t="s">
        <v>67</v>
      </c>
      <c r="J515" t="s">
        <v>67</v>
      </c>
      <c r="K515" t="s">
        <v>67</v>
      </c>
      <c r="L515" t="s">
        <v>1914</v>
      </c>
      <c r="M515" t="s">
        <v>1915</v>
      </c>
      <c r="N515" t="s">
        <v>67</v>
      </c>
      <c r="O515" t="s">
        <v>1916</v>
      </c>
      <c r="P515" t="s">
        <v>1917</v>
      </c>
      <c r="Q515" t="s">
        <v>67</v>
      </c>
      <c r="R515" t="s">
        <v>67</v>
      </c>
      <c r="S515" s="5"/>
      <c r="T515" t="s">
        <v>72</v>
      </c>
      <c r="U515" t="s">
        <v>87</v>
      </c>
      <c r="V515" t="s">
        <v>74</v>
      </c>
      <c r="W515" t="s">
        <v>87</v>
      </c>
      <c r="AE515" s="2"/>
      <c r="AF515" s="2"/>
      <c r="AG515" s="2"/>
      <c r="AH515" s="2"/>
      <c r="AL515" s="2">
        <v>5418438</v>
      </c>
      <c r="AM515" s="2">
        <v>0</v>
      </c>
      <c r="AN515" s="2"/>
      <c r="AO515" s="2">
        <v>0</v>
      </c>
      <c r="AP515" s="2">
        <v>5418438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4"/>
      <c r="AX515" t="s">
        <v>75</v>
      </c>
      <c r="AZ515" t="s">
        <v>860</v>
      </c>
      <c r="BA515" t="s">
        <v>67</v>
      </c>
      <c r="BB515" t="s">
        <v>861</v>
      </c>
      <c r="BC515" t="s">
        <v>191</v>
      </c>
      <c r="BD515" t="s">
        <v>79</v>
      </c>
      <c r="BE515" t="s">
        <v>862</v>
      </c>
      <c r="BF515" s="5">
        <v>47515</v>
      </c>
      <c r="BH515">
        <v>2</v>
      </c>
      <c r="BI515" s="6">
        <v>470291</v>
      </c>
      <c r="BJ515" s="6">
        <v>42</v>
      </c>
      <c r="BK515" s="6">
        <v>197522.22</v>
      </c>
      <c r="BL515" s="6">
        <v>272768.78000000003</v>
      </c>
      <c r="BM515" s="2">
        <v>545538</v>
      </c>
      <c r="BN515">
        <f>InvoiceTable[[#This Row],[Giảm giá]]*InvoiceTable[[#This Row],[Số lượng]]</f>
        <v>395044.44</v>
      </c>
    </row>
    <row r="516" spans="1:66" x14ac:dyDescent="0.25">
      <c r="A516" t="s">
        <v>65</v>
      </c>
      <c r="B516" t="s">
        <v>1925</v>
      </c>
      <c r="F516" s="2"/>
      <c r="G516" s="3">
        <v>46010.755400266207</v>
      </c>
      <c r="H516" s="3">
        <v>46010.755400428243</v>
      </c>
      <c r="I516" s="4" t="s">
        <v>67</v>
      </c>
      <c r="J516" t="s">
        <v>67</v>
      </c>
      <c r="K516" t="s">
        <v>67</v>
      </c>
      <c r="L516" t="s">
        <v>1914</v>
      </c>
      <c r="M516" t="s">
        <v>1915</v>
      </c>
      <c r="N516" t="s">
        <v>67</v>
      </c>
      <c r="O516" t="s">
        <v>1916</v>
      </c>
      <c r="P516" t="s">
        <v>1917</v>
      </c>
      <c r="Q516" t="s">
        <v>67</v>
      </c>
      <c r="R516" t="s">
        <v>67</v>
      </c>
      <c r="S516" s="5"/>
      <c r="T516" t="s">
        <v>72</v>
      </c>
      <c r="U516" t="s">
        <v>87</v>
      </c>
      <c r="V516" t="s">
        <v>74</v>
      </c>
      <c r="W516" t="s">
        <v>87</v>
      </c>
      <c r="AE516" s="2"/>
      <c r="AF516" s="2"/>
      <c r="AG516" s="2"/>
      <c r="AH516" s="2"/>
      <c r="AL516" s="2">
        <v>5418438</v>
      </c>
      <c r="AM516" s="2">
        <v>0</v>
      </c>
      <c r="AN516" s="2"/>
      <c r="AO516" s="2">
        <v>0</v>
      </c>
      <c r="AP516" s="2">
        <v>5418438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4"/>
      <c r="AX516" t="s">
        <v>75</v>
      </c>
      <c r="AZ516" t="s">
        <v>1926</v>
      </c>
      <c r="BA516" t="s">
        <v>67</v>
      </c>
      <c r="BB516" t="s">
        <v>1927</v>
      </c>
      <c r="BC516" t="s">
        <v>176</v>
      </c>
      <c r="BD516" t="s">
        <v>79</v>
      </c>
      <c r="BE516" t="s">
        <v>810</v>
      </c>
      <c r="BF516" s="5">
        <v>46539</v>
      </c>
      <c r="BG516" t="s">
        <v>67</v>
      </c>
      <c r="BH516">
        <v>1</v>
      </c>
      <c r="BI516" s="6">
        <v>990000</v>
      </c>
      <c r="BJ516" s="6">
        <v>45</v>
      </c>
      <c r="BK516" s="6">
        <v>445500</v>
      </c>
      <c r="BL516" s="6">
        <v>544500</v>
      </c>
      <c r="BM516" s="2">
        <v>544500</v>
      </c>
      <c r="BN516">
        <f>InvoiceTable[[#This Row],[Giảm giá]]*InvoiceTable[[#This Row],[Số lượng]]</f>
        <v>445500</v>
      </c>
    </row>
    <row r="517" spans="1:66" x14ac:dyDescent="0.25">
      <c r="A517" t="s">
        <v>65</v>
      </c>
      <c r="B517" t="s">
        <v>1925</v>
      </c>
      <c r="F517" s="2"/>
      <c r="G517" s="3">
        <v>46010.755400266207</v>
      </c>
      <c r="H517" s="3">
        <v>46010.755400428243</v>
      </c>
      <c r="I517" s="4" t="s">
        <v>67</v>
      </c>
      <c r="J517" t="s">
        <v>67</v>
      </c>
      <c r="K517" t="s">
        <v>67</v>
      </c>
      <c r="L517" t="s">
        <v>1914</v>
      </c>
      <c r="M517" t="s">
        <v>1915</v>
      </c>
      <c r="N517" t="s">
        <v>67</v>
      </c>
      <c r="O517" t="s">
        <v>1916</v>
      </c>
      <c r="P517" t="s">
        <v>1917</v>
      </c>
      <c r="Q517" t="s">
        <v>67</v>
      </c>
      <c r="R517" t="s">
        <v>67</v>
      </c>
      <c r="S517" s="5"/>
      <c r="T517" t="s">
        <v>72</v>
      </c>
      <c r="U517" t="s">
        <v>87</v>
      </c>
      <c r="V517" t="s">
        <v>74</v>
      </c>
      <c r="W517" t="s">
        <v>87</v>
      </c>
      <c r="AE517" s="2"/>
      <c r="AF517" s="2"/>
      <c r="AG517" s="2"/>
      <c r="AH517" s="2"/>
      <c r="AL517" s="2">
        <v>5418438</v>
      </c>
      <c r="AM517" s="2">
        <v>0</v>
      </c>
      <c r="AN517" s="2"/>
      <c r="AO517" s="2">
        <v>0</v>
      </c>
      <c r="AP517" s="2">
        <v>5418438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4"/>
      <c r="AX517" t="s">
        <v>75</v>
      </c>
      <c r="AZ517" t="s">
        <v>1928</v>
      </c>
      <c r="BA517" t="s">
        <v>67</v>
      </c>
      <c r="BB517" t="s">
        <v>1929</v>
      </c>
      <c r="BC517" t="s">
        <v>1219</v>
      </c>
      <c r="BD517" t="s">
        <v>79</v>
      </c>
      <c r="BE517" t="s">
        <v>1930</v>
      </c>
      <c r="BF517" s="5">
        <v>46962</v>
      </c>
      <c r="BG517" t="s">
        <v>67</v>
      </c>
      <c r="BH517">
        <v>2</v>
      </c>
      <c r="BI517" s="6">
        <v>360000</v>
      </c>
      <c r="BJ517" s="6">
        <v>42</v>
      </c>
      <c r="BK517" s="6">
        <v>151200</v>
      </c>
      <c r="BL517" s="6">
        <v>208800</v>
      </c>
      <c r="BM517" s="2">
        <v>417600</v>
      </c>
      <c r="BN517">
        <f>InvoiceTable[[#This Row],[Giảm giá]]*InvoiceTable[[#This Row],[Số lượng]]</f>
        <v>302400</v>
      </c>
    </row>
    <row r="518" spans="1:66" x14ac:dyDescent="0.25">
      <c r="A518" t="s">
        <v>65</v>
      </c>
      <c r="B518" t="s">
        <v>1925</v>
      </c>
      <c r="F518" s="2"/>
      <c r="G518" s="3">
        <v>46010.755400266207</v>
      </c>
      <c r="H518" s="3">
        <v>46010.755400428243</v>
      </c>
      <c r="I518" s="4" t="s">
        <v>67</v>
      </c>
      <c r="J518" t="s">
        <v>67</v>
      </c>
      <c r="K518" t="s">
        <v>67</v>
      </c>
      <c r="L518" t="s">
        <v>1914</v>
      </c>
      <c r="M518" t="s">
        <v>1915</v>
      </c>
      <c r="N518" t="s">
        <v>67</v>
      </c>
      <c r="O518" t="s">
        <v>1916</v>
      </c>
      <c r="P518" t="s">
        <v>1917</v>
      </c>
      <c r="Q518" t="s">
        <v>67</v>
      </c>
      <c r="R518" t="s">
        <v>67</v>
      </c>
      <c r="S518" s="5"/>
      <c r="T518" t="s">
        <v>72</v>
      </c>
      <c r="U518" t="s">
        <v>87</v>
      </c>
      <c r="V518" t="s">
        <v>74</v>
      </c>
      <c r="W518" t="s">
        <v>87</v>
      </c>
      <c r="AE518" s="2"/>
      <c r="AF518" s="2"/>
      <c r="AG518" s="2"/>
      <c r="AH518" s="2"/>
      <c r="AL518" s="2">
        <v>5418438</v>
      </c>
      <c r="AM518" s="2">
        <v>0</v>
      </c>
      <c r="AN518" s="2"/>
      <c r="AO518" s="2">
        <v>0</v>
      </c>
      <c r="AP518" s="2">
        <v>5418438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4"/>
      <c r="AX518" t="s">
        <v>75</v>
      </c>
      <c r="AZ518" t="s">
        <v>1931</v>
      </c>
      <c r="BA518" t="s">
        <v>67</v>
      </c>
      <c r="BB518" t="s">
        <v>1932</v>
      </c>
      <c r="BC518" t="s">
        <v>1219</v>
      </c>
      <c r="BD518" t="s">
        <v>79</v>
      </c>
      <c r="BE518" t="s">
        <v>201</v>
      </c>
      <c r="BF518" s="5">
        <v>46966</v>
      </c>
      <c r="BG518" t="s">
        <v>67</v>
      </c>
      <c r="BH518">
        <v>1</v>
      </c>
      <c r="BI518" s="6">
        <v>390000</v>
      </c>
      <c r="BJ518" s="6">
        <v>42</v>
      </c>
      <c r="BK518" s="6">
        <v>163800</v>
      </c>
      <c r="BL518" s="6">
        <v>226200</v>
      </c>
      <c r="BM518" s="2">
        <v>226200</v>
      </c>
      <c r="BN518">
        <f>InvoiceTable[[#This Row],[Giảm giá]]*InvoiceTable[[#This Row],[Số lượng]]</f>
        <v>163800</v>
      </c>
    </row>
    <row r="519" spans="1:66" x14ac:dyDescent="0.25">
      <c r="A519" t="s">
        <v>65</v>
      </c>
      <c r="B519" t="s">
        <v>1925</v>
      </c>
      <c r="F519" s="2"/>
      <c r="G519" s="3">
        <v>46010.755400266207</v>
      </c>
      <c r="H519" s="3">
        <v>46010.755400428243</v>
      </c>
      <c r="I519" s="4" t="s">
        <v>67</v>
      </c>
      <c r="J519" t="s">
        <v>67</v>
      </c>
      <c r="K519" t="s">
        <v>67</v>
      </c>
      <c r="L519" t="s">
        <v>1914</v>
      </c>
      <c r="M519" t="s">
        <v>1915</v>
      </c>
      <c r="N519" t="s">
        <v>67</v>
      </c>
      <c r="O519" t="s">
        <v>1916</v>
      </c>
      <c r="P519" t="s">
        <v>1917</v>
      </c>
      <c r="Q519" t="s">
        <v>67</v>
      </c>
      <c r="R519" t="s">
        <v>67</v>
      </c>
      <c r="S519" s="5"/>
      <c r="T519" t="s">
        <v>72</v>
      </c>
      <c r="U519" t="s">
        <v>87</v>
      </c>
      <c r="V519" t="s">
        <v>74</v>
      </c>
      <c r="W519" t="s">
        <v>87</v>
      </c>
      <c r="AE519" s="2"/>
      <c r="AF519" s="2"/>
      <c r="AG519" s="2"/>
      <c r="AH519" s="2"/>
      <c r="AL519" s="2">
        <v>5418438</v>
      </c>
      <c r="AM519" s="2">
        <v>0</v>
      </c>
      <c r="AN519" s="2"/>
      <c r="AO519" s="2">
        <v>0</v>
      </c>
      <c r="AP519" s="2">
        <v>5418438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4"/>
      <c r="AX519" t="s">
        <v>75</v>
      </c>
      <c r="AZ519" t="s">
        <v>1284</v>
      </c>
      <c r="BA519" t="s">
        <v>67</v>
      </c>
      <c r="BB519" t="s">
        <v>1285</v>
      </c>
      <c r="BC519" t="s">
        <v>1219</v>
      </c>
      <c r="BD519" t="s">
        <v>79</v>
      </c>
      <c r="BE519" t="s">
        <v>1933</v>
      </c>
      <c r="BF519" s="5">
        <v>47062</v>
      </c>
      <c r="BH519">
        <v>2</v>
      </c>
      <c r="BI519" s="6">
        <v>480000</v>
      </c>
      <c r="BJ519" s="6">
        <v>42</v>
      </c>
      <c r="BK519" s="6">
        <v>201600</v>
      </c>
      <c r="BL519" s="6">
        <v>278400</v>
      </c>
      <c r="BM519" s="2">
        <v>556800</v>
      </c>
      <c r="BN519">
        <f>InvoiceTable[[#This Row],[Giảm giá]]*InvoiceTable[[#This Row],[Số lượng]]</f>
        <v>403200</v>
      </c>
    </row>
    <row r="520" spans="1:66" x14ac:dyDescent="0.25">
      <c r="A520" t="s">
        <v>65</v>
      </c>
      <c r="B520" t="s">
        <v>1925</v>
      </c>
      <c r="F520" s="2"/>
      <c r="G520" s="3">
        <v>46010.755400266207</v>
      </c>
      <c r="H520" s="3">
        <v>46010.755400428243</v>
      </c>
      <c r="I520" s="4" t="s">
        <v>67</v>
      </c>
      <c r="J520" t="s">
        <v>67</v>
      </c>
      <c r="K520" t="s">
        <v>67</v>
      </c>
      <c r="L520" t="s">
        <v>1914</v>
      </c>
      <c r="M520" t="s">
        <v>1915</v>
      </c>
      <c r="N520" t="s">
        <v>67</v>
      </c>
      <c r="O520" t="s">
        <v>1916</v>
      </c>
      <c r="P520" t="s">
        <v>1917</v>
      </c>
      <c r="Q520" t="s">
        <v>67</v>
      </c>
      <c r="R520" t="s">
        <v>67</v>
      </c>
      <c r="S520" s="5"/>
      <c r="T520" t="s">
        <v>72</v>
      </c>
      <c r="U520" t="s">
        <v>87</v>
      </c>
      <c r="V520" t="s">
        <v>74</v>
      </c>
      <c r="W520" t="s">
        <v>87</v>
      </c>
      <c r="AE520" s="2"/>
      <c r="AF520" s="2"/>
      <c r="AG520" s="2"/>
      <c r="AH520" s="2"/>
      <c r="AL520" s="2">
        <v>5418438</v>
      </c>
      <c r="AM520" s="2">
        <v>0</v>
      </c>
      <c r="AN520" s="2"/>
      <c r="AO520" s="2">
        <v>0</v>
      </c>
      <c r="AP520" s="2">
        <v>5418438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4"/>
      <c r="AX520" t="s">
        <v>75</v>
      </c>
      <c r="AZ520" t="s">
        <v>1305</v>
      </c>
      <c r="BA520" t="s">
        <v>67</v>
      </c>
      <c r="BB520" t="s">
        <v>1306</v>
      </c>
      <c r="BC520" t="s">
        <v>1219</v>
      </c>
      <c r="BD520" t="s">
        <v>79</v>
      </c>
      <c r="BE520" t="s">
        <v>1307</v>
      </c>
      <c r="BF520" s="5">
        <v>46979</v>
      </c>
      <c r="BH520">
        <v>2</v>
      </c>
      <c r="BI520" s="6">
        <v>150000</v>
      </c>
      <c r="BJ520" s="6">
        <v>42</v>
      </c>
      <c r="BK520" s="6">
        <v>63000</v>
      </c>
      <c r="BL520" s="6">
        <v>87000</v>
      </c>
      <c r="BM520" s="2">
        <v>174000</v>
      </c>
      <c r="BN520">
        <f>InvoiceTable[[#This Row],[Giảm giá]]*InvoiceTable[[#This Row],[Số lượng]]</f>
        <v>126000</v>
      </c>
    </row>
    <row r="521" spans="1:66" x14ac:dyDescent="0.25">
      <c r="A521" t="s">
        <v>65</v>
      </c>
      <c r="B521" t="s">
        <v>1934</v>
      </c>
      <c r="F521" s="2"/>
      <c r="G521" s="3">
        <v>46010.73223927083</v>
      </c>
      <c r="H521" s="3">
        <v>46010.732239386576</v>
      </c>
      <c r="I521" s="4" t="s">
        <v>67</v>
      </c>
      <c r="J521" t="s">
        <v>67</v>
      </c>
      <c r="K521" t="s">
        <v>67</v>
      </c>
      <c r="L521" t="s">
        <v>1935</v>
      </c>
      <c r="M521" t="s">
        <v>1936</v>
      </c>
      <c r="N521" t="s">
        <v>67</v>
      </c>
      <c r="O521" t="s">
        <v>1937</v>
      </c>
      <c r="P521" t="s">
        <v>1938</v>
      </c>
      <c r="S521" s="5"/>
      <c r="T521" t="s">
        <v>72</v>
      </c>
      <c r="U521" t="s">
        <v>87</v>
      </c>
      <c r="V521" t="s">
        <v>74</v>
      </c>
      <c r="W521" t="s">
        <v>87</v>
      </c>
      <c r="AE521" s="2"/>
      <c r="AF521" s="2"/>
      <c r="AG521" s="2"/>
      <c r="AH521" s="2"/>
      <c r="AL521" s="2">
        <v>946000</v>
      </c>
      <c r="AM521" s="2">
        <v>0</v>
      </c>
      <c r="AN521" s="2"/>
      <c r="AO521" s="2">
        <v>0</v>
      </c>
      <c r="AP521" s="2">
        <v>946000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4"/>
      <c r="AX521" t="s">
        <v>75</v>
      </c>
      <c r="AZ521" t="s">
        <v>704</v>
      </c>
      <c r="BA521" t="s">
        <v>67</v>
      </c>
      <c r="BB521" t="s">
        <v>705</v>
      </c>
      <c r="BC521" t="s">
        <v>706</v>
      </c>
      <c r="BD521" t="s">
        <v>79</v>
      </c>
      <c r="BE521" t="s">
        <v>378</v>
      </c>
      <c r="BF521" s="5">
        <v>46997</v>
      </c>
      <c r="BH521">
        <v>2</v>
      </c>
      <c r="BI521" s="6">
        <v>860000</v>
      </c>
      <c r="BJ521" s="6">
        <v>45</v>
      </c>
      <c r="BK521" s="6">
        <v>387000</v>
      </c>
      <c r="BL521" s="6">
        <v>473000</v>
      </c>
      <c r="BM521" s="2">
        <v>946000</v>
      </c>
      <c r="BN521">
        <f>InvoiceTable[[#This Row],[Giảm giá]]*InvoiceTable[[#This Row],[Số lượng]]</f>
        <v>774000</v>
      </c>
    </row>
    <row r="522" spans="1:66" x14ac:dyDescent="0.25">
      <c r="A522" t="s">
        <v>65</v>
      </c>
      <c r="B522" t="s">
        <v>1939</v>
      </c>
      <c r="F522" s="2"/>
      <c r="G522" s="3">
        <v>46010.731769293983</v>
      </c>
      <c r="H522" s="3">
        <v>46010.73171172454</v>
      </c>
      <c r="I522" s="4" t="s">
        <v>844</v>
      </c>
      <c r="J522" t="s">
        <v>67</v>
      </c>
      <c r="K522" t="s">
        <v>67</v>
      </c>
      <c r="L522" t="s">
        <v>1935</v>
      </c>
      <c r="M522" t="s">
        <v>1936</v>
      </c>
      <c r="N522" t="s">
        <v>67</v>
      </c>
      <c r="O522" t="s">
        <v>1937</v>
      </c>
      <c r="P522" t="s">
        <v>1938</v>
      </c>
      <c r="S522" s="5"/>
      <c r="T522" t="s">
        <v>72</v>
      </c>
      <c r="U522" t="s">
        <v>87</v>
      </c>
      <c r="V522" t="s">
        <v>74</v>
      </c>
      <c r="W522" t="s">
        <v>87</v>
      </c>
      <c r="AE522" s="2"/>
      <c r="AF522" s="2"/>
      <c r="AG522" s="2"/>
      <c r="AH522" s="2"/>
      <c r="AL522" s="2">
        <v>1368000</v>
      </c>
      <c r="AM522" s="2">
        <v>0</v>
      </c>
      <c r="AN522" s="2"/>
      <c r="AO522" s="2">
        <v>0</v>
      </c>
      <c r="AP522" s="2">
        <v>1368000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4"/>
      <c r="AX522" t="s">
        <v>75</v>
      </c>
      <c r="AZ522" t="s">
        <v>723</v>
      </c>
      <c r="BA522" t="s">
        <v>67</v>
      </c>
      <c r="BB522" t="s">
        <v>724</v>
      </c>
      <c r="BC522" t="s">
        <v>285</v>
      </c>
      <c r="BD522" t="s">
        <v>79</v>
      </c>
      <c r="BE522" t="s">
        <v>117</v>
      </c>
      <c r="BF522" s="5">
        <v>46569</v>
      </c>
      <c r="BH522">
        <v>2</v>
      </c>
      <c r="BI522" s="6">
        <v>1200000</v>
      </c>
      <c r="BJ522" s="6">
        <v>43</v>
      </c>
      <c r="BK522" s="6">
        <v>516000</v>
      </c>
      <c r="BL522" s="6">
        <v>684000</v>
      </c>
      <c r="BM522" s="2">
        <v>1368000</v>
      </c>
      <c r="BN522">
        <f>InvoiceTable[[#This Row],[Giảm giá]]*InvoiceTable[[#This Row],[Số lượng]]</f>
        <v>1032000</v>
      </c>
    </row>
    <row r="523" spans="1:66" x14ac:dyDescent="0.25">
      <c r="A523" t="s">
        <v>65</v>
      </c>
      <c r="B523" t="s">
        <v>1940</v>
      </c>
      <c r="F523" s="2"/>
      <c r="G523" s="3">
        <v>46010.7311778125</v>
      </c>
      <c r="H523" s="3">
        <v>46010.73116635417</v>
      </c>
      <c r="I523" s="4" t="s">
        <v>1941</v>
      </c>
      <c r="J523" t="s">
        <v>67</v>
      </c>
      <c r="K523" t="s">
        <v>67</v>
      </c>
      <c r="L523" t="s">
        <v>1393</v>
      </c>
      <c r="M523" t="s">
        <v>1394</v>
      </c>
      <c r="N523" t="s">
        <v>67</v>
      </c>
      <c r="O523" t="s">
        <v>1395</v>
      </c>
      <c r="P523" t="s">
        <v>1396</v>
      </c>
      <c r="S523" s="5"/>
      <c r="T523" t="s">
        <v>72</v>
      </c>
      <c r="U523" t="s">
        <v>87</v>
      </c>
      <c r="V523" t="s">
        <v>74</v>
      </c>
      <c r="W523" t="s">
        <v>87</v>
      </c>
      <c r="AE523" s="2"/>
      <c r="AF523" s="2"/>
      <c r="AG523" s="2"/>
      <c r="AH523" s="2"/>
      <c r="AL523" s="2">
        <v>2235700</v>
      </c>
      <c r="AM523" s="2">
        <v>0</v>
      </c>
      <c r="AN523" s="2"/>
      <c r="AO523" s="2">
        <v>0</v>
      </c>
      <c r="AP523" s="2">
        <v>2235700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4"/>
      <c r="AX523" t="s">
        <v>75</v>
      </c>
      <c r="AZ523" t="s">
        <v>1942</v>
      </c>
      <c r="BA523" t="s">
        <v>67</v>
      </c>
      <c r="BB523" t="s">
        <v>1943</v>
      </c>
      <c r="BC523" t="s">
        <v>126</v>
      </c>
      <c r="BD523" t="s">
        <v>79</v>
      </c>
      <c r="BE523" t="s">
        <v>142</v>
      </c>
      <c r="BF523" s="5">
        <v>46844</v>
      </c>
      <c r="BG523" t="s">
        <v>67</v>
      </c>
      <c r="BH523">
        <v>1</v>
      </c>
      <c r="BI523" s="6">
        <v>578000</v>
      </c>
      <c r="BJ523" s="6">
        <v>35</v>
      </c>
      <c r="BK523" s="6">
        <v>202300</v>
      </c>
      <c r="BL523" s="6">
        <v>375700</v>
      </c>
      <c r="BM523" s="2">
        <v>375700</v>
      </c>
      <c r="BN523">
        <f>InvoiceTable[[#This Row],[Giảm giá]]*InvoiceTable[[#This Row],[Số lượng]]</f>
        <v>202300</v>
      </c>
    </row>
    <row r="524" spans="1:66" x14ac:dyDescent="0.25">
      <c r="A524" t="s">
        <v>65</v>
      </c>
      <c r="B524" t="s">
        <v>1940</v>
      </c>
      <c r="F524" s="2"/>
      <c r="G524" s="3">
        <v>46010.7311778125</v>
      </c>
      <c r="H524" s="3">
        <v>46010.73116635417</v>
      </c>
      <c r="I524" s="4" t="s">
        <v>1941</v>
      </c>
      <c r="J524" t="s">
        <v>67</v>
      </c>
      <c r="K524" t="s">
        <v>67</v>
      </c>
      <c r="L524" t="s">
        <v>1393</v>
      </c>
      <c r="M524" t="s">
        <v>1394</v>
      </c>
      <c r="N524" t="s">
        <v>67</v>
      </c>
      <c r="O524" t="s">
        <v>1395</v>
      </c>
      <c r="P524" t="s">
        <v>1396</v>
      </c>
      <c r="S524" s="5"/>
      <c r="T524" t="s">
        <v>72</v>
      </c>
      <c r="U524" t="s">
        <v>87</v>
      </c>
      <c r="V524" t="s">
        <v>74</v>
      </c>
      <c r="W524" t="s">
        <v>87</v>
      </c>
      <c r="AE524" s="2"/>
      <c r="AF524" s="2"/>
      <c r="AG524" s="2"/>
      <c r="AH524" s="2"/>
      <c r="AL524" s="2">
        <v>2235700</v>
      </c>
      <c r="AM524" s="2">
        <v>0</v>
      </c>
      <c r="AN524" s="2"/>
      <c r="AO524" s="2">
        <v>0</v>
      </c>
      <c r="AP524" s="2">
        <v>2235700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4"/>
      <c r="AX524" t="s">
        <v>75</v>
      </c>
      <c r="AZ524" t="s">
        <v>124</v>
      </c>
      <c r="BA524" t="s">
        <v>67</v>
      </c>
      <c r="BB524" t="s">
        <v>125</v>
      </c>
      <c r="BC524" t="s">
        <v>126</v>
      </c>
      <c r="BD524" t="s">
        <v>79</v>
      </c>
      <c r="BE524" t="s">
        <v>127</v>
      </c>
      <c r="BF524" s="5">
        <v>46683</v>
      </c>
      <c r="BH524">
        <v>3</v>
      </c>
      <c r="BI524" s="6">
        <v>1200000</v>
      </c>
      <c r="BJ524" s="6">
        <v>0</v>
      </c>
      <c r="BK524" s="6">
        <v>580000</v>
      </c>
      <c r="BL524" s="6">
        <v>620000</v>
      </c>
      <c r="BM524" s="2">
        <v>1860000</v>
      </c>
      <c r="BN524">
        <f>InvoiceTable[[#This Row],[Giảm giá]]*InvoiceTable[[#This Row],[Số lượng]]</f>
        <v>1740000</v>
      </c>
    </row>
    <row r="525" spans="1:66" x14ac:dyDescent="0.25">
      <c r="A525" t="s">
        <v>65</v>
      </c>
      <c r="B525" t="s">
        <v>1944</v>
      </c>
      <c r="F525" s="2"/>
      <c r="G525" s="3">
        <v>46010.730524189814</v>
      </c>
      <c r="H525" s="3">
        <v>46010.730524270832</v>
      </c>
      <c r="I525" s="4" t="s">
        <v>67</v>
      </c>
      <c r="J525" t="s">
        <v>67</v>
      </c>
      <c r="K525" t="s">
        <v>67</v>
      </c>
      <c r="L525" t="s">
        <v>1393</v>
      </c>
      <c r="M525" t="s">
        <v>1394</v>
      </c>
      <c r="N525" t="s">
        <v>67</v>
      </c>
      <c r="O525" t="s">
        <v>1395</v>
      </c>
      <c r="P525" t="s">
        <v>1396</v>
      </c>
      <c r="S525" s="5"/>
      <c r="T525" t="s">
        <v>72</v>
      </c>
      <c r="U525" t="s">
        <v>87</v>
      </c>
      <c r="V525" t="s">
        <v>74</v>
      </c>
      <c r="W525" t="s">
        <v>87</v>
      </c>
      <c r="AE525" s="2"/>
      <c r="AF525" s="2"/>
      <c r="AG525" s="2"/>
      <c r="AH525" s="2"/>
      <c r="AL525" s="2">
        <v>20820999</v>
      </c>
      <c r="AM525" s="2">
        <v>0</v>
      </c>
      <c r="AN525" s="2"/>
      <c r="AO525" s="2">
        <v>0</v>
      </c>
      <c r="AP525" s="2">
        <v>20820999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4"/>
      <c r="AX525" t="s">
        <v>75</v>
      </c>
      <c r="AZ525" t="s">
        <v>321</v>
      </c>
      <c r="BA525" t="s">
        <v>67</v>
      </c>
      <c r="BB525" t="s">
        <v>322</v>
      </c>
      <c r="BC525" t="s">
        <v>323</v>
      </c>
      <c r="BD525" t="s">
        <v>79</v>
      </c>
      <c r="BE525" t="s">
        <v>324</v>
      </c>
      <c r="BF525" s="5">
        <v>47058</v>
      </c>
      <c r="BH525">
        <v>30</v>
      </c>
      <c r="BI525" s="6">
        <v>25000</v>
      </c>
      <c r="BJ525" s="6">
        <v>0</v>
      </c>
      <c r="BK525" s="6">
        <v>14000</v>
      </c>
      <c r="BL525" s="6">
        <v>11000</v>
      </c>
      <c r="BM525" s="2">
        <v>330000</v>
      </c>
      <c r="BN525">
        <f>InvoiceTable[[#This Row],[Giảm giá]]*InvoiceTable[[#This Row],[Số lượng]]</f>
        <v>420000</v>
      </c>
    </row>
    <row r="526" spans="1:66" x14ac:dyDescent="0.25">
      <c r="A526" t="s">
        <v>65</v>
      </c>
      <c r="B526" t="s">
        <v>1944</v>
      </c>
      <c r="F526" s="2"/>
      <c r="G526" s="3">
        <v>46010.730524189814</v>
      </c>
      <c r="H526" s="3">
        <v>46010.730524270832</v>
      </c>
      <c r="I526" s="4" t="s">
        <v>67</v>
      </c>
      <c r="J526" t="s">
        <v>67</v>
      </c>
      <c r="K526" t="s">
        <v>67</v>
      </c>
      <c r="L526" t="s">
        <v>1393</v>
      </c>
      <c r="M526" t="s">
        <v>1394</v>
      </c>
      <c r="N526" t="s">
        <v>67</v>
      </c>
      <c r="O526" t="s">
        <v>1395</v>
      </c>
      <c r="P526" t="s">
        <v>1396</v>
      </c>
      <c r="S526" s="5"/>
      <c r="T526" t="s">
        <v>72</v>
      </c>
      <c r="U526" t="s">
        <v>87</v>
      </c>
      <c r="V526" t="s">
        <v>74</v>
      </c>
      <c r="W526" t="s">
        <v>87</v>
      </c>
      <c r="AE526" s="2"/>
      <c r="AF526" s="2"/>
      <c r="AG526" s="2"/>
      <c r="AH526" s="2"/>
      <c r="AL526" s="2">
        <v>20820999</v>
      </c>
      <c r="AM526" s="2">
        <v>0</v>
      </c>
      <c r="AN526" s="2"/>
      <c r="AO526" s="2">
        <v>0</v>
      </c>
      <c r="AP526" s="2">
        <v>20820999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4"/>
      <c r="AX526" t="s">
        <v>75</v>
      </c>
      <c r="AZ526" t="s">
        <v>1663</v>
      </c>
      <c r="BA526" t="s">
        <v>67</v>
      </c>
      <c r="BB526" t="s">
        <v>1664</v>
      </c>
      <c r="BC526" t="s">
        <v>285</v>
      </c>
      <c r="BD526" t="s">
        <v>79</v>
      </c>
      <c r="BE526" t="s">
        <v>117</v>
      </c>
      <c r="BF526" s="5">
        <v>46569</v>
      </c>
      <c r="BG526" t="s">
        <v>67</v>
      </c>
      <c r="BH526">
        <v>10</v>
      </c>
      <c r="BI526" s="6">
        <v>2450000</v>
      </c>
      <c r="BJ526" s="6">
        <v>47</v>
      </c>
      <c r="BK526" s="6">
        <v>1151500</v>
      </c>
      <c r="BL526" s="6">
        <v>1298500</v>
      </c>
      <c r="BM526" s="2">
        <v>12985000</v>
      </c>
      <c r="BN526">
        <f>InvoiceTable[[#This Row],[Giảm giá]]*InvoiceTable[[#This Row],[Số lượng]]</f>
        <v>11515000</v>
      </c>
    </row>
    <row r="527" spans="1:66" x14ac:dyDescent="0.25">
      <c r="A527" t="s">
        <v>65</v>
      </c>
      <c r="B527" t="s">
        <v>1944</v>
      </c>
      <c r="F527" s="2"/>
      <c r="G527" s="3">
        <v>46010.730524189814</v>
      </c>
      <c r="H527" s="3">
        <v>46010.730524270832</v>
      </c>
      <c r="I527" s="4" t="s">
        <v>67</v>
      </c>
      <c r="J527" t="s">
        <v>67</v>
      </c>
      <c r="K527" t="s">
        <v>67</v>
      </c>
      <c r="L527" t="s">
        <v>1393</v>
      </c>
      <c r="M527" t="s">
        <v>1394</v>
      </c>
      <c r="N527" t="s">
        <v>67</v>
      </c>
      <c r="O527" t="s">
        <v>1395</v>
      </c>
      <c r="P527" t="s">
        <v>1396</v>
      </c>
      <c r="S527" s="5"/>
      <c r="T527" t="s">
        <v>72</v>
      </c>
      <c r="U527" t="s">
        <v>87</v>
      </c>
      <c r="V527" t="s">
        <v>74</v>
      </c>
      <c r="W527" t="s">
        <v>87</v>
      </c>
      <c r="AE527" s="2"/>
      <c r="AF527" s="2"/>
      <c r="AG527" s="2"/>
      <c r="AH527" s="2"/>
      <c r="AL527" s="2">
        <v>20820999</v>
      </c>
      <c r="AM527" s="2">
        <v>0</v>
      </c>
      <c r="AN527" s="2"/>
      <c r="AO527" s="2">
        <v>0</v>
      </c>
      <c r="AP527" s="2">
        <v>20820999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4"/>
      <c r="AX527" t="s">
        <v>75</v>
      </c>
      <c r="AZ527" t="s">
        <v>1945</v>
      </c>
      <c r="BA527" t="s">
        <v>67</v>
      </c>
      <c r="BB527" t="s">
        <v>1946</v>
      </c>
      <c r="BC527" t="s">
        <v>173</v>
      </c>
      <c r="BD527" t="s">
        <v>79</v>
      </c>
      <c r="BE527" t="s">
        <v>1947</v>
      </c>
      <c r="BF527" s="5">
        <v>47335</v>
      </c>
      <c r="BG527" t="s">
        <v>67</v>
      </c>
      <c r="BH527">
        <v>10</v>
      </c>
      <c r="BI527" s="6">
        <v>1364727</v>
      </c>
      <c r="BJ527" s="6">
        <v>45</v>
      </c>
      <c r="BK527" s="6">
        <v>614127.15</v>
      </c>
      <c r="BL527" s="6">
        <v>750599.85</v>
      </c>
      <c r="BM527" s="2">
        <v>7505999</v>
      </c>
      <c r="BN527">
        <f>InvoiceTable[[#This Row],[Giảm giá]]*InvoiceTable[[#This Row],[Số lượng]]</f>
        <v>6141271.5</v>
      </c>
    </row>
    <row r="528" spans="1:66" x14ac:dyDescent="0.25">
      <c r="A528" t="s">
        <v>65</v>
      </c>
      <c r="B528" t="s">
        <v>1948</v>
      </c>
      <c r="F528" s="2"/>
      <c r="G528" s="3">
        <v>46010.726745057873</v>
      </c>
      <c r="H528" s="3">
        <v>46010.726745219908</v>
      </c>
      <c r="I528" s="4" t="s">
        <v>67</v>
      </c>
      <c r="J528" t="s">
        <v>1949</v>
      </c>
      <c r="K528" t="s">
        <v>67</v>
      </c>
      <c r="L528" t="s">
        <v>231</v>
      </c>
      <c r="M528" t="s">
        <v>232</v>
      </c>
      <c r="N528" t="s">
        <v>67</v>
      </c>
      <c r="O528" t="s">
        <v>233</v>
      </c>
      <c r="P528" t="s">
        <v>234</v>
      </c>
      <c r="S528" s="5"/>
      <c r="T528" t="s">
        <v>72</v>
      </c>
      <c r="U528" t="s">
        <v>73</v>
      </c>
      <c r="V528" t="s">
        <v>74</v>
      </c>
      <c r="W528" t="s">
        <v>87</v>
      </c>
      <c r="AE528" s="2"/>
      <c r="AF528" s="2"/>
      <c r="AG528" s="2"/>
      <c r="AH528" s="2"/>
      <c r="AK528" t="s">
        <v>1950</v>
      </c>
      <c r="AL528" s="2">
        <v>1094500</v>
      </c>
      <c r="AM528" s="2">
        <v>0</v>
      </c>
      <c r="AN528" s="2"/>
      <c r="AO528" s="2">
        <v>0</v>
      </c>
      <c r="AP528" s="2">
        <v>1094500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4"/>
      <c r="AX528" t="s">
        <v>75</v>
      </c>
      <c r="AZ528" t="s">
        <v>504</v>
      </c>
      <c r="BA528" t="s">
        <v>67</v>
      </c>
      <c r="BB528" t="s">
        <v>505</v>
      </c>
      <c r="BC528" t="s">
        <v>78</v>
      </c>
      <c r="BD528" t="s">
        <v>79</v>
      </c>
      <c r="BE528" t="s">
        <v>506</v>
      </c>
      <c r="BF528" s="5">
        <v>47604</v>
      </c>
      <c r="BH528">
        <v>1</v>
      </c>
      <c r="BI528" s="6">
        <v>1990000</v>
      </c>
      <c r="BJ528" s="6">
        <v>45</v>
      </c>
      <c r="BK528" s="6">
        <v>895500</v>
      </c>
      <c r="BL528" s="6">
        <v>1094500</v>
      </c>
      <c r="BM528" s="2">
        <v>1094500</v>
      </c>
      <c r="BN528">
        <f>InvoiceTable[[#This Row],[Giảm giá]]*InvoiceTable[[#This Row],[Số lượng]]</f>
        <v>895500</v>
      </c>
    </row>
    <row r="529" spans="1:66" x14ac:dyDescent="0.25">
      <c r="A529" t="s">
        <v>65</v>
      </c>
      <c r="B529" t="s">
        <v>1951</v>
      </c>
      <c r="F529" s="2"/>
      <c r="G529" s="3">
        <v>46010.726121296299</v>
      </c>
      <c r="H529" s="3">
        <v>46010.72610983796</v>
      </c>
      <c r="I529" s="4" t="s">
        <v>1202</v>
      </c>
      <c r="J529" t="s">
        <v>67</v>
      </c>
      <c r="K529" t="s">
        <v>67</v>
      </c>
      <c r="L529" t="s">
        <v>1952</v>
      </c>
      <c r="M529" t="s">
        <v>1953</v>
      </c>
      <c r="N529" t="s">
        <v>67</v>
      </c>
      <c r="Q529" t="s">
        <v>67</v>
      </c>
      <c r="R529" t="s">
        <v>67</v>
      </c>
      <c r="S529" s="5"/>
      <c r="T529" t="s">
        <v>72</v>
      </c>
      <c r="U529" t="s">
        <v>87</v>
      </c>
      <c r="V529" t="s">
        <v>74</v>
      </c>
      <c r="W529" t="s">
        <v>87</v>
      </c>
      <c r="AE529" s="2"/>
      <c r="AF529" s="2"/>
      <c r="AG529" s="2"/>
      <c r="AH529" s="2"/>
      <c r="AK529" t="s">
        <v>354</v>
      </c>
      <c r="AL529" s="2">
        <v>34150000</v>
      </c>
      <c r="AM529" s="2">
        <v>17075000</v>
      </c>
      <c r="AN529" s="2"/>
      <c r="AO529" s="2">
        <v>0</v>
      </c>
      <c r="AP529" s="2">
        <v>17075000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4"/>
      <c r="AX529" t="s">
        <v>75</v>
      </c>
      <c r="AZ529" t="s">
        <v>518</v>
      </c>
      <c r="BA529" t="s">
        <v>67</v>
      </c>
      <c r="BB529" t="s">
        <v>519</v>
      </c>
      <c r="BC529" t="s">
        <v>78</v>
      </c>
      <c r="BD529" t="s">
        <v>79</v>
      </c>
      <c r="BE529" t="s">
        <v>517</v>
      </c>
      <c r="BF529" s="5">
        <v>47665</v>
      </c>
      <c r="BH529">
        <v>2</v>
      </c>
      <c r="BI529" s="6">
        <v>3500000</v>
      </c>
      <c r="BJ529" s="6">
        <v>0</v>
      </c>
      <c r="BK529" s="6">
        <v>0</v>
      </c>
      <c r="BL529" s="6">
        <v>3500000</v>
      </c>
      <c r="BM529" s="2">
        <v>7000000</v>
      </c>
      <c r="BN529">
        <f>InvoiceTable[[#This Row],[Giảm giá]]*InvoiceTable[[#This Row],[Số lượng]]</f>
        <v>0</v>
      </c>
    </row>
    <row r="530" spans="1:66" x14ac:dyDescent="0.25">
      <c r="A530" t="s">
        <v>65</v>
      </c>
      <c r="B530" t="s">
        <v>1951</v>
      </c>
      <c r="F530" s="2"/>
      <c r="G530" s="3">
        <v>46010.726121296299</v>
      </c>
      <c r="H530" s="3">
        <v>46010.72610983796</v>
      </c>
      <c r="I530" s="4" t="s">
        <v>1202</v>
      </c>
      <c r="J530" t="s">
        <v>67</v>
      </c>
      <c r="K530" t="s">
        <v>67</v>
      </c>
      <c r="L530" t="s">
        <v>1952</v>
      </c>
      <c r="M530" t="s">
        <v>1953</v>
      </c>
      <c r="N530" t="s">
        <v>67</v>
      </c>
      <c r="Q530" t="s">
        <v>67</v>
      </c>
      <c r="R530" t="s">
        <v>67</v>
      </c>
      <c r="S530" s="5"/>
      <c r="T530" t="s">
        <v>72</v>
      </c>
      <c r="U530" t="s">
        <v>87</v>
      </c>
      <c r="V530" t="s">
        <v>74</v>
      </c>
      <c r="W530" t="s">
        <v>87</v>
      </c>
      <c r="AE530" s="2"/>
      <c r="AF530" s="2"/>
      <c r="AG530" s="2"/>
      <c r="AH530" s="2"/>
      <c r="AK530" t="s">
        <v>354</v>
      </c>
      <c r="AL530" s="2">
        <v>34150000</v>
      </c>
      <c r="AM530" s="2">
        <v>17075000</v>
      </c>
      <c r="AN530" s="2"/>
      <c r="AO530" s="2">
        <v>0</v>
      </c>
      <c r="AP530" s="2">
        <v>17075000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4"/>
      <c r="AX530" t="s">
        <v>75</v>
      </c>
      <c r="AZ530" t="s">
        <v>129</v>
      </c>
      <c r="BA530" t="s">
        <v>67</v>
      </c>
      <c r="BB530" t="s">
        <v>130</v>
      </c>
      <c r="BC530" t="s">
        <v>78</v>
      </c>
      <c r="BD530" t="s">
        <v>79</v>
      </c>
      <c r="BE530" t="s">
        <v>131</v>
      </c>
      <c r="BF530" s="5">
        <v>46874</v>
      </c>
      <c r="BG530" t="s">
        <v>67</v>
      </c>
      <c r="BH530">
        <v>3</v>
      </c>
      <c r="BI530" s="6">
        <v>3050000</v>
      </c>
      <c r="BJ530" s="6">
        <v>0</v>
      </c>
      <c r="BK530" s="6">
        <v>0</v>
      </c>
      <c r="BL530" s="6">
        <v>3050000</v>
      </c>
      <c r="BM530" s="2">
        <v>9150000</v>
      </c>
      <c r="BN530">
        <f>InvoiceTable[[#This Row],[Giảm giá]]*InvoiceTable[[#This Row],[Số lượng]]</f>
        <v>0</v>
      </c>
    </row>
    <row r="531" spans="1:66" x14ac:dyDescent="0.25">
      <c r="A531" t="s">
        <v>65</v>
      </c>
      <c r="B531" t="s">
        <v>1951</v>
      </c>
      <c r="F531" s="2"/>
      <c r="G531" s="3">
        <v>46010.726121296299</v>
      </c>
      <c r="H531" s="3">
        <v>46010.72610983796</v>
      </c>
      <c r="I531" s="4" t="s">
        <v>1202</v>
      </c>
      <c r="J531" t="s">
        <v>67</v>
      </c>
      <c r="K531" t="s">
        <v>67</v>
      </c>
      <c r="L531" t="s">
        <v>1952</v>
      </c>
      <c r="M531" t="s">
        <v>1953</v>
      </c>
      <c r="N531" t="s">
        <v>67</v>
      </c>
      <c r="Q531" t="s">
        <v>67</v>
      </c>
      <c r="R531" t="s">
        <v>67</v>
      </c>
      <c r="S531" s="5"/>
      <c r="T531" t="s">
        <v>72</v>
      </c>
      <c r="U531" t="s">
        <v>87</v>
      </c>
      <c r="V531" t="s">
        <v>74</v>
      </c>
      <c r="W531" t="s">
        <v>87</v>
      </c>
      <c r="AE531" s="2"/>
      <c r="AF531" s="2"/>
      <c r="AG531" s="2"/>
      <c r="AH531" s="2"/>
      <c r="AK531" t="s">
        <v>354</v>
      </c>
      <c r="AL531" s="2">
        <v>34150000</v>
      </c>
      <c r="AM531" s="2">
        <v>17075000</v>
      </c>
      <c r="AN531" s="2"/>
      <c r="AO531" s="2">
        <v>0</v>
      </c>
      <c r="AP531" s="2">
        <v>17075000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4"/>
      <c r="AX531" t="s">
        <v>75</v>
      </c>
      <c r="AZ531" t="s">
        <v>806</v>
      </c>
      <c r="BA531" t="s">
        <v>67</v>
      </c>
      <c r="BB531" t="s">
        <v>807</v>
      </c>
      <c r="BC531" t="s">
        <v>78</v>
      </c>
      <c r="BD531" t="s">
        <v>79</v>
      </c>
      <c r="BE531" t="s">
        <v>188</v>
      </c>
      <c r="BF531" s="5">
        <v>46905</v>
      </c>
      <c r="BH531">
        <v>2</v>
      </c>
      <c r="BI531" s="6">
        <v>5300000</v>
      </c>
      <c r="BJ531" s="6">
        <v>0</v>
      </c>
      <c r="BK531" s="6">
        <v>0</v>
      </c>
      <c r="BL531" s="6">
        <v>5300000</v>
      </c>
      <c r="BM531" s="2">
        <v>10600000</v>
      </c>
      <c r="BN531">
        <f>InvoiceTable[[#This Row],[Giảm giá]]*InvoiceTable[[#This Row],[Số lượng]]</f>
        <v>0</v>
      </c>
    </row>
    <row r="532" spans="1:66" x14ac:dyDescent="0.25">
      <c r="A532" t="s">
        <v>65</v>
      </c>
      <c r="B532" t="s">
        <v>1951</v>
      </c>
      <c r="F532" s="2"/>
      <c r="G532" s="3">
        <v>46010.726121296299</v>
      </c>
      <c r="H532" s="3">
        <v>46010.72610983796</v>
      </c>
      <c r="I532" s="4" t="s">
        <v>1202</v>
      </c>
      <c r="J532" t="s">
        <v>67</v>
      </c>
      <c r="K532" t="s">
        <v>67</v>
      </c>
      <c r="L532" t="s">
        <v>1952</v>
      </c>
      <c r="M532" t="s">
        <v>1953</v>
      </c>
      <c r="N532" t="s">
        <v>67</v>
      </c>
      <c r="Q532" t="s">
        <v>67</v>
      </c>
      <c r="R532" t="s">
        <v>67</v>
      </c>
      <c r="S532" s="5"/>
      <c r="T532" t="s">
        <v>72</v>
      </c>
      <c r="U532" t="s">
        <v>87</v>
      </c>
      <c r="V532" t="s">
        <v>74</v>
      </c>
      <c r="W532" t="s">
        <v>87</v>
      </c>
      <c r="AE532" s="2"/>
      <c r="AF532" s="2"/>
      <c r="AG532" s="2"/>
      <c r="AH532" s="2"/>
      <c r="AK532" t="s">
        <v>354</v>
      </c>
      <c r="AL532" s="2">
        <v>34150000</v>
      </c>
      <c r="AM532" s="2">
        <v>17075000</v>
      </c>
      <c r="AN532" s="2"/>
      <c r="AO532" s="2">
        <v>0</v>
      </c>
      <c r="AP532" s="2">
        <v>17075000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4"/>
      <c r="AX532" t="s">
        <v>75</v>
      </c>
      <c r="AZ532" t="s">
        <v>808</v>
      </c>
      <c r="BA532" t="s">
        <v>67</v>
      </c>
      <c r="BB532" t="s">
        <v>809</v>
      </c>
      <c r="BC532" t="s">
        <v>78</v>
      </c>
      <c r="BD532" t="s">
        <v>79</v>
      </c>
      <c r="BE532" t="s">
        <v>810</v>
      </c>
      <c r="BF532" s="5">
        <v>46539</v>
      </c>
      <c r="BH532">
        <v>1</v>
      </c>
      <c r="BI532" s="6">
        <v>3750000</v>
      </c>
      <c r="BJ532" s="6">
        <v>0</v>
      </c>
      <c r="BK532" s="6">
        <v>0</v>
      </c>
      <c r="BL532" s="6">
        <v>3750000</v>
      </c>
      <c r="BM532" s="2">
        <v>3750000</v>
      </c>
      <c r="BN532">
        <f>InvoiceTable[[#This Row],[Giảm giá]]*InvoiceTable[[#This Row],[Số lượng]]</f>
        <v>0</v>
      </c>
    </row>
    <row r="533" spans="1:66" x14ac:dyDescent="0.25">
      <c r="A533" t="s">
        <v>65</v>
      </c>
      <c r="B533" t="s">
        <v>1951</v>
      </c>
      <c r="F533" s="2"/>
      <c r="G533" s="3">
        <v>46010.726121296299</v>
      </c>
      <c r="H533" s="3">
        <v>46010.72610983796</v>
      </c>
      <c r="I533" s="4" t="s">
        <v>1202</v>
      </c>
      <c r="J533" t="s">
        <v>67</v>
      </c>
      <c r="K533" t="s">
        <v>67</v>
      </c>
      <c r="L533" t="s">
        <v>1952</v>
      </c>
      <c r="M533" t="s">
        <v>1953</v>
      </c>
      <c r="N533" t="s">
        <v>67</v>
      </c>
      <c r="Q533" t="s">
        <v>67</v>
      </c>
      <c r="R533" t="s">
        <v>67</v>
      </c>
      <c r="S533" s="5"/>
      <c r="T533" t="s">
        <v>72</v>
      </c>
      <c r="U533" t="s">
        <v>87</v>
      </c>
      <c r="V533" t="s">
        <v>74</v>
      </c>
      <c r="W533" t="s">
        <v>87</v>
      </c>
      <c r="AE533" s="2"/>
      <c r="AF533" s="2"/>
      <c r="AG533" s="2"/>
      <c r="AH533" s="2"/>
      <c r="AK533" t="s">
        <v>354</v>
      </c>
      <c r="AL533" s="2">
        <v>34150000</v>
      </c>
      <c r="AM533" s="2">
        <v>17075000</v>
      </c>
      <c r="AN533" s="2"/>
      <c r="AO533" s="2">
        <v>0</v>
      </c>
      <c r="AP533" s="2">
        <v>17075000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4"/>
      <c r="AX533" t="s">
        <v>75</v>
      </c>
      <c r="AZ533" t="s">
        <v>115</v>
      </c>
      <c r="BA533" t="s">
        <v>67</v>
      </c>
      <c r="BB533" t="s">
        <v>116</v>
      </c>
      <c r="BC533" t="s">
        <v>78</v>
      </c>
      <c r="BD533" t="s">
        <v>79</v>
      </c>
      <c r="BE533" t="s">
        <v>117</v>
      </c>
      <c r="BF533" s="5">
        <v>46569</v>
      </c>
      <c r="BH533">
        <v>1</v>
      </c>
      <c r="BI533" s="6">
        <v>3650000</v>
      </c>
      <c r="BJ533" s="6">
        <v>0</v>
      </c>
      <c r="BK533" s="6">
        <v>0</v>
      </c>
      <c r="BL533" s="6">
        <v>3650000</v>
      </c>
      <c r="BM533" s="2">
        <v>3650000</v>
      </c>
      <c r="BN533">
        <f>InvoiceTable[[#This Row],[Giảm giá]]*InvoiceTable[[#This Row],[Số lượng]]</f>
        <v>0</v>
      </c>
    </row>
    <row r="534" spans="1:66" x14ac:dyDescent="0.25">
      <c r="A534" t="s">
        <v>65</v>
      </c>
      <c r="B534" t="s">
        <v>1954</v>
      </c>
      <c r="F534" s="2"/>
      <c r="G534" s="3">
        <v>46010.725305208332</v>
      </c>
      <c r="H534" s="3">
        <v>46010.725305474538</v>
      </c>
      <c r="I534" s="4" t="s">
        <v>67</v>
      </c>
      <c r="J534" t="s">
        <v>67</v>
      </c>
      <c r="K534" t="s">
        <v>67</v>
      </c>
      <c r="L534" t="s">
        <v>1952</v>
      </c>
      <c r="M534" t="s">
        <v>1953</v>
      </c>
      <c r="N534" t="s">
        <v>67</v>
      </c>
      <c r="Q534" t="s">
        <v>67</v>
      </c>
      <c r="R534" t="s">
        <v>67</v>
      </c>
      <c r="S534" s="5"/>
      <c r="T534" t="s">
        <v>72</v>
      </c>
      <c r="U534" t="s">
        <v>87</v>
      </c>
      <c r="V534" t="s">
        <v>74</v>
      </c>
      <c r="W534" t="s">
        <v>87</v>
      </c>
      <c r="AE534" s="2"/>
      <c r="AF534" s="2"/>
      <c r="AG534" s="2"/>
      <c r="AH534" s="2"/>
      <c r="AK534" t="s">
        <v>1955</v>
      </c>
      <c r="AL534" s="2">
        <v>35200000</v>
      </c>
      <c r="AM534" s="2">
        <v>17600000</v>
      </c>
      <c r="AN534" s="2"/>
      <c r="AO534" s="2">
        <v>0</v>
      </c>
      <c r="AP534" s="2">
        <v>17600000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4"/>
      <c r="AX534" t="s">
        <v>75</v>
      </c>
      <c r="AZ534" t="s">
        <v>1809</v>
      </c>
      <c r="BA534" t="s">
        <v>67</v>
      </c>
      <c r="BB534" t="s">
        <v>1810</v>
      </c>
      <c r="BC534" t="s">
        <v>78</v>
      </c>
      <c r="BD534" t="s">
        <v>79</v>
      </c>
      <c r="BE534" t="s">
        <v>168</v>
      </c>
      <c r="BF534" s="5">
        <v>46388</v>
      </c>
      <c r="BG534" t="s">
        <v>67</v>
      </c>
      <c r="BH534">
        <v>1</v>
      </c>
      <c r="BI534" s="6">
        <v>2700000</v>
      </c>
      <c r="BJ534" s="6">
        <v>0</v>
      </c>
      <c r="BK534" s="6">
        <v>0</v>
      </c>
      <c r="BL534" s="6">
        <v>2700000</v>
      </c>
      <c r="BM534" s="2">
        <v>2700000</v>
      </c>
      <c r="BN534">
        <f>InvoiceTable[[#This Row],[Giảm giá]]*InvoiceTable[[#This Row],[Số lượng]]</f>
        <v>0</v>
      </c>
    </row>
    <row r="535" spans="1:66" x14ac:dyDescent="0.25">
      <c r="A535" t="s">
        <v>65</v>
      </c>
      <c r="B535" t="s">
        <v>1954</v>
      </c>
      <c r="F535" s="2"/>
      <c r="G535" s="3">
        <v>46010.725305208332</v>
      </c>
      <c r="H535" s="3">
        <v>46010.725305474538</v>
      </c>
      <c r="I535" s="4" t="s">
        <v>67</v>
      </c>
      <c r="J535" t="s">
        <v>67</v>
      </c>
      <c r="K535" t="s">
        <v>67</v>
      </c>
      <c r="L535" t="s">
        <v>1952</v>
      </c>
      <c r="M535" t="s">
        <v>1953</v>
      </c>
      <c r="N535" t="s">
        <v>67</v>
      </c>
      <c r="Q535" t="s">
        <v>67</v>
      </c>
      <c r="R535" t="s">
        <v>67</v>
      </c>
      <c r="S535" s="5"/>
      <c r="T535" t="s">
        <v>72</v>
      </c>
      <c r="U535" t="s">
        <v>87</v>
      </c>
      <c r="V535" t="s">
        <v>74</v>
      </c>
      <c r="W535" t="s">
        <v>87</v>
      </c>
      <c r="AE535" s="2"/>
      <c r="AF535" s="2"/>
      <c r="AG535" s="2"/>
      <c r="AH535" s="2"/>
      <c r="AK535" t="s">
        <v>1955</v>
      </c>
      <c r="AL535" s="2">
        <v>35200000</v>
      </c>
      <c r="AM535" s="2">
        <v>17600000</v>
      </c>
      <c r="AN535" s="2"/>
      <c r="AO535" s="2">
        <v>0</v>
      </c>
      <c r="AP535" s="2">
        <v>17600000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4"/>
      <c r="AX535" t="s">
        <v>75</v>
      </c>
      <c r="AZ535" t="s">
        <v>527</v>
      </c>
      <c r="BA535" t="s">
        <v>67</v>
      </c>
      <c r="BB535" t="s">
        <v>528</v>
      </c>
      <c r="BC535" t="s">
        <v>78</v>
      </c>
      <c r="BD535" t="s">
        <v>79</v>
      </c>
      <c r="BE535" t="s">
        <v>317</v>
      </c>
      <c r="BF535" s="5">
        <v>46935</v>
      </c>
      <c r="BH535">
        <v>5</v>
      </c>
      <c r="BI535" s="6">
        <v>3800000</v>
      </c>
      <c r="BJ535" s="6">
        <v>0</v>
      </c>
      <c r="BK535" s="6">
        <v>0</v>
      </c>
      <c r="BL535" s="6">
        <v>3800000</v>
      </c>
      <c r="BM535" s="2">
        <v>19000000</v>
      </c>
      <c r="BN535">
        <f>InvoiceTable[[#This Row],[Giảm giá]]*InvoiceTable[[#This Row],[Số lượng]]</f>
        <v>0</v>
      </c>
    </row>
    <row r="536" spans="1:66" x14ac:dyDescent="0.25">
      <c r="A536" t="s">
        <v>65</v>
      </c>
      <c r="B536" t="s">
        <v>1954</v>
      </c>
      <c r="F536" s="2"/>
      <c r="G536" s="3">
        <v>46010.725305208332</v>
      </c>
      <c r="H536" s="3">
        <v>46010.725305474538</v>
      </c>
      <c r="I536" s="4" t="s">
        <v>67</v>
      </c>
      <c r="J536" t="s">
        <v>67</v>
      </c>
      <c r="K536" t="s">
        <v>67</v>
      </c>
      <c r="L536" t="s">
        <v>1952</v>
      </c>
      <c r="M536" t="s">
        <v>1953</v>
      </c>
      <c r="N536" t="s">
        <v>67</v>
      </c>
      <c r="Q536" t="s">
        <v>67</v>
      </c>
      <c r="R536" t="s">
        <v>67</v>
      </c>
      <c r="S536" s="5"/>
      <c r="T536" t="s">
        <v>72</v>
      </c>
      <c r="U536" t="s">
        <v>87</v>
      </c>
      <c r="V536" t="s">
        <v>74</v>
      </c>
      <c r="W536" t="s">
        <v>87</v>
      </c>
      <c r="AE536" s="2"/>
      <c r="AF536" s="2"/>
      <c r="AG536" s="2"/>
      <c r="AH536" s="2"/>
      <c r="AK536" t="s">
        <v>1955</v>
      </c>
      <c r="AL536" s="2">
        <v>35200000</v>
      </c>
      <c r="AM536" s="2">
        <v>17600000</v>
      </c>
      <c r="AN536" s="2"/>
      <c r="AO536" s="2">
        <v>0</v>
      </c>
      <c r="AP536" s="2">
        <v>17600000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4"/>
      <c r="AX536" t="s">
        <v>75</v>
      </c>
      <c r="AZ536" t="s">
        <v>1199</v>
      </c>
      <c r="BA536" t="s">
        <v>67</v>
      </c>
      <c r="BB536" t="s">
        <v>1200</v>
      </c>
      <c r="BC536" t="s">
        <v>78</v>
      </c>
      <c r="BD536" t="s">
        <v>79</v>
      </c>
      <c r="BE536" t="s">
        <v>131</v>
      </c>
      <c r="BF536" s="5">
        <v>46874</v>
      </c>
      <c r="BH536">
        <v>5</v>
      </c>
      <c r="BI536" s="6">
        <v>2700000</v>
      </c>
      <c r="BJ536" s="6">
        <v>0</v>
      </c>
      <c r="BK536" s="6">
        <v>0</v>
      </c>
      <c r="BL536" s="6">
        <v>2700000</v>
      </c>
      <c r="BM536" s="2">
        <v>13500000</v>
      </c>
      <c r="BN536">
        <f>InvoiceTable[[#This Row],[Giảm giá]]*InvoiceTable[[#This Row],[Số lượng]]</f>
        <v>0</v>
      </c>
    </row>
    <row r="537" spans="1:66" x14ac:dyDescent="0.25">
      <c r="A537" t="s">
        <v>65</v>
      </c>
      <c r="B537" t="s">
        <v>1956</v>
      </c>
      <c r="F537" s="2"/>
      <c r="G537" s="3">
        <v>46010.724686921298</v>
      </c>
      <c r="H537" s="3">
        <v>46010.724687268521</v>
      </c>
      <c r="I537" s="4" t="s">
        <v>67</v>
      </c>
      <c r="J537" t="s">
        <v>67</v>
      </c>
      <c r="K537" t="s">
        <v>67</v>
      </c>
      <c r="L537" t="s">
        <v>111</v>
      </c>
      <c r="M537" t="s">
        <v>112</v>
      </c>
      <c r="N537" t="s">
        <v>67</v>
      </c>
      <c r="O537" t="s">
        <v>113</v>
      </c>
      <c r="P537" t="s">
        <v>114</v>
      </c>
      <c r="Q537" t="s">
        <v>67</v>
      </c>
      <c r="R537" t="s">
        <v>67</v>
      </c>
      <c r="S537" s="5"/>
      <c r="T537" t="s">
        <v>72</v>
      </c>
      <c r="U537" t="s">
        <v>87</v>
      </c>
      <c r="V537" t="s">
        <v>74</v>
      </c>
      <c r="W537" t="s">
        <v>87</v>
      </c>
      <c r="AE537" s="2"/>
      <c r="AF537" s="2"/>
      <c r="AG537" s="2"/>
      <c r="AH537" s="2"/>
      <c r="AK537" t="s">
        <v>1957</v>
      </c>
      <c r="AL537" s="2">
        <v>13000000</v>
      </c>
      <c r="AM537" s="2">
        <v>6500000</v>
      </c>
      <c r="AN537" s="2"/>
      <c r="AO537" s="2">
        <v>0</v>
      </c>
      <c r="AP537" s="2">
        <v>6500000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4"/>
      <c r="AX537" t="s">
        <v>75</v>
      </c>
      <c r="AZ537" t="s">
        <v>1199</v>
      </c>
      <c r="BA537" t="s">
        <v>67</v>
      </c>
      <c r="BB537" t="s">
        <v>1200</v>
      </c>
      <c r="BC537" t="s">
        <v>78</v>
      </c>
      <c r="BD537" t="s">
        <v>79</v>
      </c>
      <c r="BE537" t="s">
        <v>131</v>
      </c>
      <c r="BF537" s="5">
        <v>46874</v>
      </c>
      <c r="BH537">
        <v>2</v>
      </c>
      <c r="BI537" s="6">
        <v>2700000</v>
      </c>
      <c r="BJ537" s="6">
        <v>0</v>
      </c>
      <c r="BK537" s="6">
        <v>0</v>
      </c>
      <c r="BL537" s="6">
        <v>2700000</v>
      </c>
      <c r="BM537" s="2">
        <v>5400000</v>
      </c>
      <c r="BN537">
        <f>InvoiceTable[[#This Row],[Giảm giá]]*InvoiceTable[[#This Row],[Số lượng]]</f>
        <v>0</v>
      </c>
    </row>
    <row r="538" spans="1:66" x14ac:dyDescent="0.25">
      <c r="A538" t="s">
        <v>65</v>
      </c>
      <c r="B538" t="s">
        <v>1956</v>
      </c>
      <c r="F538" s="2"/>
      <c r="G538" s="3">
        <v>46010.724686921298</v>
      </c>
      <c r="H538" s="3">
        <v>46010.724687268521</v>
      </c>
      <c r="I538" s="4" t="s">
        <v>67</v>
      </c>
      <c r="J538" t="s">
        <v>67</v>
      </c>
      <c r="K538" t="s">
        <v>67</v>
      </c>
      <c r="L538" t="s">
        <v>111</v>
      </c>
      <c r="M538" t="s">
        <v>112</v>
      </c>
      <c r="N538" t="s">
        <v>67</v>
      </c>
      <c r="O538" t="s">
        <v>113</v>
      </c>
      <c r="P538" t="s">
        <v>114</v>
      </c>
      <c r="Q538" t="s">
        <v>67</v>
      </c>
      <c r="R538" t="s">
        <v>67</v>
      </c>
      <c r="S538" s="5"/>
      <c r="T538" t="s">
        <v>72</v>
      </c>
      <c r="U538" t="s">
        <v>87</v>
      </c>
      <c r="V538" t="s">
        <v>74</v>
      </c>
      <c r="W538" t="s">
        <v>87</v>
      </c>
      <c r="AE538" s="2"/>
      <c r="AF538" s="2"/>
      <c r="AG538" s="2"/>
      <c r="AH538" s="2"/>
      <c r="AK538" t="s">
        <v>1957</v>
      </c>
      <c r="AL538" s="2">
        <v>13000000</v>
      </c>
      <c r="AM538" s="2">
        <v>6500000</v>
      </c>
      <c r="AN538" s="2"/>
      <c r="AO538" s="2">
        <v>0</v>
      </c>
      <c r="AP538" s="2">
        <v>6500000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4"/>
      <c r="AX538" t="s">
        <v>75</v>
      </c>
      <c r="AZ538" t="s">
        <v>527</v>
      </c>
      <c r="BA538" t="s">
        <v>67</v>
      </c>
      <c r="BB538" t="s">
        <v>528</v>
      </c>
      <c r="BC538" t="s">
        <v>78</v>
      </c>
      <c r="BD538" t="s">
        <v>79</v>
      </c>
      <c r="BE538" t="s">
        <v>317</v>
      </c>
      <c r="BF538" s="5">
        <v>46935</v>
      </c>
      <c r="BH538">
        <v>2</v>
      </c>
      <c r="BI538" s="6">
        <v>3800000</v>
      </c>
      <c r="BJ538" s="6">
        <v>0</v>
      </c>
      <c r="BK538" s="6">
        <v>0</v>
      </c>
      <c r="BL538" s="6">
        <v>3800000</v>
      </c>
      <c r="BM538" s="2">
        <v>7600000</v>
      </c>
      <c r="BN538">
        <f>InvoiceTable[[#This Row],[Giảm giá]]*InvoiceTable[[#This Row],[Số lượng]]</f>
        <v>0</v>
      </c>
    </row>
    <row r="539" spans="1:66" x14ac:dyDescent="0.25">
      <c r="A539" t="s">
        <v>65</v>
      </c>
      <c r="B539" t="s">
        <v>1958</v>
      </c>
      <c r="F539" s="2"/>
      <c r="G539" s="3">
        <v>46010.724291666666</v>
      </c>
      <c r="H539" s="3">
        <v>46010.724291747683</v>
      </c>
      <c r="I539" s="4" t="s">
        <v>67</v>
      </c>
      <c r="J539" t="s">
        <v>67</v>
      </c>
      <c r="K539" t="s">
        <v>67</v>
      </c>
      <c r="L539" t="s">
        <v>647</v>
      </c>
      <c r="M539" t="s">
        <v>648</v>
      </c>
      <c r="N539" t="s">
        <v>67</v>
      </c>
      <c r="O539" t="s">
        <v>649</v>
      </c>
      <c r="P539" t="s">
        <v>650</v>
      </c>
      <c r="S539" s="5"/>
      <c r="T539" t="s">
        <v>72</v>
      </c>
      <c r="U539" t="s">
        <v>87</v>
      </c>
      <c r="V539" t="s">
        <v>74</v>
      </c>
      <c r="W539" t="s">
        <v>87</v>
      </c>
      <c r="AE539" s="2"/>
      <c r="AF539" s="2"/>
      <c r="AG539" s="2"/>
      <c r="AH539" s="2"/>
      <c r="AL539" s="2">
        <v>9390000</v>
      </c>
      <c r="AM539" s="2">
        <v>4695000</v>
      </c>
      <c r="AN539" s="2"/>
      <c r="AO539" s="2">
        <v>0</v>
      </c>
      <c r="AP539" s="2">
        <v>4695000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4"/>
      <c r="AX539" t="s">
        <v>75</v>
      </c>
      <c r="AZ539" t="s">
        <v>1959</v>
      </c>
      <c r="BA539" t="s">
        <v>67</v>
      </c>
      <c r="BB539" t="s">
        <v>1960</v>
      </c>
      <c r="BC539" t="s">
        <v>78</v>
      </c>
      <c r="BD539" t="s">
        <v>79</v>
      </c>
      <c r="BE539" t="s">
        <v>195</v>
      </c>
      <c r="BF539" s="5">
        <v>46419</v>
      </c>
      <c r="BH539">
        <v>1</v>
      </c>
      <c r="BI539" s="6">
        <v>3990000</v>
      </c>
      <c r="BJ539" s="6">
        <v>0</v>
      </c>
      <c r="BK539" s="6">
        <v>0</v>
      </c>
      <c r="BL539" s="6">
        <v>3990000</v>
      </c>
      <c r="BM539" s="2">
        <v>3990000</v>
      </c>
      <c r="BN539">
        <f>InvoiceTable[[#This Row],[Giảm giá]]*InvoiceTable[[#This Row],[Số lượng]]</f>
        <v>0</v>
      </c>
    </row>
    <row r="540" spans="1:66" x14ac:dyDescent="0.25">
      <c r="A540" t="s">
        <v>65</v>
      </c>
      <c r="B540" t="s">
        <v>1958</v>
      </c>
      <c r="F540" s="2"/>
      <c r="G540" s="3">
        <v>46010.724291666666</v>
      </c>
      <c r="H540" s="3">
        <v>46010.724291747683</v>
      </c>
      <c r="I540" s="4" t="s">
        <v>67</v>
      </c>
      <c r="J540" t="s">
        <v>67</v>
      </c>
      <c r="K540" t="s">
        <v>67</v>
      </c>
      <c r="L540" t="s">
        <v>647</v>
      </c>
      <c r="M540" t="s">
        <v>648</v>
      </c>
      <c r="N540" t="s">
        <v>67</v>
      </c>
      <c r="O540" t="s">
        <v>649</v>
      </c>
      <c r="P540" t="s">
        <v>650</v>
      </c>
      <c r="S540" s="5"/>
      <c r="T540" t="s">
        <v>72</v>
      </c>
      <c r="U540" t="s">
        <v>87</v>
      </c>
      <c r="V540" t="s">
        <v>74</v>
      </c>
      <c r="W540" t="s">
        <v>87</v>
      </c>
      <c r="AE540" s="2"/>
      <c r="AF540" s="2"/>
      <c r="AG540" s="2"/>
      <c r="AH540" s="2"/>
      <c r="AL540" s="2">
        <v>9390000</v>
      </c>
      <c r="AM540" s="2">
        <v>4695000</v>
      </c>
      <c r="AN540" s="2"/>
      <c r="AO540" s="2">
        <v>0</v>
      </c>
      <c r="AP540" s="2">
        <v>4695000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4"/>
      <c r="AX540" t="s">
        <v>75</v>
      </c>
      <c r="AZ540" t="s">
        <v>1809</v>
      </c>
      <c r="BA540" t="s">
        <v>67</v>
      </c>
      <c r="BB540" t="s">
        <v>1810</v>
      </c>
      <c r="BC540" t="s">
        <v>78</v>
      </c>
      <c r="BD540" t="s">
        <v>79</v>
      </c>
      <c r="BE540" t="s">
        <v>168</v>
      </c>
      <c r="BF540" s="5">
        <v>46388</v>
      </c>
      <c r="BG540" t="s">
        <v>67</v>
      </c>
      <c r="BH540">
        <v>1</v>
      </c>
      <c r="BI540" s="6">
        <v>2700000</v>
      </c>
      <c r="BJ540" s="6">
        <v>0</v>
      </c>
      <c r="BK540" s="6">
        <v>0</v>
      </c>
      <c r="BL540" s="6">
        <v>2700000</v>
      </c>
      <c r="BM540" s="2">
        <v>2700000</v>
      </c>
      <c r="BN540">
        <f>InvoiceTable[[#This Row],[Giảm giá]]*InvoiceTable[[#This Row],[Số lượng]]</f>
        <v>0</v>
      </c>
    </row>
    <row r="541" spans="1:66" x14ac:dyDescent="0.25">
      <c r="A541" t="s">
        <v>65</v>
      </c>
      <c r="B541" t="s">
        <v>1958</v>
      </c>
      <c r="F541" s="2"/>
      <c r="G541" s="3">
        <v>46010.724291666666</v>
      </c>
      <c r="H541" s="3">
        <v>46010.724291747683</v>
      </c>
      <c r="I541" s="4" t="s">
        <v>67</v>
      </c>
      <c r="J541" t="s">
        <v>67</v>
      </c>
      <c r="K541" t="s">
        <v>67</v>
      </c>
      <c r="L541" t="s">
        <v>647</v>
      </c>
      <c r="M541" t="s">
        <v>648</v>
      </c>
      <c r="N541" t="s">
        <v>67</v>
      </c>
      <c r="O541" t="s">
        <v>649</v>
      </c>
      <c r="P541" t="s">
        <v>650</v>
      </c>
      <c r="S541" s="5"/>
      <c r="T541" t="s">
        <v>72</v>
      </c>
      <c r="U541" t="s">
        <v>87</v>
      </c>
      <c r="V541" t="s">
        <v>74</v>
      </c>
      <c r="W541" t="s">
        <v>87</v>
      </c>
      <c r="AE541" s="2"/>
      <c r="AF541" s="2"/>
      <c r="AG541" s="2"/>
      <c r="AH541" s="2"/>
      <c r="AL541" s="2">
        <v>9390000</v>
      </c>
      <c r="AM541" s="2">
        <v>4695000</v>
      </c>
      <c r="AN541" s="2"/>
      <c r="AO541" s="2">
        <v>0</v>
      </c>
      <c r="AP541" s="2">
        <v>4695000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4"/>
      <c r="AX541" t="s">
        <v>75</v>
      </c>
      <c r="AZ541" t="s">
        <v>1961</v>
      </c>
      <c r="BB541" t="s">
        <v>1962</v>
      </c>
      <c r="BC541" t="s">
        <v>78</v>
      </c>
      <c r="BD541" t="s">
        <v>79</v>
      </c>
      <c r="BE541" t="s">
        <v>228</v>
      </c>
      <c r="BF541" s="5">
        <v>46784</v>
      </c>
      <c r="BG541" t="s">
        <v>67</v>
      </c>
      <c r="BH541">
        <v>1</v>
      </c>
      <c r="BI541" s="6">
        <v>2700000</v>
      </c>
      <c r="BJ541" s="6">
        <v>0</v>
      </c>
      <c r="BK541" s="6">
        <v>0</v>
      </c>
      <c r="BL541" s="6">
        <v>2700000</v>
      </c>
      <c r="BM541" s="2">
        <v>2700000</v>
      </c>
      <c r="BN541">
        <f>InvoiceTable[[#This Row],[Giảm giá]]*InvoiceTable[[#This Row],[Số lượng]]</f>
        <v>0</v>
      </c>
    </row>
    <row r="542" spans="1:66" x14ac:dyDescent="0.25">
      <c r="A542" t="s">
        <v>65</v>
      </c>
      <c r="B542" t="s">
        <v>1963</v>
      </c>
      <c r="F542" s="2"/>
      <c r="G542" s="3">
        <v>46010.716846608797</v>
      </c>
      <c r="H542" s="3">
        <v>46010.716846724536</v>
      </c>
      <c r="I542" s="4" t="s">
        <v>67</v>
      </c>
      <c r="J542" t="s">
        <v>67</v>
      </c>
      <c r="K542" t="s">
        <v>67</v>
      </c>
      <c r="L542" t="s">
        <v>398</v>
      </c>
      <c r="M542" t="s">
        <v>399</v>
      </c>
      <c r="N542" t="s">
        <v>400</v>
      </c>
      <c r="O542" t="s">
        <v>401</v>
      </c>
      <c r="P542" t="s">
        <v>402</v>
      </c>
      <c r="S542" s="5"/>
      <c r="T542" t="s">
        <v>72</v>
      </c>
      <c r="U542" t="s">
        <v>87</v>
      </c>
      <c r="V542" t="s">
        <v>74</v>
      </c>
      <c r="W542" t="s">
        <v>87</v>
      </c>
      <c r="AE542" s="2"/>
      <c r="AF542" s="2"/>
      <c r="AG542" s="2"/>
      <c r="AH542" s="2"/>
      <c r="AL542" s="2">
        <v>706800</v>
      </c>
      <c r="AM542" s="2">
        <v>0</v>
      </c>
      <c r="AN542" s="2"/>
      <c r="AO542" s="2">
        <v>0</v>
      </c>
      <c r="AP542" s="2">
        <v>706800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4"/>
      <c r="AX542" t="s">
        <v>75</v>
      </c>
      <c r="AZ542" t="s">
        <v>1372</v>
      </c>
      <c r="BA542" t="s">
        <v>67</v>
      </c>
      <c r="BB542" t="s">
        <v>1373</v>
      </c>
      <c r="BC542" t="s">
        <v>251</v>
      </c>
      <c r="BD542" t="s">
        <v>79</v>
      </c>
      <c r="BE542" t="s">
        <v>155</v>
      </c>
      <c r="BF542" s="5">
        <v>46600</v>
      </c>
      <c r="BG542" t="s">
        <v>67</v>
      </c>
      <c r="BH542">
        <v>2</v>
      </c>
      <c r="BI542" s="6">
        <v>620000</v>
      </c>
      <c r="BJ542" s="6">
        <v>43</v>
      </c>
      <c r="BK542" s="6">
        <v>266600</v>
      </c>
      <c r="BL542" s="6">
        <v>353400</v>
      </c>
      <c r="BM542" s="2">
        <v>706800</v>
      </c>
      <c r="BN542">
        <f>InvoiceTable[[#This Row],[Giảm giá]]*InvoiceTable[[#This Row],[Số lượng]]</f>
        <v>533200</v>
      </c>
    </row>
    <row r="543" spans="1:66" x14ac:dyDescent="0.25">
      <c r="A543" t="s">
        <v>65</v>
      </c>
      <c r="B543" t="s">
        <v>1964</v>
      </c>
      <c r="F543" s="2"/>
      <c r="G543" s="3">
        <v>46010.705433993055</v>
      </c>
      <c r="H543" s="3">
        <v>46010.705434108793</v>
      </c>
      <c r="I543" s="4" t="s">
        <v>67</v>
      </c>
      <c r="J543" t="s">
        <v>67</v>
      </c>
      <c r="K543" t="s">
        <v>67</v>
      </c>
      <c r="L543" t="s">
        <v>697</v>
      </c>
      <c r="M543" t="s">
        <v>698</v>
      </c>
      <c r="N543" t="s">
        <v>67</v>
      </c>
      <c r="O543" t="s">
        <v>699</v>
      </c>
      <c r="P543" t="s">
        <v>700</v>
      </c>
      <c r="Q543" t="s">
        <v>67</v>
      </c>
      <c r="R543" t="s">
        <v>67</v>
      </c>
      <c r="S543" s="5"/>
      <c r="T543" t="s">
        <v>72</v>
      </c>
      <c r="U543" t="s">
        <v>87</v>
      </c>
      <c r="V543" t="s">
        <v>74</v>
      </c>
      <c r="W543" t="s">
        <v>87</v>
      </c>
      <c r="AE543" s="2"/>
      <c r="AF543" s="2"/>
      <c r="AG543" s="2"/>
      <c r="AH543" s="2"/>
      <c r="AL543" s="2">
        <v>1396500</v>
      </c>
      <c r="AM543" s="2">
        <v>0</v>
      </c>
      <c r="AN543" s="2"/>
      <c r="AO543" s="2">
        <v>0</v>
      </c>
      <c r="AP543" s="2">
        <v>1396500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4"/>
      <c r="AX543" t="s">
        <v>75</v>
      </c>
      <c r="AZ543" t="s">
        <v>1663</v>
      </c>
      <c r="BA543" t="s">
        <v>67</v>
      </c>
      <c r="BB543" t="s">
        <v>1664</v>
      </c>
      <c r="BC543" t="s">
        <v>285</v>
      </c>
      <c r="BD543" t="s">
        <v>79</v>
      </c>
      <c r="BE543" t="s">
        <v>117</v>
      </c>
      <c r="BF543" s="5">
        <v>46569</v>
      </c>
      <c r="BG543" t="s">
        <v>67</v>
      </c>
      <c r="BH543">
        <v>1</v>
      </c>
      <c r="BI543" s="6">
        <v>2450000</v>
      </c>
      <c r="BJ543" s="6">
        <v>43</v>
      </c>
      <c r="BK543" s="6">
        <v>1053500</v>
      </c>
      <c r="BL543" s="6">
        <v>1396500</v>
      </c>
      <c r="BM543" s="2">
        <v>1396500</v>
      </c>
      <c r="BN543">
        <f>InvoiceTable[[#This Row],[Giảm giá]]*InvoiceTable[[#This Row],[Số lượng]]</f>
        <v>1053500</v>
      </c>
    </row>
    <row r="544" spans="1:66" x14ac:dyDescent="0.25">
      <c r="A544" t="s">
        <v>65</v>
      </c>
      <c r="B544" t="s">
        <v>1965</v>
      </c>
      <c r="F544" s="2"/>
      <c r="G544" s="3">
        <v>46010.702825613429</v>
      </c>
      <c r="H544" s="3">
        <v>46010.702825775465</v>
      </c>
      <c r="I544" s="4" t="s">
        <v>67</v>
      </c>
      <c r="J544" t="s">
        <v>1966</v>
      </c>
      <c r="K544" t="s">
        <v>67</v>
      </c>
      <c r="L544" t="s">
        <v>1223</v>
      </c>
      <c r="M544" t="s">
        <v>1224</v>
      </c>
      <c r="N544" t="s">
        <v>1225</v>
      </c>
      <c r="O544" t="s">
        <v>1226</v>
      </c>
      <c r="P544" t="s">
        <v>1227</v>
      </c>
      <c r="S544" s="5"/>
      <c r="T544" t="s">
        <v>72</v>
      </c>
      <c r="U544" t="s">
        <v>102</v>
      </c>
      <c r="V544" t="s">
        <v>74</v>
      </c>
      <c r="W544" t="s">
        <v>87</v>
      </c>
      <c r="AE544" s="2"/>
      <c r="AF544" s="2"/>
      <c r="AG544" s="2"/>
      <c r="AH544" s="2"/>
      <c r="AK544" t="s">
        <v>1967</v>
      </c>
      <c r="AL544" s="2">
        <v>5546500</v>
      </c>
      <c r="AM544" s="2">
        <v>0</v>
      </c>
      <c r="AN544" s="2"/>
      <c r="AO544" s="2">
        <v>0</v>
      </c>
      <c r="AP544" s="2">
        <v>5546500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4"/>
      <c r="AX544" t="s">
        <v>75</v>
      </c>
      <c r="AZ544" t="s">
        <v>1968</v>
      </c>
      <c r="BA544" t="s">
        <v>67</v>
      </c>
      <c r="BB544" t="s">
        <v>1969</v>
      </c>
      <c r="BC544" t="s">
        <v>215</v>
      </c>
      <c r="BD544" t="s">
        <v>79</v>
      </c>
      <c r="BE544" t="s">
        <v>293</v>
      </c>
      <c r="BF544" s="5">
        <v>46722</v>
      </c>
      <c r="BG544" t="s">
        <v>67</v>
      </c>
      <c r="BH544">
        <v>1</v>
      </c>
      <c r="BI544" s="6">
        <v>870000</v>
      </c>
      <c r="BJ544" s="6">
        <v>55</v>
      </c>
      <c r="BK544" s="6">
        <v>478500</v>
      </c>
      <c r="BL544" s="6">
        <v>391500</v>
      </c>
      <c r="BM544" s="2">
        <v>391500</v>
      </c>
      <c r="BN544">
        <f>InvoiceTable[[#This Row],[Giảm giá]]*InvoiceTable[[#This Row],[Số lượng]]</f>
        <v>478500</v>
      </c>
    </row>
    <row r="545" spans="1:66" x14ac:dyDescent="0.25">
      <c r="A545" t="s">
        <v>65</v>
      </c>
      <c r="B545" t="s">
        <v>1965</v>
      </c>
      <c r="F545" s="2"/>
      <c r="G545" s="3">
        <v>46010.702825613429</v>
      </c>
      <c r="H545" s="3">
        <v>46010.702825775465</v>
      </c>
      <c r="I545" s="4" t="s">
        <v>67</v>
      </c>
      <c r="J545" t="s">
        <v>1966</v>
      </c>
      <c r="K545" t="s">
        <v>67</v>
      </c>
      <c r="L545" t="s">
        <v>1223</v>
      </c>
      <c r="M545" t="s">
        <v>1224</v>
      </c>
      <c r="N545" t="s">
        <v>1225</v>
      </c>
      <c r="O545" t="s">
        <v>1226</v>
      </c>
      <c r="P545" t="s">
        <v>1227</v>
      </c>
      <c r="S545" s="5"/>
      <c r="T545" t="s">
        <v>72</v>
      </c>
      <c r="U545" t="s">
        <v>102</v>
      </c>
      <c r="V545" t="s">
        <v>74</v>
      </c>
      <c r="W545" t="s">
        <v>87</v>
      </c>
      <c r="AE545" s="2"/>
      <c r="AF545" s="2"/>
      <c r="AG545" s="2"/>
      <c r="AH545" s="2"/>
      <c r="AK545" t="s">
        <v>1967</v>
      </c>
      <c r="AL545" s="2">
        <v>5546500</v>
      </c>
      <c r="AM545" s="2">
        <v>0</v>
      </c>
      <c r="AN545" s="2"/>
      <c r="AO545" s="2">
        <v>0</v>
      </c>
      <c r="AP545" s="2">
        <v>5546500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4"/>
      <c r="AX545" t="s">
        <v>75</v>
      </c>
      <c r="AZ545" t="s">
        <v>1970</v>
      </c>
      <c r="BA545" t="s">
        <v>67</v>
      </c>
      <c r="BB545" t="s">
        <v>1971</v>
      </c>
      <c r="BC545" t="s">
        <v>138</v>
      </c>
      <c r="BD545" t="s">
        <v>79</v>
      </c>
      <c r="BE545" t="s">
        <v>117</v>
      </c>
      <c r="BF545" s="5">
        <v>46569</v>
      </c>
      <c r="BG545" t="s">
        <v>67</v>
      </c>
      <c r="BH545">
        <v>5</v>
      </c>
      <c r="BI545" s="6">
        <v>1300000</v>
      </c>
      <c r="BJ545" s="6">
        <v>47</v>
      </c>
      <c r="BK545" s="6">
        <v>611000</v>
      </c>
      <c r="BL545" s="6">
        <v>689000</v>
      </c>
      <c r="BM545" s="2">
        <v>3445000</v>
      </c>
      <c r="BN545">
        <f>InvoiceTable[[#This Row],[Giảm giá]]*InvoiceTable[[#This Row],[Số lượng]]</f>
        <v>3055000</v>
      </c>
    </row>
    <row r="546" spans="1:66" x14ac:dyDescent="0.25">
      <c r="A546" t="s">
        <v>65</v>
      </c>
      <c r="B546" t="s">
        <v>1965</v>
      </c>
      <c r="F546" s="2"/>
      <c r="G546" s="3">
        <v>46010.702825613429</v>
      </c>
      <c r="H546" s="3">
        <v>46010.702825775465</v>
      </c>
      <c r="I546" s="4" t="s">
        <v>67</v>
      </c>
      <c r="J546" t="s">
        <v>1966</v>
      </c>
      <c r="K546" t="s">
        <v>67</v>
      </c>
      <c r="L546" t="s">
        <v>1223</v>
      </c>
      <c r="M546" t="s">
        <v>1224</v>
      </c>
      <c r="N546" t="s">
        <v>1225</v>
      </c>
      <c r="O546" t="s">
        <v>1226</v>
      </c>
      <c r="P546" t="s">
        <v>1227</v>
      </c>
      <c r="S546" s="5"/>
      <c r="T546" t="s">
        <v>72</v>
      </c>
      <c r="U546" t="s">
        <v>102</v>
      </c>
      <c r="V546" t="s">
        <v>74</v>
      </c>
      <c r="W546" t="s">
        <v>87</v>
      </c>
      <c r="AE546" s="2"/>
      <c r="AF546" s="2"/>
      <c r="AG546" s="2"/>
      <c r="AH546" s="2"/>
      <c r="AK546" t="s">
        <v>1967</v>
      </c>
      <c r="AL546" s="2">
        <v>5546500</v>
      </c>
      <c r="AM546" s="2">
        <v>0</v>
      </c>
      <c r="AN546" s="2"/>
      <c r="AO546" s="2">
        <v>0</v>
      </c>
      <c r="AP546" s="2">
        <v>5546500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4"/>
      <c r="AX546" t="s">
        <v>75</v>
      </c>
      <c r="AZ546" t="s">
        <v>1972</v>
      </c>
      <c r="BB546" t="s">
        <v>1973</v>
      </c>
      <c r="BC546" t="s">
        <v>204</v>
      </c>
      <c r="BD546" t="s">
        <v>79</v>
      </c>
      <c r="BE546" t="s">
        <v>1974</v>
      </c>
      <c r="BF546" s="5">
        <v>47362</v>
      </c>
      <c r="BG546" t="s">
        <v>67</v>
      </c>
      <c r="BH546">
        <v>5</v>
      </c>
      <c r="BI546" s="6">
        <v>570000</v>
      </c>
      <c r="BJ546" s="6">
        <v>40</v>
      </c>
      <c r="BK546" s="6">
        <v>228000</v>
      </c>
      <c r="BL546" s="6">
        <v>342000</v>
      </c>
      <c r="BM546" s="2">
        <v>1710000</v>
      </c>
      <c r="BN546">
        <f>InvoiceTable[[#This Row],[Giảm giá]]*InvoiceTable[[#This Row],[Số lượng]]</f>
        <v>1140000</v>
      </c>
    </row>
    <row r="547" spans="1:66" x14ac:dyDescent="0.25">
      <c r="A547" t="s">
        <v>65</v>
      </c>
      <c r="B547" t="s">
        <v>1975</v>
      </c>
      <c r="F547" s="2"/>
      <c r="G547" s="3">
        <v>46010.677569594911</v>
      </c>
      <c r="H547" s="3">
        <v>46010.67756971065</v>
      </c>
      <c r="I547" s="4" t="s">
        <v>67</v>
      </c>
      <c r="J547" t="s">
        <v>67</v>
      </c>
      <c r="K547" t="s">
        <v>67</v>
      </c>
      <c r="L547" t="s">
        <v>1976</v>
      </c>
      <c r="M547" t="s">
        <v>1977</v>
      </c>
      <c r="N547" t="s">
        <v>67</v>
      </c>
      <c r="O547" t="s">
        <v>1978</v>
      </c>
      <c r="P547" t="s">
        <v>1979</v>
      </c>
      <c r="Q547" t="s">
        <v>67</v>
      </c>
      <c r="R547" t="s">
        <v>67</v>
      </c>
      <c r="S547" s="5"/>
      <c r="T547" t="s">
        <v>72</v>
      </c>
      <c r="U547" t="s">
        <v>87</v>
      </c>
      <c r="V547" t="s">
        <v>74</v>
      </c>
      <c r="W547" t="s">
        <v>87</v>
      </c>
      <c r="AE547" s="2"/>
      <c r="AF547" s="2"/>
      <c r="AG547" s="2"/>
      <c r="AH547" s="2"/>
      <c r="AK547" t="s">
        <v>1980</v>
      </c>
      <c r="AL547" s="2">
        <v>7268648</v>
      </c>
      <c r="AM547" s="2">
        <v>0</v>
      </c>
      <c r="AN547" s="2"/>
      <c r="AO547" s="2">
        <v>0</v>
      </c>
      <c r="AP547" s="2">
        <v>7268648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4"/>
      <c r="AX547" t="s">
        <v>75</v>
      </c>
      <c r="AZ547" t="s">
        <v>1981</v>
      </c>
      <c r="BA547" t="s">
        <v>67</v>
      </c>
      <c r="BB547" t="s">
        <v>1982</v>
      </c>
      <c r="BC547" t="s">
        <v>1983</v>
      </c>
      <c r="BD547" t="s">
        <v>79</v>
      </c>
      <c r="BE547" t="s">
        <v>198</v>
      </c>
      <c r="BF547" s="5">
        <v>46753</v>
      </c>
      <c r="BG547" t="s">
        <v>67</v>
      </c>
      <c r="BH547">
        <v>1</v>
      </c>
      <c r="BI547" s="6">
        <v>1600000</v>
      </c>
      <c r="BJ547" s="6">
        <v>0</v>
      </c>
      <c r="BK547" s="6">
        <v>1600000</v>
      </c>
      <c r="BL547" s="6">
        <v>0</v>
      </c>
      <c r="BM547" s="2">
        <v>0</v>
      </c>
      <c r="BN547">
        <f>InvoiceTable[[#This Row],[Giảm giá]]*InvoiceTable[[#This Row],[Số lượng]]</f>
        <v>1600000</v>
      </c>
    </row>
    <row r="548" spans="1:66" x14ac:dyDescent="0.25">
      <c r="A548" t="s">
        <v>65</v>
      </c>
      <c r="B548" t="s">
        <v>1975</v>
      </c>
      <c r="F548" s="2"/>
      <c r="G548" s="3">
        <v>46010.677569594911</v>
      </c>
      <c r="H548" s="3">
        <v>46010.67756971065</v>
      </c>
      <c r="I548" s="4" t="s">
        <v>67</v>
      </c>
      <c r="J548" t="s">
        <v>67</v>
      </c>
      <c r="K548" t="s">
        <v>67</v>
      </c>
      <c r="L548" t="s">
        <v>1976</v>
      </c>
      <c r="M548" t="s">
        <v>1977</v>
      </c>
      <c r="N548" t="s">
        <v>67</v>
      </c>
      <c r="O548" t="s">
        <v>1978</v>
      </c>
      <c r="P548" t="s">
        <v>1979</v>
      </c>
      <c r="Q548" t="s">
        <v>67</v>
      </c>
      <c r="R548" t="s">
        <v>67</v>
      </c>
      <c r="S548" s="5"/>
      <c r="T548" t="s">
        <v>72</v>
      </c>
      <c r="U548" t="s">
        <v>87</v>
      </c>
      <c r="V548" t="s">
        <v>74</v>
      </c>
      <c r="W548" t="s">
        <v>87</v>
      </c>
      <c r="AE548" s="2"/>
      <c r="AF548" s="2"/>
      <c r="AG548" s="2"/>
      <c r="AH548" s="2"/>
      <c r="AK548" t="s">
        <v>1980</v>
      </c>
      <c r="AL548" s="2">
        <v>7268648</v>
      </c>
      <c r="AM548" s="2">
        <v>0</v>
      </c>
      <c r="AN548" s="2"/>
      <c r="AO548" s="2">
        <v>0</v>
      </c>
      <c r="AP548" s="2">
        <v>7268648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4"/>
      <c r="AX548" t="s">
        <v>75</v>
      </c>
      <c r="AZ548" t="s">
        <v>1984</v>
      </c>
      <c r="BA548" t="s">
        <v>67</v>
      </c>
      <c r="BB548" t="s">
        <v>1985</v>
      </c>
      <c r="BC548" t="s">
        <v>1983</v>
      </c>
      <c r="BD548" t="s">
        <v>79</v>
      </c>
      <c r="BE548" t="s">
        <v>434</v>
      </c>
      <c r="BF548" s="5">
        <v>46661</v>
      </c>
      <c r="BG548" t="s">
        <v>67</v>
      </c>
      <c r="BH548">
        <v>2</v>
      </c>
      <c r="BI548" s="6">
        <v>3600000</v>
      </c>
      <c r="BJ548" s="6">
        <v>38</v>
      </c>
      <c r="BK548" s="6">
        <v>1368000</v>
      </c>
      <c r="BL548" s="6">
        <v>2232000</v>
      </c>
      <c r="BM548" s="2">
        <v>4464000</v>
      </c>
      <c r="BN548">
        <f>InvoiceTable[[#This Row],[Giảm giá]]*InvoiceTable[[#This Row],[Số lượng]]</f>
        <v>2736000</v>
      </c>
    </row>
    <row r="549" spans="1:66" x14ac:dyDescent="0.25">
      <c r="A549" t="s">
        <v>65</v>
      </c>
      <c r="B549" t="s">
        <v>1975</v>
      </c>
      <c r="F549" s="2"/>
      <c r="G549" s="3">
        <v>46010.677569594911</v>
      </c>
      <c r="H549" s="3">
        <v>46010.67756971065</v>
      </c>
      <c r="I549" s="4" t="s">
        <v>67</v>
      </c>
      <c r="J549" t="s">
        <v>67</v>
      </c>
      <c r="K549" t="s">
        <v>67</v>
      </c>
      <c r="L549" t="s">
        <v>1976</v>
      </c>
      <c r="M549" t="s">
        <v>1977</v>
      </c>
      <c r="N549" t="s">
        <v>67</v>
      </c>
      <c r="O549" t="s">
        <v>1978</v>
      </c>
      <c r="P549" t="s">
        <v>1979</v>
      </c>
      <c r="Q549" t="s">
        <v>67</v>
      </c>
      <c r="R549" t="s">
        <v>67</v>
      </c>
      <c r="S549" s="5"/>
      <c r="T549" t="s">
        <v>72</v>
      </c>
      <c r="U549" t="s">
        <v>87</v>
      </c>
      <c r="V549" t="s">
        <v>74</v>
      </c>
      <c r="W549" t="s">
        <v>87</v>
      </c>
      <c r="AE549" s="2"/>
      <c r="AF549" s="2"/>
      <c r="AG549" s="2"/>
      <c r="AH549" s="2"/>
      <c r="AK549" t="s">
        <v>1980</v>
      </c>
      <c r="AL549" s="2">
        <v>7268648</v>
      </c>
      <c r="AM549" s="2">
        <v>0</v>
      </c>
      <c r="AN549" s="2"/>
      <c r="AO549" s="2">
        <v>0</v>
      </c>
      <c r="AP549" s="2">
        <v>7268648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4"/>
      <c r="AX549" t="s">
        <v>75</v>
      </c>
      <c r="AZ549" t="s">
        <v>1986</v>
      </c>
      <c r="BA549" t="s">
        <v>67</v>
      </c>
      <c r="BB549" t="s">
        <v>1987</v>
      </c>
      <c r="BC549" t="s">
        <v>1492</v>
      </c>
      <c r="BD549" t="s">
        <v>79</v>
      </c>
      <c r="BE549" t="s">
        <v>324</v>
      </c>
      <c r="BF549" s="5">
        <v>47058</v>
      </c>
      <c r="BH549">
        <v>2</v>
      </c>
      <c r="BI549" s="6">
        <v>2417800</v>
      </c>
      <c r="BJ549" s="6">
        <v>42</v>
      </c>
      <c r="BK549" s="6">
        <v>1015476</v>
      </c>
      <c r="BL549" s="6">
        <v>1402324</v>
      </c>
      <c r="BM549" s="2">
        <v>2804648</v>
      </c>
      <c r="BN549">
        <f>InvoiceTable[[#This Row],[Giảm giá]]*InvoiceTable[[#This Row],[Số lượng]]</f>
        <v>2030952</v>
      </c>
    </row>
    <row r="550" spans="1:66" x14ac:dyDescent="0.25">
      <c r="A550" t="s">
        <v>65</v>
      </c>
      <c r="B550" t="s">
        <v>1988</v>
      </c>
      <c r="F550" s="2"/>
      <c r="G550" s="3">
        <v>46010.676419525465</v>
      </c>
      <c r="H550" s="3">
        <v>46010.676419594907</v>
      </c>
      <c r="I550" s="4" t="s">
        <v>67</v>
      </c>
      <c r="J550" t="s">
        <v>67</v>
      </c>
      <c r="K550" t="s">
        <v>67</v>
      </c>
      <c r="L550" t="s">
        <v>1609</v>
      </c>
      <c r="M550" t="s">
        <v>1610</v>
      </c>
      <c r="N550" t="s">
        <v>67</v>
      </c>
      <c r="O550" t="s">
        <v>1611</v>
      </c>
      <c r="P550" t="s">
        <v>1612</v>
      </c>
      <c r="Q550" t="s">
        <v>67</v>
      </c>
      <c r="R550" t="s">
        <v>67</v>
      </c>
      <c r="S550" s="5"/>
      <c r="T550" t="s">
        <v>72</v>
      </c>
      <c r="U550" t="s">
        <v>87</v>
      </c>
      <c r="V550" t="s">
        <v>74</v>
      </c>
      <c r="W550" t="s">
        <v>87</v>
      </c>
      <c r="AE550" s="2"/>
      <c r="AF550" s="2"/>
      <c r="AG550" s="2"/>
      <c r="AH550" s="2"/>
      <c r="AL550" s="2">
        <v>891640</v>
      </c>
      <c r="AM550" s="2">
        <v>0</v>
      </c>
      <c r="AN550" s="2"/>
      <c r="AO550" s="2">
        <v>0</v>
      </c>
      <c r="AP550" s="2">
        <v>891640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4"/>
      <c r="AX550" t="s">
        <v>75</v>
      </c>
      <c r="AZ550" t="s">
        <v>1989</v>
      </c>
      <c r="BA550" t="s">
        <v>67</v>
      </c>
      <c r="BB550" t="s">
        <v>1990</v>
      </c>
      <c r="BC550" t="s">
        <v>1991</v>
      </c>
      <c r="BD550" t="s">
        <v>79</v>
      </c>
      <c r="BE550" t="s">
        <v>94</v>
      </c>
      <c r="BF550" s="5">
        <v>46692</v>
      </c>
      <c r="BH550">
        <v>2</v>
      </c>
      <c r="BI550" s="6">
        <v>84000</v>
      </c>
      <c r="BJ550" s="6">
        <v>37</v>
      </c>
      <c r="BK550" s="6">
        <v>31080</v>
      </c>
      <c r="BL550" s="6">
        <v>52920</v>
      </c>
      <c r="BM550" s="2">
        <v>105840</v>
      </c>
      <c r="BN550">
        <f>InvoiceTable[[#This Row],[Giảm giá]]*InvoiceTable[[#This Row],[Số lượng]]</f>
        <v>62160</v>
      </c>
    </row>
    <row r="551" spans="1:66" x14ac:dyDescent="0.25">
      <c r="A551" t="s">
        <v>65</v>
      </c>
      <c r="B551" t="s">
        <v>1988</v>
      </c>
      <c r="F551" s="2"/>
      <c r="G551" s="3">
        <v>46010.676419525465</v>
      </c>
      <c r="H551" s="3">
        <v>46010.676419594907</v>
      </c>
      <c r="I551" s="4" t="s">
        <v>67</v>
      </c>
      <c r="J551" t="s">
        <v>67</v>
      </c>
      <c r="K551" t="s">
        <v>67</v>
      </c>
      <c r="L551" t="s">
        <v>1609</v>
      </c>
      <c r="M551" t="s">
        <v>1610</v>
      </c>
      <c r="N551" t="s">
        <v>67</v>
      </c>
      <c r="O551" t="s">
        <v>1611</v>
      </c>
      <c r="P551" t="s">
        <v>1612</v>
      </c>
      <c r="Q551" t="s">
        <v>67</v>
      </c>
      <c r="R551" t="s">
        <v>67</v>
      </c>
      <c r="S551" s="5"/>
      <c r="T551" t="s">
        <v>72</v>
      </c>
      <c r="U551" t="s">
        <v>87</v>
      </c>
      <c r="V551" t="s">
        <v>74</v>
      </c>
      <c r="W551" t="s">
        <v>87</v>
      </c>
      <c r="AE551" s="2"/>
      <c r="AF551" s="2"/>
      <c r="AG551" s="2"/>
      <c r="AH551" s="2"/>
      <c r="AL551" s="2">
        <v>891640</v>
      </c>
      <c r="AM551" s="2">
        <v>0</v>
      </c>
      <c r="AN551" s="2"/>
      <c r="AO551" s="2">
        <v>0</v>
      </c>
      <c r="AP551" s="2">
        <v>891640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4"/>
      <c r="AX551" t="s">
        <v>75</v>
      </c>
      <c r="AZ551" t="s">
        <v>321</v>
      </c>
      <c r="BA551" t="s">
        <v>67</v>
      </c>
      <c r="BB551" t="s">
        <v>322</v>
      </c>
      <c r="BC551" t="s">
        <v>323</v>
      </c>
      <c r="BD551" t="s">
        <v>79</v>
      </c>
      <c r="BE551" t="s">
        <v>324</v>
      </c>
      <c r="BF551" s="5">
        <v>47058</v>
      </c>
      <c r="BH551">
        <v>10</v>
      </c>
      <c r="BI551" s="6">
        <v>25000</v>
      </c>
      <c r="BJ551" s="6">
        <v>0</v>
      </c>
      <c r="BK551" s="6">
        <v>14000</v>
      </c>
      <c r="BL551" s="6">
        <v>11000</v>
      </c>
      <c r="BM551" s="2">
        <v>110000</v>
      </c>
      <c r="BN551">
        <f>InvoiceTable[[#This Row],[Giảm giá]]*InvoiceTable[[#This Row],[Số lượng]]</f>
        <v>140000</v>
      </c>
    </row>
    <row r="552" spans="1:66" x14ac:dyDescent="0.25">
      <c r="A552" t="s">
        <v>65</v>
      </c>
      <c r="B552" t="s">
        <v>1988</v>
      </c>
      <c r="F552" s="2"/>
      <c r="G552" s="3">
        <v>46010.676419525465</v>
      </c>
      <c r="H552" s="3">
        <v>46010.676419594907</v>
      </c>
      <c r="I552" s="4" t="s">
        <v>67</v>
      </c>
      <c r="J552" t="s">
        <v>67</v>
      </c>
      <c r="K552" t="s">
        <v>67</v>
      </c>
      <c r="L552" t="s">
        <v>1609</v>
      </c>
      <c r="M552" t="s">
        <v>1610</v>
      </c>
      <c r="N552" t="s">
        <v>67</v>
      </c>
      <c r="O552" t="s">
        <v>1611</v>
      </c>
      <c r="P552" t="s">
        <v>1612</v>
      </c>
      <c r="Q552" t="s">
        <v>67</v>
      </c>
      <c r="R552" t="s">
        <v>67</v>
      </c>
      <c r="S552" s="5"/>
      <c r="T552" t="s">
        <v>72</v>
      </c>
      <c r="U552" t="s">
        <v>87</v>
      </c>
      <c r="V552" t="s">
        <v>74</v>
      </c>
      <c r="W552" t="s">
        <v>87</v>
      </c>
      <c r="AE552" s="2"/>
      <c r="AF552" s="2"/>
      <c r="AG552" s="2"/>
      <c r="AH552" s="2"/>
      <c r="AL552" s="2">
        <v>891640</v>
      </c>
      <c r="AM552" s="2">
        <v>0</v>
      </c>
      <c r="AN552" s="2"/>
      <c r="AO552" s="2">
        <v>0</v>
      </c>
      <c r="AP552" s="2">
        <v>891640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4"/>
      <c r="AX552" t="s">
        <v>75</v>
      </c>
      <c r="AZ552" t="s">
        <v>1712</v>
      </c>
      <c r="BA552" t="s">
        <v>67</v>
      </c>
      <c r="BB552" t="s">
        <v>1713</v>
      </c>
      <c r="BC552" t="s">
        <v>1714</v>
      </c>
      <c r="BD552" t="s">
        <v>79</v>
      </c>
      <c r="BE552" t="s">
        <v>317</v>
      </c>
      <c r="BF552" s="5">
        <v>46935</v>
      </c>
      <c r="BH552">
        <v>2</v>
      </c>
      <c r="BI552" s="6">
        <v>545000</v>
      </c>
      <c r="BJ552" s="6">
        <v>38</v>
      </c>
      <c r="BK552" s="6">
        <v>207100</v>
      </c>
      <c r="BL552" s="6">
        <v>337900</v>
      </c>
      <c r="BM552" s="2">
        <v>675800</v>
      </c>
      <c r="BN552">
        <f>InvoiceTable[[#This Row],[Giảm giá]]*InvoiceTable[[#This Row],[Số lượng]]</f>
        <v>414200</v>
      </c>
    </row>
    <row r="553" spans="1:66" x14ac:dyDescent="0.25">
      <c r="A553" t="s">
        <v>65</v>
      </c>
      <c r="B553" t="s">
        <v>1992</v>
      </c>
      <c r="F553" s="2"/>
      <c r="G553" s="3">
        <v>46010.675013506945</v>
      </c>
      <c r="H553" s="3">
        <v>46010.675002314812</v>
      </c>
      <c r="I553" s="4" t="s">
        <v>1941</v>
      </c>
      <c r="J553" t="s">
        <v>1993</v>
      </c>
      <c r="K553" t="s">
        <v>67</v>
      </c>
      <c r="L553" t="s">
        <v>1994</v>
      </c>
      <c r="M553" t="s">
        <v>1995</v>
      </c>
      <c r="N553" t="s">
        <v>67</v>
      </c>
      <c r="O553" t="s">
        <v>1996</v>
      </c>
      <c r="Q553" t="s">
        <v>67</v>
      </c>
      <c r="R553" t="s">
        <v>67</v>
      </c>
      <c r="S553" s="5"/>
      <c r="T553" t="s">
        <v>72</v>
      </c>
      <c r="U553" t="s">
        <v>1031</v>
      </c>
      <c r="V553" t="s">
        <v>74</v>
      </c>
      <c r="W553" t="s">
        <v>87</v>
      </c>
      <c r="AE553" s="2"/>
      <c r="AF553" s="2"/>
      <c r="AG553" s="2"/>
      <c r="AH553" s="2"/>
      <c r="AK553" t="s">
        <v>67</v>
      </c>
      <c r="AL553" s="2">
        <v>2700000</v>
      </c>
      <c r="AM553" s="2">
        <v>0</v>
      </c>
      <c r="AN553" s="2"/>
      <c r="AO553" s="2">
        <v>0</v>
      </c>
      <c r="AP553" s="2">
        <v>2700000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4"/>
      <c r="AX553" t="s">
        <v>75</v>
      </c>
      <c r="AZ553" t="s">
        <v>486</v>
      </c>
      <c r="BA553" t="s">
        <v>67</v>
      </c>
      <c r="BB553" t="s">
        <v>487</v>
      </c>
      <c r="BC553" t="s">
        <v>485</v>
      </c>
      <c r="BD553" t="s">
        <v>79</v>
      </c>
      <c r="BE553" t="s">
        <v>488</v>
      </c>
      <c r="BF553" s="5">
        <v>46647</v>
      </c>
      <c r="BG553" t="s">
        <v>67</v>
      </c>
      <c r="BH553">
        <v>1</v>
      </c>
      <c r="BI553" s="6">
        <v>1200000</v>
      </c>
      <c r="BJ553" s="6">
        <v>0</v>
      </c>
      <c r="BK553" s="6">
        <v>0</v>
      </c>
      <c r="BL553" s="6">
        <v>1200000</v>
      </c>
      <c r="BM553" s="2">
        <v>1200000</v>
      </c>
      <c r="BN553">
        <f>InvoiceTable[[#This Row],[Giảm giá]]*InvoiceTable[[#This Row],[Số lượng]]</f>
        <v>0</v>
      </c>
    </row>
    <row r="554" spans="1:66" x14ac:dyDescent="0.25">
      <c r="A554" t="s">
        <v>65</v>
      </c>
      <c r="B554" t="s">
        <v>1992</v>
      </c>
      <c r="F554" s="2"/>
      <c r="G554" s="3">
        <v>46010.675013506945</v>
      </c>
      <c r="H554" s="3">
        <v>46010.675002314812</v>
      </c>
      <c r="I554" s="4" t="s">
        <v>1941</v>
      </c>
      <c r="J554" t="s">
        <v>1993</v>
      </c>
      <c r="K554" t="s">
        <v>67</v>
      </c>
      <c r="L554" t="s">
        <v>1994</v>
      </c>
      <c r="M554" t="s">
        <v>1995</v>
      </c>
      <c r="N554" t="s">
        <v>67</v>
      </c>
      <c r="O554" t="s">
        <v>1996</v>
      </c>
      <c r="Q554" t="s">
        <v>67</v>
      </c>
      <c r="R554" t="s">
        <v>67</v>
      </c>
      <c r="S554" s="5"/>
      <c r="T554" t="s">
        <v>72</v>
      </c>
      <c r="U554" t="s">
        <v>1031</v>
      </c>
      <c r="V554" t="s">
        <v>74</v>
      </c>
      <c r="W554" t="s">
        <v>87</v>
      </c>
      <c r="AE554" s="2"/>
      <c r="AF554" s="2"/>
      <c r="AG554" s="2"/>
      <c r="AH554" s="2"/>
      <c r="AK554" t="s">
        <v>67</v>
      </c>
      <c r="AL554" s="2">
        <v>2700000</v>
      </c>
      <c r="AM554" s="2">
        <v>0</v>
      </c>
      <c r="AN554" s="2"/>
      <c r="AO554" s="2">
        <v>0</v>
      </c>
      <c r="AP554" s="2">
        <v>2700000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4"/>
      <c r="AX554" t="s">
        <v>75</v>
      </c>
      <c r="AZ554" t="s">
        <v>124</v>
      </c>
      <c r="BA554" t="s">
        <v>67</v>
      </c>
      <c r="BB554" t="s">
        <v>125</v>
      </c>
      <c r="BC554" t="s">
        <v>126</v>
      </c>
      <c r="BD554" t="s">
        <v>79</v>
      </c>
      <c r="BE554" t="s">
        <v>127</v>
      </c>
      <c r="BF554" s="5">
        <v>46683</v>
      </c>
      <c r="BG554" t="s">
        <v>67</v>
      </c>
      <c r="BH554">
        <v>1</v>
      </c>
      <c r="BI554" s="6">
        <v>1500000</v>
      </c>
      <c r="BJ554" s="6">
        <v>0</v>
      </c>
      <c r="BK554" s="6">
        <v>0</v>
      </c>
      <c r="BL554" s="6">
        <v>1500000</v>
      </c>
      <c r="BM554" s="2">
        <v>1500000</v>
      </c>
      <c r="BN554">
        <f>InvoiceTable[[#This Row],[Giảm giá]]*InvoiceTable[[#This Row],[Số lượng]]</f>
        <v>0</v>
      </c>
    </row>
    <row r="555" spans="1:66" x14ac:dyDescent="0.25">
      <c r="A555" t="s">
        <v>65</v>
      </c>
      <c r="B555" t="s">
        <v>1997</v>
      </c>
      <c r="F555" s="2"/>
      <c r="G555" s="3">
        <v>46010.641885648147</v>
      </c>
      <c r="H555" s="3">
        <v>46010.641885844911</v>
      </c>
      <c r="I555" s="4" t="s">
        <v>67</v>
      </c>
      <c r="J555" t="s">
        <v>67</v>
      </c>
      <c r="K555" t="s">
        <v>67</v>
      </c>
      <c r="L555" t="s">
        <v>1223</v>
      </c>
      <c r="M555" t="s">
        <v>1224</v>
      </c>
      <c r="N555" t="s">
        <v>1225</v>
      </c>
      <c r="O555" t="s">
        <v>1226</v>
      </c>
      <c r="P555" t="s">
        <v>1227</v>
      </c>
      <c r="S555" s="5"/>
      <c r="T555" t="s">
        <v>72</v>
      </c>
      <c r="U555" t="s">
        <v>102</v>
      </c>
      <c r="V555" t="s">
        <v>74</v>
      </c>
      <c r="W555" t="s">
        <v>87</v>
      </c>
      <c r="AE555" s="2"/>
      <c r="AF555" s="2"/>
      <c r="AG555" s="2"/>
      <c r="AH555" s="2"/>
      <c r="AK555" t="s">
        <v>1652</v>
      </c>
      <c r="AL555" s="2">
        <v>9161700</v>
      </c>
      <c r="AM555" s="2">
        <v>0</v>
      </c>
      <c r="AN555" s="2"/>
      <c r="AO555" s="2">
        <v>0</v>
      </c>
      <c r="AP555" s="2">
        <v>9161700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4"/>
      <c r="AX555" t="s">
        <v>75</v>
      </c>
      <c r="AZ555" t="s">
        <v>1970</v>
      </c>
      <c r="BA555" t="s">
        <v>67</v>
      </c>
      <c r="BB555" t="s">
        <v>1971</v>
      </c>
      <c r="BC555" t="s">
        <v>138</v>
      </c>
      <c r="BD555" t="s">
        <v>79</v>
      </c>
      <c r="BE555" t="s">
        <v>117</v>
      </c>
      <c r="BF555" s="5">
        <v>46569</v>
      </c>
      <c r="BH555">
        <v>2</v>
      </c>
      <c r="BI555" s="6">
        <v>1300000</v>
      </c>
      <c r="BJ555" s="6">
        <v>47</v>
      </c>
      <c r="BK555" s="6">
        <v>611000</v>
      </c>
      <c r="BL555" s="6">
        <v>689000</v>
      </c>
      <c r="BM555" s="2">
        <v>1378000</v>
      </c>
      <c r="BN555">
        <f>InvoiceTable[[#This Row],[Giảm giá]]*InvoiceTable[[#This Row],[Số lượng]]</f>
        <v>1222000</v>
      </c>
    </row>
    <row r="556" spans="1:66" x14ac:dyDescent="0.25">
      <c r="A556" t="s">
        <v>65</v>
      </c>
      <c r="B556" t="s">
        <v>1997</v>
      </c>
      <c r="F556" s="2"/>
      <c r="G556" s="3">
        <v>46010.641885648147</v>
      </c>
      <c r="H556" s="3">
        <v>46010.641885844911</v>
      </c>
      <c r="I556" s="4" t="s">
        <v>67</v>
      </c>
      <c r="J556" t="s">
        <v>67</v>
      </c>
      <c r="K556" t="s">
        <v>67</v>
      </c>
      <c r="L556" t="s">
        <v>1223</v>
      </c>
      <c r="M556" t="s">
        <v>1224</v>
      </c>
      <c r="N556" t="s">
        <v>1225</v>
      </c>
      <c r="O556" t="s">
        <v>1226</v>
      </c>
      <c r="P556" t="s">
        <v>1227</v>
      </c>
      <c r="S556" s="5"/>
      <c r="T556" t="s">
        <v>72</v>
      </c>
      <c r="U556" t="s">
        <v>102</v>
      </c>
      <c r="V556" t="s">
        <v>74</v>
      </c>
      <c r="W556" t="s">
        <v>87</v>
      </c>
      <c r="AE556" s="2"/>
      <c r="AF556" s="2"/>
      <c r="AG556" s="2"/>
      <c r="AH556" s="2"/>
      <c r="AK556" t="s">
        <v>1652</v>
      </c>
      <c r="AL556" s="2">
        <v>9161700</v>
      </c>
      <c r="AM556" s="2">
        <v>0</v>
      </c>
      <c r="AN556" s="2"/>
      <c r="AO556" s="2">
        <v>0</v>
      </c>
      <c r="AP556" s="2">
        <v>9161700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4"/>
      <c r="AX556" t="s">
        <v>75</v>
      </c>
      <c r="AZ556" t="s">
        <v>1197</v>
      </c>
      <c r="BA556" t="s">
        <v>67</v>
      </c>
      <c r="BB556" t="s">
        <v>1198</v>
      </c>
      <c r="BC556" t="s">
        <v>138</v>
      </c>
      <c r="BD556" t="s">
        <v>79</v>
      </c>
      <c r="BE556" t="s">
        <v>810</v>
      </c>
      <c r="BF556" s="5">
        <v>46539</v>
      </c>
      <c r="BG556" t="s">
        <v>67</v>
      </c>
      <c r="BH556">
        <v>2</v>
      </c>
      <c r="BI556" s="6">
        <v>1350000</v>
      </c>
      <c r="BJ556" s="6">
        <v>47</v>
      </c>
      <c r="BK556" s="6">
        <v>634500</v>
      </c>
      <c r="BL556" s="6">
        <v>715500</v>
      </c>
      <c r="BM556" s="2">
        <v>1431000</v>
      </c>
      <c r="BN556">
        <f>InvoiceTable[[#This Row],[Giảm giá]]*InvoiceTable[[#This Row],[Số lượng]]</f>
        <v>1269000</v>
      </c>
    </row>
    <row r="557" spans="1:66" x14ac:dyDescent="0.25">
      <c r="A557" t="s">
        <v>65</v>
      </c>
      <c r="B557" t="s">
        <v>1997</v>
      </c>
      <c r="F557" s="2"/>
      <c r="G557" s="3">
        <v>46010.641885648147</v>
      </c>
      <c r="H557" s="3">
        <v>46010.641885844911</v>
      </c>
      <c r="I557" s="4" t="s">
        <v>67</v>
      </c>
      <c r="J557" t="s">
        <v>67</v>
      </c>
      <c r="K557" t="s">
        <v>67</v>
      </c>
      <c r="L557" t="s">
        <v>1223</v>
      </c>
      <c r="M557" t="s">
        <v>1224</v>
      </c>
      <c r="N557" t="s">
        <v>1225</v>
      </c>
      <c r="O557" t="s">
        <v>1226</v>
      </c>
      <c r="P557" t="s">
        <v>1227</v>
      </c>
      <c r="S557" s="5"/>
      <c r="T557" t="s">
        <v>72</v>
      </c>
      <c r="U557" t="s">
        <v>102</v>
      </c>
      <c r="V557" t="s">
        <v>74</v>
      </c>
      <c r="W557" t="s">
        <v>87</v>
      </c>
      <c r="AE557" s="2"/>
      <c r="AF557" s="2"/>
      <c r="AG557" s="2"/>
      <c r="AH557" s="2"/>
      <c r="AK557" t="s">
        <v>1652</v>
      </c>
      <c r="AL557" s="2">
        <v>9161700</v>
      </c>
      <c r="AM557" s="2">
        <v>0</v>
      </c>
      <c r="AN557" s="2"/>
      <c r="AO557" s="2">
        <v>0</v>
      </c>
      <c r="AP557" s="2">
        <v>9161700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4"/>
      <c r="AX557" t="s">
        <v>75</v>
      </c>
      <c r="AZ557" t="s">
        <v>1215</v>
      </c>
      <c r="BA557" t="s">
        <v>67</v>
      </c>
      <c r="BB557" t="s">
        <v>1216</v>
      </c>
      <c r="BC557" t="s">
        <v>770</v>
      </c>
      <c r="BD557" t="s">
        <v>79</v>
      </c>
      <c r="BE557" t="s">
        <v>198</v>
      </c>
      <c r="BF557" s="5">
        <v>46753</v>
      </c>
      <c r="BH557">
        <v>3</v>
      </c>
      <c r="BI557" s="6">
        <v>250000</v>
      </c>
      <c r="BJ557" s="6">
        <v>43</v>
      </c>
      <c r="BK557" s="6">
        <v>107500</v>
      </c>
      <c r="BL557" s="6">
        <v>142500</v>
      </c>
      <c r="BM557" s="2">
        <v>427500</v>
      </c>
      <c r="BN557">
        <f>InvoiceTable[[#This Row],[Giảm giá]]*InvoiceTable[[#This Row],[Số lượng]]</f>
        <v>322500</v>
      </c>
    </row>
    <row r="558" spans="1:66" x14ac:dyDescent="0.25">
      <c r="A558" t="s">
        <v>65</v>
      </c>
      <c r="B558" t="s">
        <v>1997</v>
      </c>
      <c r="F558" s="2"/>
      <c r="G558" s="3">
        <v>46010.641885648147</v>
      </c>
      <c r="H558" s="3">
        <v>46010.641885844911</v>
      </c>
      <c r="I558" s="4" t="s">
        <v>67</v>
      </c>
      <c r="J558" t="s">
        <v>67</v>
      </c>
      <c r="K558" t="s">
        <v>67</v>
      </c>
      <c r="L558" t="s">
        <v>1223</v>
      </c>
      <c r="M558" t="s">
        <v>1224</v>
      </c>
      <c r="N558" t="s">
        <v>1225</v>
      </c>
      <c r="O558" t="s">
        <v>1226</v>
      </c>
      <c r="P558" t="s">
        <v>1227</v>
      </c>
      <c r="S558" s="5"/>
      <c r="T558" t="s">
        <v>72</v>
      </c>
      <c r="U558" t="s">
        <v>102</v>
      </c>
      <c r="V558" t="s">
        <v>74</v>
      </c>
      <c r="W558" t="s">
        <v>87</v>
      </c>
      <c r="AE558" s="2"/>
      <c r="AF558" s="2"/>
      <c r="AG558" s="2"/>
      <c r="AH558" s="2"/>
      <c r="AK558" t="s">
        <v>1652</v>
      </c>
      <c r="AL558" s="2">
        <v>9161700</v>
      </c>
      <c r="AM558" s="2">
        <v>0</v>
      </c>
      <c r="AN558" s="2"/>
      <c r="AO558" s="2">
        <v>0</v>
      </c>
      <c r="AP558" s="2">
        <v>9161700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4"/>
      <c r="AX558" t="s">
        <v>75</v>
      </c>
      <c r="AZ558" t="s">
        <v>1998</v>
      </c>
      <c r="BA558" t="s">
        <v>67</v>
      </c>
      <c r="BB558" t="s">
        <v>1999</v>
      </c>
      <c r="BC558" t="s">
        <v>78</v>
      </c>
      <c r="BD558" t="s">
        <v>79</v>
      </c>
      <c r="BE558" t="s">
        <v>273</v>
      </c>
      <c r="BF558" s="5">
        <v>46266</v>
      </c>
      <c r="BH558">
        <v>2</v>
      </c>
      <c r="BI558" s="6">
        <v>1550000</v>
      </c>
      <c r="BJ558" s="6">
        <v>47</v>
      </c>
      <c r="BK558" s="6">
        <v>728500</v>
      </c>
      <c r="BL558" s="6">
        <v>821500</v>
      </c>
      <c r="BM558" s="2">
        <v>1643000</v>
      </c>
      <c r="BN558">
        <f>InvoiceTable[[#This Row],[Giảm giá]]*InvoiceTable[[#This Row],[Số lượng]]</f>
        <v>1457000</v>
      </c>
    </row>
    <row r="559" spans="1:66" x14ac:dyDescent="0.25">
      <c r="A559" t="s">
        <v>65</v>
      </c>
      <c r="B559" t="s">
        <v>1997</v>
      </c>
      <c r="F559" s="2"/>
      <c r="G559" s="3">
        <v>46010.641885648147</v>
      </c>
      <c r="H559" s="3">
        <v>46010.641885844911</v>
      </c>
      <c r="I559" s="4" t="s">
        <v>67</v>
      </c>
      <c r="J559" t="s">
        <v>67</v>
      </c>
      <c r="K559" t="s">
        <v>67</v>
      </c>
      <c r="L559" t="s">
        <v>1223</v>
      </c>
      <c r="M559" t="s">
        <v>1224</v>
      </c>
      <c r="N559" t="s">
        <v>1225</v>
      </c>
      <c r="O559" t="s">
        <v>1226</v>
      </c>
      <c r="P559" t="s">
        <v>1227</v>
      </c>
      <c r="S559" s="5"/>
      <c r="T559" t="s">
        <v>72</v>
      </c>
      <c r="U559" t="s">
        <v>102</v>
      </c>
      <c r="V559" t="s">
        <v>74</v>
      </c>
      <c r="W559" t="s">
        <v>87</v>
      </c>
      <c r="AE559" s="2"/>
      <c r="AF559" s="2"/>
      <c r="AG559" s="2"/>
      <c r="AH559" s="2"/>
      <c r="AK559" t="s">
        <v>1652</v>
      </c>
      <c r="AL559" s="2">
        <v>9161700</v>
      </c>
      <c r="AM559" s="2">
        <v>0</v>
      </c>
      <c r="AN559" s="2"/>
      <c r="AO559" s="2">
        <v>0</v>
      </c>
      <c r="AP559" s="2">
        <v>9161700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4"/>
      <c r="AX559" t="s">
        <v>75</v>
      </c>
      <c r="AZ559" t="s">
        <v>2000</v>
      </c>
      <c r="BA559" t="s">
        <v>67</v>
      </c>
      <c r="BB559" t="s">
        <v>2001</v>
      </c>
      <c r="BC559" t="s">
        <v>138</v>
      </c>
      <c r="BD559" t="s">
        <v>79</v>
      </c>
      <c r="BE559" t="s">
        <v>434</v>
      </c>
      <c r="BF559" s="5">
        <v>46661</v>
      </c>
      <c r="BH559">
        <v>1</v>
      </c>
      <c r="BI559" s="6">
        <v>1250000</v>
      </c>
      <c r="BJ559" s="6">
        <v>47</v>
      </c>
      <c r="BK559" s="6">
        <v>587500</v>
      </c>
      <c r="BL559" s="6">
        <v>662500</v>
      </c>
      <c r="BM559" s="2">
        <v>662500</v>
      </c>
      <c r="BN559">
        <f>InvoiceTable[[#This Row],[Giảm giá]]*InvoiceTable[[#This Row],[Số lượng]]</f>
        <v>587500</v>
      </c>
    </row>
    <row r="560" spans="1:66" x14ac:dyDescent="0.25">
      <c r="A560" t="s">
        <v>65</v>
      </c>
      <c r="B560" t="s">
        <v>1997</v>
      </c>
      <c r="F560" s="2"/>
      <c r="G560" s="3">
        <v>46010.641885648147</v>
      </c>
      <c r="H560" s="3">
        <v>46010.641885844911</v>
      </c>
      <c r="I560" s="4" t="s">
        <v>67</v>
      </c>
      <c r="J560" t="s">
        <v>67</v>
      </c>
      <c r="K560" t="s">
        <v>67</v>
      </c>
      <c r="L560" t="s">
        <v>1223</v>
      </c>
      <c r="M560" t="s">
        <v>1224</v>
      </c>
      <c r="N560" t="s">
        <v>1225</v>
      </c>
      <c r="O560" t="s">
        <v>1226</v>
      </c>
      <c r="P560" t="s">
        <v>1227</v>
      </c>
      <c r="S560" s="5"/>
      <c r="T560" t="s">
        <v>72</v>
      </c>
      <c r="U560" t="s">
        <v>102</v>
      </c>
      <c r="V560" t="s">
        <v>74</v>
      </c>
      <c r="W560" t="s">
        <v>87</v>
      </c>
      <c r="AE560" s="2"/>
      <c r="AF560" s="2"/>
      <c r="AG560" s="2"/>
      <c r="AH560" s="2"/>
      <c r="AK560" t="s">
        <v>1652</v>
      </c>
      <c r="AL560" s="2">
        <v>9161700</v>
      </c>
      <c r="AM560" s="2">
        <v>0</v>
      </c>
      <c r="AN560" s="2"/>
      <c r="AO560" s="2">
        <v>0</v>
      </c>
      <c r="AP560" s="2">
        <v>9161700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4"/>
      <c r="AX560" t="s">
        <v>75</v>
      </c>
      <c r="AZ560" t="s">
        <v>2002</v>
      </c>
      <c r="BA560" t="s">
        <v>67</v>
      </c>
      <c r="BB560" t="s">
        <v>2003</v>
      </c>
      <c r="BC560" t="s">
        <v>2004</v>
      </c>
      <c r="BD560" t="s">
        <v>79</v>
      </c>
      <c r="BE560" t="s">
        <v>1974</v>
      </c>
      <c r="BF560" s="5">
        <v>47362</v>
      </c>
      <c r="BH560">
        <v>1</v>
      </c>
      <c r="BI560" s="6">
        <v>1890000</v>
      </c>
      <c r="BJ560" s="6">
        <v>42</v>
      </c>
      <c r="BK560" s="6">
        <v>793800</v>
      </c>
      <c r="BL560" s="6">
        <v>1096200</v>
      </c>
      <c r="BM560" s="2">
        <v>1096200</v>
      </c>
      <c r="BN560">
        <f>InvoiceTable[[#This Row],[Giảm giá]]*InvoiceTable[[#This Row],[Số lượng]]</f>
        <v>793800</v>
      </c>
    </row>
    <row r="561" spans="1:66" x14ac:dyDescent="0.25">
      <c r="A561" t="s">
        <v>65</v>
      </c>
      <c r="B561" t="s">
        <v>1997</v>
      </c>
      <c r="F561" s="2"/>
      <c r="G561" s="3">
        <v>46010.641885648147</v>
      </c>
      <c r="H561" s="3">
        <v>46010.641885844911</v>
      </c>
      <c r="I561" s="4" t="s">
        <v>67</v>
      </c>
      <c r="J561" t="s">
        <v>67</v>
      </c>
      <c r="K561" t="s">
        <v>67</v>
      </c>
      <c r="L561" t="s">
        <v>1223</v>
      </c>
      <c r="M561" t="s">
        <v>1224</v>
      </c>
      <c r="N561" t="s">
        <v>1225</v>
      </c>
      <c r="O561" t="s">
        <v>1226</v>
      </c>
      <c r="P561" t="s">
        <v>1227</v>
      </c>
      <c r="S561" s="5"/>
      <c r="T561" t="s">
        <v>72</v>
      </c>
      <c r="U561" t="s">
        <v>102</v>
      </c>
      <c r="V561" t="s">
        <v>74</v>
      </c>
      <c r="W561" t="s">
        <v>87</v>
      </c>
      <c r="AE561" s="2"/>
      <c r="AF561" s="2"/>
      <c r="AG561" s="2"/>
      <c r="AH561" s="2"/>
      <c r="AK561" t="s">
        <v>1652</v>
      </c>
      <c r="AL561" s="2">
        <v>9161700</v>
      </c>
      <c r="AM561" s="2">
        <v>0</v>
      </c>
      <c r="AN561" s="2"/>
      <c r="AO561" s="2">
        <v>0</v>
      </c>
      <c r="AP561" s="2">
        <v>9161700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4"/>
      <c r="AX561" t="s">
        <v>75</v>
      </c>
      <c r="AZ561" t="s">
        <v>2005</v>
      </c>
      <c r="BA561" t="s">
        <v>67</v>
      </c>
      <c r="BB561" t="s">
        <v>2006</v>
      </c>
      <c r="BC561" t="s">
        <v>204</v>
      </c>
      <c r="BD561" t="s">
        <v>79</v>
      </c>
      <c r="BE561" t="s">
        <v>506</v>
      </c>
      <c r="BF561" s="5">
        <v>47604</v>
      </c>
      <c r="BH561">
        <v>1</v>
      </c>
      <c r="BI561" s="6">
        <v>900000</v>
      </c>
      <c r="BJ561" s="6">
        <v>40</v>
      </c>
      <c r="BK561" s="6">
        <v>360000</v>
      </c>
      <c r="BL561" s="6">
        <v>540000</v>
      </c>
      <c r="BM561" s="2">
        <v>540000</v>
      </c>
      <c r="BN561">
        <f>InvoiceTable[[#This Row],[Giảm giá]]*InvoiceTable[[#This Row],[Số lượng]]</f>
        <v>360000</v>
      </c>
    </row>
    <row r="562" spans="1:66" x14ac:dyDescent="0.25">
      <c r="A562" t="s">
        <v>65</v>
      </c>
      <c r="B562" t="s">
        <v>1997</v>
      </c>
      <c r="F562" s="2"/>
      <c r="G562" s="3">
        <v>46010.641885648147</v>
      </c>
      <c r="H562" s="3">
        <v>46010.641885844911</v>
      </c>
      <c r="I562" s="4" t="s">
        <v>67</v>
      </c>
      <c r="J562" t="s">
        <v>67</v>
      </c>
      <c r="K562" t="s">
        <v>67</v>
      </c>
      <c r="L562" t="s">
        <v>1223</v>
      </c>
      <c r="M562" t="s">
        <v>1224</v>
      </c>
      <c r="N562" t="s">
        <v>1225</v>
      </c>
      <c r="O562" t="s">
        <v>1226</v>
      </c>
      <c r="P562" t="s">
        <v>1227</v>
      </c>
      <c r="S562" s="5"/>
      <c r="T562" t="s">
        <v>72</v>
      </c>
      <c r="U562" t="s">
        <v>102</v>
      </c>
      <c r="V562" t="s">
        <v>74</v>
      </c>
      <c r="W562" t="s">
        <v>87</v>
      </c>
      <c r="AE562" s="2"/>
      <c r="AF562" s="2"/>
      <c r="AG562" s="2"/>
      <c r="AH562" s="2"/>
      <c r="AK562" t="s">
        <v>1652</v>
      </c>
      <c r="AL562" s="2">
        <v>9161700</v>
      </c>
      <c r="AM562" s="2">
        <v>0</v>
      </c>
      <c r="AN562" s="2"/>
      <c r="AO562" s="2">
        <v>0</v>
      </c>
      <c r="AP562" s="2">
        <v>9161700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4"/>
      <c r="AX562" t="s">
        <v>75</v>
      </c>
      <c r="AZ562" t="s">
        <v>325</v>
      </c>
      <c r="BA562" t="s">
        <v>67</v>
      </c>
      <c r="BB562" t="s">
        <v>326</v>
      </c>
      <c r="BC562" t="s">
        <v>327</v>
      </c>
      <c r="BD562" t="s">
        <v>79</v>
      </c>
      <c r="BE562" t="s">
        <v>131</v>
      </c>
      <c r="BF562" s="5">
        <v>46874</v>
      </c>
      <c r="BH562">
        <v>10</v>
      </c>
      <c r="BI562" s="6">
        <v>120000</v>
      </c>
      <c r="BJ562" s="6">
        <v>0</v>
      </c>
      <c r="BK562" s="6">
        <v>58000</v>
      </c>
      <c r="BL562" s="6">
        <v>62000</v>
      </c>
      <c r="BM562" s="2">
        <v>620000</v>
      </c>
      <c r="BN562">
        <f>InvoiceTable[[#This Row],[Giảm giá]]*InvoiceTable[[#This Row],[Số lượng]]</f>
        <v>580000</v>
      </c>
    </row>
    <row r="563" spans="1:66" x14ac:dyDescent="0.25">
      <c r="A563" t="s">
        <v>65</v>
      </c>
      <c r="B563" t="s">
        <v>1997</v>
      </c>
      <c r="F563" s="2"/>
      <c r="G563" s="3">
        <v>46010.641885648147</v>
      </c>
      <c r="H563" s="3">
        <v>46010.641885844911</v>
      </c>
      <c r="I563" s="4" t="s">
        <v>67</v>
      </c>
      <c r="J563" t="s">
        <v>67</v>
      </c>
      <c r="K563" t="s">
        <v>67</v>
      </c>
      <c r="L563" t="s">
        <v>1223</v>
      </c>
      <c r="M563" t="s">
        <v>1224</v>
      </c>
      <c r="N563" t="s">
        <v>1225</v>
      </c>
      <c r="O563" t="s">
        <v>1226</v>
      </c>
      <c r="P563" t="s">
        <v>1227</v>
      </c>
      <c r="S563" s="5"/>
      <c r="T563" t="s">
        <v>72</v>
      </c>
      <c r="U563" t="s">
        <v>102</v>
      </c>
      <c r="V563" t="s">
        <v>74</v>
      </c>
      <c r="W563" t="s">
        <v>87</v>
      </c>
      <c r="AE563" s="2"/>
      <c r="AF563" s="2"/>
      <c r="AG563" s="2"/>
      <c r="AH563" s="2"/>
      <c r="AK563" t="s">
        <v>1652</v>
      </c>
      <c r="AL563" s="2">
        <v>9161700</v>
      </c>
      <c r="AM563" s="2">
        <v>0</v>
      </c>
      <c r="AN563" s="2"/>
      <c r="AO563" s="2">
        <v>0</v>
      </c>
      <c r="AP563" s="2">
        <v>9161700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4"/>
      <c r="AX563" t="s">
        <v>75</v>
      </c>
      <c r="AZ563" t="s">
        <v>321</v>
      </c>
      <c r="BA563" t="s">
        <v>67</v>
      </c>
      <c r="BB563" t="s">
        <v>322</v>
      </c>
      <c r="BC563" t="s">
        <v>323</v>
      </c>
      <c r="BD563" t="s">
        <v>79</v>
      </c>
      <c r="BE563" t="s">
        <v>324</v>
      </c>
      <c r="BF563" s="5">
        <v>47058</v>
      </c>
      <c r="BH563">
        <v>30</v>
      </c>
      <c r="BI563" s="6">
        <v>25000</v>
      </c>
      <c r="BJ563" s="6">
        <v>0</v>
      </c>
      <c r="BK563" s="6">
        <v>14000</v>
      </c>
      <c r="BL563" s="6">
        <v>11000</v>
      </c>
      <c r="BM563" s="2">
        <v>330000</v>
      </c>
      <c r="BN563">
        <f>InvoiceTable[[#This Row],[Giảm giá]]*InvoiceTable[[#This Row],[Số lượng]]</f>
        <v>420000</v>
      </c>
    </row>
    <row r="564" spans="1:66" x14ac:dyDescent="0.25">
      <c r="A564" t="s">
        <v>65</v>
      </c>
      <c r="B564" t="s">
        <v>1997</v>
      </c>
      <c r="F564" s="2"/>
      <c r="G564" s="3">
        <v>46010.641885648147</v>
      </c>
      <c r="H564" s="3">
        <v>46010.641885844911</v>
      </c>
      <c r="I564" s="4" t="s">
        <v>67</v>
      </c>
      <c r="J564" t="s">
        <v>67</v>
      </c>
      <c r="K564" t="s">
        <v>67</v>
      </c>
      <c r="L564" t="s">
        <v>1223</v>
      </c>
      <c r="M564" t="s">
        <v>1224</v>
      </c>
      <c r="N564" t="s">
        <v>1225</v>
      </c>
      <c r="O564" t="s">
        <v>1226</v>
      </c>
      <c r="P564" t="s">
        <v>1227</v>
      </c>
      <c r="S564" s="5"/>
      <c r="T564" t="s">
        <v>72</v>
      </c>
      <c r="U564" t="s">
        <v>102</v>
      </c>
      <c r="V564" t="s">
        <v>74</v>
      </c>
      <c r="W564" t="s">
        <v>87</v>
      </c>
      <c r="AE564" s="2"/>
      <c r="AF564" s="2"/>
      <c r="AG564" s="2"/>
      <c r="AH564" s="2"/>
      <c r="AK564" t="s">
        <v>1652</v>
      </c>
      <c r="AL564" s="2">
        <v>9161700</v>
      </c>
      <c r="AM564" s="2">
        <v>0</v>
      </c>
      <c r="AN564" s="2"/>
      <c r="AO564" s="2">
        <v>0</v>
      </c>
      <c r="AP564" s="2">
        <v>9161700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4"/>
      <c r="AX564" t="s">
        <v>75</v>
      </c>
      <c r="AZ564" t="s">
        <v>2007</v>
      </c>
      <c r="BB564" t="s">
        <v>2008</v>
      </c>
      <c r="BC564" t="s">
        <v>2009</v>
      </c>
      <c r="BD564" t="s">
        <v>79</v>
      </c>
      <c r="BE564" t="s">
        <v>2010</v>
      </c>
      <c r="BF564" s="5">
        <v>46692</v>
      </c>
      <c r="BG564" t="s">
        <v>67</v>
      </c>
      <c r="BH564">
        <v>1</v>
      </c>
      <c r="BI564" s="6">
        <v>1950000</v>
      </c>
      <c r="BJ564" s="6">
        <v>47</v>
      </c>
      <c r="BK564" s="6">
        <v>916500</v>
      </c>
      <c r="BL564" s="6">
        <v>1033500</v>
      </c>
      <c r="BM564" s="2">
        <v>1033500</v>
      </c>
      <c r="BN564">
        <f>InvoiceTable[[#This Row],[Giảm giá]]*InvoiceTable[[#This Row],[Số lượng]]</f>
        <v>916500</v>
      </c>
    </row>
    <row r="565" spans="1:66" x14ac:dyDescent="0.25">
      <c r="A565" t="s">
        <v>65</v>
      </c>
      <c r="B565" t="s">
        <v>2011</v>
      </c>
      <c r="F565" s="2"/>
      <c r="G565" s="3">
        <v>46010.605404479167</v>
      </c>
      <c r="H565" s="3">
        <v>46010.605404594906</v>
      </c>
      <c r="I565" s="4" t="s">
        <v>67</v>
      </c>
      <c r="J565" t="s">
        <v>2012</v>
      </c>
      <c r="K565" t="s">
        <v>67</v>
      </c>
      <c r="L565" t="s">
        <v>2013</v>
      </c>
      <c r="M565" t="s">
        <v>2014</v>
      </c>
      <c r="N565" t="s">
        <v>67</v>
      </c>
      <c r="O565" t="s">
        <v>2015</v>
      </c>
      <c r="P565" t="s">
        <v>2016</v>
      </c>
      <c r="Q565" t="s">
        <v>67</v>
      </c>
      <c r="R565" t="s">
        <v>67</v>
      </c>
      <c r="S565" s="5"/>
      <c r="T565" t="s">
        <v>72</v>
      </c>
      <c r="U565" t="s">
        <v>102</v>
      </c>
      <c r="V565" t="s">
        <v>74</v>
      </c>
      <c r="W565" t="s">
        <v>87</v>
      </c>
      <c r="AE565" s="2"/>
      <c r="AF565" s="2"/>
      <c r="AG565" s="2"/>
      <c r="AH565" s="2"/>
      <c r="AK565" t="s">
        <v>1652</v>
      </c>
      <c r="AL565" s="2">
        <v>3120000</v>
      </c>
      <c r="AM565" s="2">
        <v>0</v>
      </c>
      <c r="AN565" s="2"/>
      <c r="AO565" s="2">
        <v>0</v>
      </c>
      <c r="AP565" s="2">
        <v>3120000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4"/>
      <c r="AX565" t="s">
        <v>75</v>
      </c>
      <c r="AZ565" t="s">
        <v>2017</v>
      </c>
      <c r="BA565" t="s">
        <v>67</v>
      </c>
      <c r="BB565" t="s">
        <v>2018</v>
      </c>
      <c r="BC565" t="s">
        <v>223</v>
      </c>
      <c r="BD565" t="s">
        <v>79</v>
      </c>
      <c r="BE565" t="s">
        <v>177</v>
      </c>
      <c r="BF565" s="5">
        <v>47027</v>
      </c>
      <c r="BG565" t="s">
        <v>67</v>
      </c>
      <c r="BH565">
        <v>1</v>
      </c>
      <c r="BI565" s="6">
        <v>1900000</v>
      </c>
      <c r="BJ565" s="6">
        <v>48</v>
      </c>
      <c r="BK565" s="6">
        <v>912000</v>
      </c>
      <c r="BL565" s="6">
        <v>988000</v>
      </c>
      <c r="BM565" s="2">
        <v>988000</v>
      </c>
      <c r="BN565">
        <f>InvoiceTable[[#This Row],[Giảm giá]]*InvoiceTable[[#This Row],[Số lượng]]</f>
        <v>912000</v>
      </c>
    </row>
    <row r="566" spans="1:66" x14ac:dyDescent="0.25">
      <c r="A566" t="s">
        <v>65</v>
      </c>
      <c r="B566" t="s">
        <v>2011</v>
      </c>
      <c r="F566" s="2"/>
      <c r="G566" s="3">
        <v>46010.605404479167</v>
      </c>
      <c r="H566" s="3">
        <v>46010.605404594906</v>
      </c>
      <c r="I566" s="4" t="s">
        <v>67</v>
      </c>
      <c r="J566" t="s">
        <v>2012</v>
      </c>
      <c r="K566" t="s">
        <v>67</v>
      </c>
      <c r="L566" t="s">
        <v>2013</v>
      </c>
      <c r="M566" t="s">
        <v>2014</v>
      </c>
      <c r="N566" t="s">
        <v>67</v>
      </c>
      <c r="O566" t="s">
        <v>2015</v>
      </c>
      <c r="P566" t="s">
        <v>2016</v>
      </c>
      <c r="Q566" t="s">
        <v>67</v>
      </c>
      <c r="R566" t="s">
        <v>67</v>
      </c>
      <c r="S566" s="5"/>
      <c r="T566" t="s">
        <v>72</v>
      </c>
      <c r="U566" t="s">
        <v>102</v>
      </c>
      <c r="V566" t="s">
        <v>74</v>
      </c>
      <c r="W566" t="s">
        <v>87</v>
      </c>
      <c r="AE566" s="2"/>
      <c r="AF566" s="2"/>
      <c r="AG566" s="2"/>
      <c r="AH566" s="2"/>
      <c r="AK566" t="s">
        <v>1652</v>
      </c>
      <c r="AL566" s="2">
        <v>3120000</v>
      </c>
      <c r="AM566" s="2">
        <v>0</v>
      </c>
      <c r="AN566" s="2"/>
      <c r="AO566" s="2">
        <v>0</v>
      </c>
      <c r="AP566" s="2">
        <v>3120000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4"/>
      <c r="AX566" t="s">
        <v>75</v>
      </c>
      <c r="AZ566" t="s">
        <v>221</v>
      </c>
      <c r="BA566" t="s">
        <v>67</v>
      </c>
      <c r="BB566" t="s">
        <v>222</v>
      </c>
      <c r="BC566" t="s">
        <v>223</v>
      </c>
      <c r="BD566" t="s">
        <v>79</v>
      </c>
      <c r="BE566" t="s">
        <v>188</v>
      </c>
      <c r="BF566" s="5">
        <v>46905</v>
      </c>
      <c r="BG566" t="s">
        <v>67</v>
      </c>
      <c r="BH566">
        <v>2</v>
      </c>
      <c r="BI566" s="6">
        <v>2050000</v>
      </c>
      <c r="BJ566" s="6">
        <v>48</v>
      </c>
      <c r="BK566" s="6">
        <v>984000</v>
      </c>
      <c r="BL566" s="6">
        <v>1066000</v>
      </c>
      <c r="BM566" s="2">
        <v>2132000</v>
      </c>
      <c r="BN566">
        <f>InvoiceTable[[#This Row],[Giảm giá]]*InvoiceTable[[#This Row],[Số lượng]]</f>
        <v>1968000</v>
      </c>
    </row>
    <row r="567" spans="1:66" x14ac:dyDescent="0.25">
      <c r="A567" t="s">
        <v>65</v>
      </c>
      <c r="B567" t="s">
        <v>2019</v>
      </c>
      <c r="F567" s="2"/>
      <c r="G567" s="3">
        <v>46010.601964895832</v>
      </c>
      <c r="H567" s="3">
        <v>46010.601965011578</v>
      </c>
      <c r="I567" s="4" t="s">
        <v>67</v>
      </c>
      <c r="J567" t="s">
        <v>2020</v>
      </c>
      <c r="K567" t="s">
        <v>67</v>
      </c>
      <c r="L567" t="s">
        <v>1573</v>
      </c>
      <c r="M567" t="s">
        <v>1574</v>
      </c>
      <c r="N567" t="s">
        <v>1575</v>
      </c>
      <c r="O567" t="s">
        <v>1576</v>
      </c>
      <c r="P567" t="s">
        <v>1577</v>
      </c>
      <c r="S567" s="5"/>
      <c r="T567" t="s">
        <v>72</v>
      </c>
      <c r="U567" t="s">
        <v>102</v>
      </c>
      <c r="V567" t="s">
        <v>74</v>
      </c>
      <c r="W567" t="s">
        <v>87</v>
      </c>
      <c r="AE567" s="2"/>
      <c r="AF567" s="2"/>
      <c r="AG567" s="2"/>
      <c r="AH567" s="2"/>
      <c r="AK567" t="s">
        <v>275</v>
      </c>
      <c r="AL567" s="2">
        <v>8605000</v>
      </c>
      <c r="AM567" s="2">
        <v>0</v>
      </c>
      <c r="AN567" s="2"/>
      <c r="AO567" s="2">
        <v>0</v>
      </c>
      <c r="AP567" s="2">
        <v>8605000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4"/>
      <c r="AX567" t="s">
        <v>75</v>
      </c>
      <c r="AZ567" t="s">
        <v>2021</v>
      </c>
      <c r="BA567" t="s">
        <v>67</v>
      </c>
      <c r="BB567" t="s">
        <v>2022</v>
      </c>
      <c r="BC567" t="s">
        <v>2023</v>
      </c>
      <c r="BD567" t="s">
        <v>79</v>
      </c>
      <c r="BE567" t="s">
        <v>117</v>
      </c>
      <c r="BF567" s="5">
        <v>46569</v>
      </c>
      <c r="BG567" t="s">
        <v>67</v>
      </c>
      <c r="BH567">
        <v>5</v>
      </c>
      <c r="BI567" s="6">
        <v>1100000</v>
      </c>
      <c r="BJ567" s="6">
        <v>45</v>
      </c>
      <c r="BK567" s="6">
        <v>495000</v>
      </c>
      <c r="BL567" s="6">
        <v>605000</v>
      </c>
      <c r="BM567" s="2">
        <v>3025000</v>
      </c>
      <c r="BN567">
        <f>InvoiceTable[[#This Row],[Giảm giá]]*InvoiceTable[[#This Row],[Số lượng]]</f>
        <v>2475000</v>
      </c>
    </row>
    <row r="568" spans="1:66" x14ac:dyDescent="0.25">
      <c r="A568" t="s">
        <v>65</v>
      </c>
      <c r="B568" t="s">
        <v>2019</v>
      </c>
      <c r="F568" s="2"/>
      <c r="G568" s="3">
        <v>46010.601964895832</v>
      </c>
      <c r="H568" s="3">
        <v>46010.601965011578</v>
      </c>
      <c r="I568" s="4" t="s">
        <v>67</v>
      </c>
      <c r="J568" t="s">
        <v>2020</v>
      </c>
      <c r="K568" t="s">
        <v>67</v>
      </c>
      <c r="L568" t="s">
        <v>1573</v>
      </c>
      <c r="M568" t="s">
        <v>1574</v>
      </c>
      <c r="N568" t="s">
        <v>1575</v>
      </c>
      <c r="O568" t="s">
        <v>1576</v>
      </c>
      <c r="P568" t="s">
        <v>1577</v>
      </c>
      <c r="S568" s="5"/>
      <c r="T568" t="s">
        <v>72</v>
      </c>
      <c r="U568" t="s">
        <v>102</v>
      </c>
      <c r="V568" t="s">
        <v>74</v>
      </c>
      <c r="W568" t="s">
        <v>87</v>
      </c>
      <c r="AE568" s="2"/>
      <c r="AF568" s="2"/>
      <c r="AG568" s="2"/>
      <c r="AH568" s="2"/>
      <c r="AK568" t="s">
        <v>275</v>
      </c>
      <c r="AL568" s="2">
        <v>8605000</v>
      </c>
      <c r="AM568" s="2">
        <v>0</v>
      </c>
      <c r="AN568" s="2"/>
      <c r="AO568" s="2">
        <v>0</v>
      </c>
      <c r="AP568" s="2">
        <v>8605000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4"/>
      <c r="AX568" t="s">
        <v>75</v>
      </c>
      <c r="AZ568" t="s">
        <v>2024</v>
      </c>
      <c r="BA568" t="s">
        <v>67</v>
      </c>
      <c r="BB568" t="s">
        <v>2025</v>
      </c>
      <c r="BC568" t="s">
        <v>1991</v>
      </c>
      <c r="BD568" t="s">
        <v>79</v>
      </c>
      <c r="BE568" t="s">
        <v>142</v>
      </c>
      <c r="BF568" s="5">
        <v>46844</v>
      </c>
      <c r="BG568" t="s">
        <v>67</v>
      </c>
      <c r="BH568">
        <v>5</v>
      </c>
      <c r="BI568" s="6">
        <v>1800000</v>
      </c>
      <c r="BJ568" s="6">
        <v>38</v>
      </c>
      <c r="BK568" s="6">
        <v>684000</v>
      </c>
      <c r="BL568" s="6">
        <v>1116000</v>
      </c>
      <c r="BM568" s="2">
        <v>5580000</v>
      </c>
      <c r="BN568">
        <f>InvoiceTable[[#This Row],[Giảm giá]]*InvoiceTable[[#This Row],[Số lượng]]</f>
        <v>3420000</v>
      </c>
    </row>
    <row r="569" spans="1:66" x14ac:dyDescent="0.25">
      <c r="A569" t="s">
        <v>65</v>
      </c>
      <c r="B569" t="s">
        <v>2026</v>
      </c>
      <c r="F569" s="2"/>
      <c r="G569" s="3">
        <v>46010.601376736115</v>
      </c>
      <c r="H569" s="3">
        <v>46010.601376817132</v>
      </c>
      <c r="I569" s="4" t="s">
        <v>67</v>
      </c>
      <c r="J569" t="s">
        <v>2027</v>
      </c>
      <c r="K569" t="s">
        <v>67</v>
      </c>
      <c r="L569" t="s">
        <v>398</v>
      </c>
      <c r="M569" t="s">
        <v>399</v>
      </c>
      <c r="N569" t="s">
        <v>400</v>
      </c>
      <c r="O569" t="s">
        <v>401</v>
      </c>
      <c r="P569" t="s">
        <v>402</v>
      </c>
      <c r="S569" s="5"/>
      <c r="T569" t="s">
        <v>72</v>
      </c>
      <c r="U569" t="s">
        <v>102</v>
      </c>
      <c r="V569" t="s">
        <v>74</v>
      </c>
      <c r="W569" t="s">
        <v>87</v>
      </c>
      <c r="AE569" s="2"/>
      <c r="AF569" s="2"/>
      <c r="AG569" s="2"/>
      <c r="AH569" s="2"/>
      <c r="AK569" t="s">
        <v>151</v>
      </c>
      <c r="AL569" s="2">
        <v>550000</v>
      </c>
      <c r="AM569" s="2">
        <v>0</v>
      </c>
      <c r="AN569" s="2"/>
      <c r="AO569" s="2">
        <v>0</v>
      </c>
      <c r="AP569" s="2">
        <v>550000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4"/>
      <c r="AX569" t="s">
        <v>75</v>
      </c>
      <c r="AZ569" t="s">
        <v>321</v>
      </c>
      <c r="BA569" t="s">
        <v>67</v>
      </c>
      <c r="BB569" t="s">
        <v>322</v>
      </c>
      <c r="BC569" t="s">
        <v>323</v>
      </c>
      <c r="BD569" t="s">
        <v>79</v>
      </c>
      <c r="BE569" t="s">
        <v>324</v>
      </c>
      <c r="BF569" s="5">
        <v>47058</v>
      </c>
      <c r="BG569" t="s">
        <v>67</v>
      </c>
      <c r="BH569">
        <v>50</v>
      </c>
      <c r="BI569" s="6">
        <v>25000</v>
      </c>
      <c r="BJ569" s="6">
        <v>0</v>
      </c>
      <c r="BK569" s="6">
        <v>14000</v>
      </c>
      <c r="BL569" s="6">
        <v>11000</v>
      </c>
      <c r="BM569" s="2">
        <v>550000</v>
      </c>
      <c r="BN569">
        <f>InvoiceTable[[#This Row],[Giảm giá]]*InvoiceTable[[#This Row],[Số lượng]]</f>
        <v>700000</v>
      </c>
    </row>
    <row r="570" spans="1:66" x14ac:dyDescent="0.25">
      <c r="A570" t="s">
        <v>65</v>
      </c>
      <c r="B570" t="s">
        <v>2028</v>
      </c>
      <c r="F570" s="2"/>
      <c r="G570" s="3">
        <v>46010.599194479168</v>
      </c>
      <c r="H570" s="3">
        <v>46010.59912515046</v>
      </c>
      <c r="I570" s="4" t="s">
        <v>686</v>
      </c>
      <c r="J570" t="s">
        <v>2029</v>
      </c>
      <c r="K570" t="s">
        <v>67</v>
      </c>
      <c r="L570" t="s">
        <v>1573</v>
      </c>
      <c r="M570" t="s">
        <v>1574</v>
      </c>
      <c r="N570" t="s">
        <v>1575</v>
      </c>
      <c r="O570" t="s">
        <v>1576</v>
      </c>
      <c r="P570" t="s">
        <v>1577</v>
      </c>
      <c r="S570" s="5"/>
      <c r="T570" t="s">
        <v>72</v>
      </c>
      <c r="U570" t="s">
        <v>102</v>
      </c>
      <c r="V570" t="s">
        <v>74</v>
      </c>
      <c r="W570" t="s">
        <v>87</v>
      </c>
      <c r="AE570" s="2"/>
      <c r="AF570" s="2"/>
      <c r="AG570" s="2"/>
      <c r="AH570" s="2"/>
      <c r="AK570" t="s">
        <v>151</v>
      </c>
      <c r="AL570" s="2">
        <v>850000</v>
      </c>
      <c r="AM570" s="2">
        <v>0</v>
      </c>
      <c r="AN570" s="2"/>
      <c r="AO570" s="2">
        <v>0</v>
      </c>
      <c r="AP570" s="2">
        <v>850000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4"/>
      <c r="AX570" t="s">
        <v>75</v>
      </c>
      <c r="AZ570" t="s">
        <v>370</v>
      </c>
      <c r="BA570" t="s">
        <v>67</v>
      </c>
      <c r="BB570" t="s">
        <v>371</v>
      </c>
      <c r="BC570" t="s">
        <v>372</v>
      </c>
      <c r="BD570" t="s">
        <v>79</v>
      </c>
      <c r="BE570" t="s">
        <v>168</v>
      </c>
      <c r="BF570" s="5">
        <v>46388</v>
      </c>
      <c r="BG570" t="s">
        <v>67</v>
      </c>
      <c r="BH570">
        <v>50</v>
      </c>
      <c r="BI570" s="6">
        <v>30000</v>
      </c>
      <c r="BJ570" s="6">
        <v>0</v>
      </c>
      <c r="BK570" s="6">
        <v>13000</v>
      </c>
      <c r="BL570" s="6">
        <v>17000</v>
      </c>
      <c r="BM570" s="2">
        <v>850000</v>
      </c>
      <c r="BN570">
        <f>InvoiceTable[[#This Row],[Giảm giá]]*InvoiceTable[[#This Row],[Số lượng]]</f>
        <v>650000</v>
      </c>
    </row>
    <row r="571" spans="1:66" x14ac:dyDescent="0.25">
      <c r="A571" t="s">
        <v>65</v>
      </c>
      <c r="B571" t="s">
        <v>2030</v>
      </c>
      <c r="F571" s="2"/>
      <c r="G571" s="3">
        <v>46010.598970289349</v>
      </c>
      <c r="H571" s="3">
        <v>46010.598924155092</v>
      </c>
      <c r="I571" s="4" t="s">
        <v>1449</v>
      </c>
      <c r="J571" t="s">
        <v>2031</v>
      </c>
      <c r="K571" t="s">
        <v>67</v>
      </c>
      <c r="L571" t="s">
        <v>2013</v>
      </c>
      <c r="M571" t="s">
        <v>2014</v>
      </c>
      <c r="N571" t="s">
        <v>67</v>
      </c>
      <c r="O571" t="s">
        <v>2015</v>
      </c>
      <c r="P571" t="s">
        <v>2016</v>
      </c>
      <c r="Q571" t="s">
        <v>67</v>
      </c>
      <c r="R571" t="s">
        <v>67</v>
      </c>
      <c r="S571" s="5"/>
      <c r="T571" t="s">
        <v>72</v>
      </c>
      <c r="U571" t="s">
        <v>102</v>
      </c>
      <c r="V571" t="s">
        <v>74</v>
      </c>
      <c r="W571" t="s">
        <v>87</v>
      </c>
      <c r="AE571" s="2"/>
      <c r="AF571" s="2"/>
      <c r="AG571" s="2"/>
      <c r="AH571" s="2"/>
      <c r="AK571" t="s">
        <v>1652</v>
      </c>
      <c r="AL571" s="2">
        <v>1094400</v>
      </c>
      <c r="AM571" s="2">
        <v>0</v>
      </c>
      <c r="AN571" s="2"/>
      <c r="AO571" s="2">
        <v>0</v>
      </c>
      <c r="AP571" s="2">
        <v>1094400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4"/>
      <c r="AX571" t="s">
        <v>75</v>
      </c>
      <c r="AZ571" t="s">
        <v>286</v>
      </c>
      <c r="BA571" t="s">
        <v>67</v>
      </c>
      <c r="BB571" t="s">
        <v>287</v>
      </c>
      <c r="BC571" t="s">
        <v>285</v>
      </c>
      <c r="BD571" t="s">
        <v>79</v>
      </c>
      <c r="BE571" t="s">
        <v>288</v>
      </c>
      <c r="BF571" s="5">
        <v>46588</v>
      </c>
      <c r="BG571" t="s">
        <v>67</v>
      </c>
      <c r="BH571">
        <v>2</v>
      </c>
      <c r="BI571" s="6">
        <v>960000</v>
      </c>
      <c r="BJ571" s="6">
        <v>43</v>
      </c>
      <c r="BK571" s="6">
        <v>412800</v>
      </c>
      <c r="BL571" s="6">
        <v>547200</v>
      </c>
      <c r="BM571" s="2">
        <v>1094400</v>
      </c>
      <c r="BN571">
        <f>InvoiceTable[[#This Row],[Giảm giá]]*InvoiceTable[[#This Row],[Số lượng]]</f>
        <v>825600</v>
      </c>
    </row>
    <row r="572" spans="1:66" x14ac:dyDescent="0.25">
      <c r="A572" t="s">
        <v>65</v>
      </c>
      <c r="B572" t="s">
        <v>2032</v>
      </c>
      <c r="F572" s="2"/>
      <c r="G572" s="3">
        <v>46010.584269178238</v>
      </c>
      <c r="H572" s="3">
        <v>46010.584211458336</v>
      </c>
      <c r="I572" s="4" t="s">
        <v>844</v>
      </c>
      <c r="J572" t="s">
        <v>67</v>
      </c>
      <c r="K572" t="s">
        <v>67</v>
      </c>
      <c r="L572" t="s">
        <v>2033</v>
      </c>
      <c r="M572" t="s">
        <v>2034</v>
      </c>
      <c r="N572" t="s">
        <v>67</v>
      </c>
      <c r="O572" t="s">
        <v>2035</v>
      </c>
      <c r="P572" t="s">
        <v>2036</v>
      </c>
      <c r="S572" s="5"/>
      <c r="T572" t="s">
        <v>72</v>
      </c>
      <c r="U572" t="s">
        <v>87</v>
      </c>
      <c r="V572" t="s">
        <v>74</v>
      </c>
      <c r="W572" t="s">
        <v>87</v>
      </c>
      <c r="AE572" s="2"/>
      <c r="AF572" s="2"/>
      <c r="AG572" s="2"/>
      <c r="AH572" s="2"/>
      <c r="AL572" s="2">
        <v>155000</v>
      </c>
      <c r="AM572" s="2">
        <v>0</v>
      </c>
      <c r="AN572" s="2"/>
      <c r="AO572" s="2">
        <v>0</v>
      </c>
      <c r="AP572" s="2">
        <v>155000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4"/>
      <c r="AX572" t="s">
        <v>75</v>
      </c>
      <c r="AZ572" t="s">
        <v>291</v>
      </c>
      <c r="BA572" t="s">
        <v>67</v>
      </c>
      <c r="BB572" t="s">
        <v>292</v>
      </c>
      <c r="BC572" t="s">
        <v>126</v>
      </c>
      <c r="BD572" t="s">
        <v>79</v>
      </c>
      <c r="BE572" t="s">
        <v>293</v>
      </c>
      <c r="BF572" s="5">
        <v>46722</v>
      </c>
      <c r="BG572" t="s">
        <v>67</v>
      </c>
      <c r="BH572">
        <v>1</v>
      </c>
      <c r="BI572" s="6">
        <v>250000</v>
      </c>
      <c r="BJ572" s="6">
        <v>0</v>
      </c>
      <c r="BK572" s="6">
        <v>175000</v>
      </c>
      <c r="BL572" s="6">
        <v>75000</v>
      </c>
      <c r="BM572" s="2">
        <v>75000</v>
      </c>
      <c r="BN572">
        <f>InvoiceTable[[#This Row],[Giảm giá]]*InvoiceTable[[#This Row],[Số lượng]]</f>
        <v>175000</v>
      </c>
    </row>
    <row r="573" spans="1:66" x14ac:dyDescent="0.25">
      <c r="A573" t="s">
        <v>65</v>
      </c>
      <c r="B573" t="s">
        <v>2032</v>
      </c>
      <c r="F573" s="2"/>
      <c r="G573" s="3">
        <v>46010.584269178238</v>
      </c>
      <c r="H573" s="3">
        <v>46010.584211458336</v>
      </c>
      <c r="I573" s="4" t="s">
        <v>844</v>
      </c>
      <c r="J573" t="s">
        <v>67</v>
      </c>
      <c r="K573" t="s">
        <v>67</v>
      </c>
      <c r="L573" t="s">
        <v>2033</v>
      </c>
      <c r="M573" t="s">
        <v>2034</v>
      </c>
      <c r="N573" t="s">
        <v>67</v>
      </c>
      <c r="O573" t="s">
        <v>2035</v>
      </c>
      <c r="P573" t="s">
        <v>2036</v>
      </c>
      <c r="S573" s="5"/>
      <c r="T573" t="s">
        <v>72</v>
      </c>
      <c r="U573" t="s">
        <v>87</v>
      </c>
      <c r="V573" t="s">
        <v>74</v>
      </c>
      <c r="W573" t="s">
        <v>87</v>
      </c>
      <c r="AE573" s="2"/>
      <c r="AF573" s="2"/>
      <c r="AG573" s="2"/>
      <c r="AH573" s="2"/>
      <c r="AL573" s="2">
        <v>155000</v>
      </c>
      <c r="AM573" s="2">
        <v>0</v>
      </c>
      <c r="AN573" s="2"/>
      <c r="AO573" s="2">
        <v>0</v>
      </c>
      <c r="AP573" s="2">
        <v>155000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4"/>
      <c r="AX573" t="s">
        <v>75</v>
      </c>
      <c r="AZ573" t="s">
        <v>495</v>
      </c>
      <c r="BA573" t="s">
        <v>67</v>
      </c>
      <c r="BB573" t="s">
        <v>496</v>
      </c>
      <c r="BC573" t="s">
        <v>497</v>
      </c>
      <c r="BD573" t="s">
        <v>79</v>
      </c>
      <c r="BE573" t="s">
        <v>117</v>
      </c>
      <c r="BF573" s="5">
        <v>46569</v>
      </c>
      <c r="BH573">
        <v>1</v>
      </c>
      <c r="BI573" s="6">
        <v>250000</v>
      </c>
      <c r="BJ573" s="6">
        <v>0</v>
      </c>
      <c r="BK573" s="6">
        <v>170000</v>
      </c>
      <c r="BL573" s="6">
        <v>80000</v>
      </c>
      <c r="BM573" s="2">
        <v>80000</v>
      </c>
      <c r="BN573">
        <f>InvoiceTable[[#This Row],[Giảm giá]]*InvoiceTable[[#This Row],[Số lượng]]</f>
        <v>170000</v>
      </c>
    </row>
    <row r="574" spans="1:66" x14ac:dyDescent="0.25">
      <c r="A574" t="s">
        <v>65</v>
      </c>
      <c r="B574" t="s">
        <v>2037</v>
      </c>
      <c r="F574" s="2"/>
      <c r="G574" s="3">
        <v>46010.583512233796</v>
      </c>
      <c r="H574" s="3">
        <v>46010.58350119213</v>
      </c>
      <c r="I574" s="4" t="s">
        <v>1050</v>
      </c>
      <c r="J574" t="s">
        <v>67</v>
      </c>
      <c r="K574" t="s">
        <v>67</v>
      </c>
      <c r="L574" t="s">
        <v>2033</v>
      </c>
      <c r="M574" t="s">
        <v>2034</v>
      </c>
      <c r="N574" t="s">
        <v>67</v>
      </c>
      <c r="O574" t="s">
        <v>2035</v>
      </c>
      <c r="P574" t="s">
        <v>2036</v>
      </c>
      <c r="S574" s="5"/>
      <c r="T574" t="s">
        <v>72</v>
      </c>
      <c r="U574" t="s">
        <v>87</v>
      </c>
      <c r="V574" t="s">
        <v>74</v>
      </c>
      <c r="W574" t="s">
        <v>87</v>
      </c>
      <c r="AE574" s="2"/>
      <c r="AF574" s="2"/>
      <c r="AG574" s="2"/>
      <c r="AH574" s="2"/>
      <c r="AL574" s="2">
        <v>1460480</v>
      </c>
      <c r="AM574" s="2">
        <v>0</v>
      </c>
      <c r="AN574" s="2"/>
      <c r="AO574" s="2">
        <v>0</v>
      </c>
      <c r="AP574" s="2">
        <v>1460480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4"/>
      <c r="AX574" t="s">
        <v>75</v>
      </c>
      <c r="AZ574" t="s">
        <v>91</v>
      </c>
      <c r="BA574" t="s">
        <v>67</v>
      </c>
      <c r="BB574" t="s">
        <v>92</v>
      </c>
      <c r="BC574" t="s">
        <v>93</v>
      </c>
      <c r="BD574" t="s">
        <v>79</v>
      </c>
      <c r="BE574" t="s">
        <v>94</v>
      </c>
      <c r="BF574" s="5">
        <v>46692</v>
      </c>
      <c r="BH574">
        <v>2</v>
      </c>
      <c r="BI574" s="6">
        <v>702000</v>
      </c>
      <c r="BJ574" s="6">
        <v>35</v>
      </c>
      <c r="BK574" s="6">
        <v>245700</v>
      </c>
      <c r="BL574" s="6">
        <v>456300</v>
      </c>
      <c r="BM574" s="2">
        <v>912600</v>
      </c>
      <c r="BN574">
        <f>InvoiceTable[[#This Row],[Giảm giá]]*InvoiceTable[[#This Row],[Số lượng]]</f>
        <v>491400</v>
      </c>
    </row>
    <row r="575" spans="1:66" x14ac:dyDescent="0.25">
      <c r="A575" t="s">
        <v>65</v>
      </c>
      <c r="B575" t="s">
        <v>2037</v>
      </c>
      <c r="F575" s="2"/>
      <c r="G575" s="3">
        <v>46010.583512233796</v>
      </c>
      <c r="H575" s="3">
        <v>46010.58350119213</v>
      </c>
      <c r="I575" s="4" t="s">
        <v>1050</v>
      </c>
      <c r="J575" t="s">
        <v>67</v>
      </c>
      <c r="K575" t="s">
        <v>67</v>
      </c>
      <c r="L575" t="s">
        <v>2033</v>
      </c>
      <c r="M575" t="s">
        <v>2034</v>
      </c>
      <c r="N575" t="s">
        <v>67</v>
      </c>
      <c r="O575" t="s">
        <v>2035</v>
      </c>
      <c r="P575" t="s">
        <v>2036</v>
      </c>
      <c r="S575" s="5"/>
      <c r="T575" t="s">
        <v>72</v>
      </c>
      <c r="U575" t="s">
        <v>87</v>
      </c>
      <c r="V575" t="s">
        <v>74</v>
      </c>
      <c r="W575" t="s">
        <v>87</v>
      </c>
      <c r="AE575" s="2"/>
      <c r="AF575" s="2"/>
      <c r="AG575" s="2"/>
      <c r="AH575" s="2"/>
      <c r="AL575" s="2">
        <v>1460480</v>
      </c>
      <c r="AM575" s="2">
        <v>0</v>
      </c>
      <c r="AN575" s="2"/>
      <c r="AO575" s="2">
        <v>0</v>
      </c>
      <c r="AP575" s="2">
        <v>1460480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4"/>
      <c r="AX575" t="s">
        <v>75</v>
      </c>
      <c r="AZ575" t="s">
        <v>365</v>
      </c>
      <c r="BA575" t="s">
        <v>67</v>
      </c>
      <c r="BB575" t="s">
        <v>366</v>
      </c>
      <c r="BC575" t="s">
        <v>367</v>
      </c>
      <c r="BD575" t="s">
        <v>79</v>
      </c>
      <c r="BE575" t="s">
        <v>94</v>
      </c>
      <c r="BF575" s="5">
        <v>46692</v>
      </c>
      <c r="BH575">
        <v>1</v>
      </c>
      <c r="BI575" s="6">
        <v>380000</v>
      </c>
      <c r="BJ575" s="6">
        <v>30</v>
      </c>
      <c r="BK575" s="6">
        <v>114000</v>
      </c>
      <c r="BL575" s="6">
        <v>266000</v>
      </c>
      <c r="BM575" s="2">
        <v>266000</v>
      </c>
      <c r="BN575">
        <f>InvoiceTable[[#This Row],[Giảm giá]]*InvoiceTable[[#This Row],[Số lượng]]</f>
        <v>114000</v>
      </c>
    </row>
    <row r="576" spans="1:66" x14ac:dyDescent="0.25">
      <c r="A576" t="s">
        <v>65</v>
      </c>
      <c r="B576" t="s">
        <v>2037</v>
      </c>
      <c r="F576" s="2"/>
      <c r="G576" s="3">
        <v>46010.583512233796</v>
      </c>
      <c r="H576" s="3">
        <v>46010.58350119213</v>
      </c>
      <c r="I576" s="4" t="s">
        <v>1050</v>
      </c>
      <c r="J576" t="s">
        <v>67</v>
      </c>
      <c r="K576" t="s">
        <v>67</v>
      </c>
      <c r="L576" t="s">
        <v>2033</v>
      </c>
      <c r="M576" t="s">
        <v>2034</v>
      </c>
      <c r="N576" t="s">
        <v>67</v>
      </c>
      <c r="O576" t="s">
        <v>2035</v>
      </c>
      <c r="P576" t="s">
        <v>2036</v>
      </c>
      <c r="S576" s="5"/>
      <c r="T576" t="s">
        <v>72</v>
      </c>
      <c r="U576" t="s">
        <v>87</v>
      </c>
      <c r="V576" t="s">
        <v>74</v>
      </c>
      <c r="W576" t="s">
        <v>87</v>
      </c>
      <c r="AE576" s="2"/>
      <c r="AF576" s="2"/>
      <c r="AG576" s="2"/>
      <c r="AH576" s="2"/>
      <c r="AL576" s="2">
        <v>1460480</v>
      </c>
      <c r="AM576" s="2">
        <v>0</v>
      </c>
      <c r="AN576" s="2"/>
      <c r="AO576" s="2">
        <v>0</v>
      </c>
      <c r="AP576" s="2">
        <v>1460480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4"/>
      <c r="AX576" t="s">
        <v>75</v>
      </c>
      <c r="AZ576" t="s">
        <v>196</v>
      </c>
      <c r="BA576" t="s">
        <v>67</v>
      </c>
      <c r="BB576" t="s">
        <v>197</v>
      </c>
      <c r="BC576" t="s">
        <v>191</v>
      </c>
      <c r="BD576" t="s">
        <v>79</v>
      </c>
      <c r="BE576" t="s">
        <v>198</v>
      </c>
      <c r="BF576" s="5">
        <v>46753</v>
      </c>
      <c r="BH576">
        <v>1</v>
      </c>
      <c r="BI576" s="6">
        <v>486000</v>
      </c>
      <c r="BJ576" s="6">
        <v>42</v>
      </c>
      <c r="BK576" s="6">
        <v>204120</v>
      </c>
      <c r="BL576" s="6">
        <v>281880</v>
      </c>
      <c r="BM576" s="2">
        <v>281880</v>
      </c>
      <c r="BN576">
        <f>InvoiceTable[[#This Row],[Giảm giá]]*InvoiceTable[[#This Row],[Số lượng]]</f>
        <v>204120</v>
      </c>
    </row>
    <row r="577" spans="1:66" x14ac:dyDescent="0.25">
      <c r="A577" t="s">
        <v>65</v>
      </c>
      <c r="B577" t="s">
        <v>2038</v>
      </c>
      <c r="F577" s="2"/>
      <c r="G577" s="3">
        <v>46010.577680243056</v>
      </c>
      <c r="H577" s="3">
        <v>46010.577680937502</v>
      </c>
      <c r="I577" s="4" t="s">
        <v>67</v>
      </c>
      <c r="J577" t="s">
        <v>67</v>
      </c>
      <c r="K577" t="s">
        <v>67</v>
      </c>
      <c r="L577" t="s">
        <v>1483</v>
      </c>
      <c r="M577" t="s">
        <v>1484</v>
      </c>
      <c r="N577" t="s">
        <v>67</v>
      </c>
      <c r="O577" t="s">
        <v>1485</v>
      </c>
      <c r="P577" t="s">
        <v>1486</v>
      </c>
      <c r="S577" s="5"/>
      <c r="T577" t="s">
        <v>72</v>
      </c>
      <c r="U577" t="s">
        <v>87</v>
      </c>
      <c r="V577" t="s">
        <v>74</v>
      </c>
      <c r="W577" t="s">
        <v>87</v>
      </c>
      <c r="AE577" s="2"/>
      <c r="AF577" s="2"/>
      <c r="AG577" s="2"/>
      <c r="AH577" s="2"/>
      <c r="AL577" s="2">
        <v>9300000</v>
      </c>
      <c r="AM577" s="2">
        <v>0</v>
      </c>
      <c r="AN577" s="2"/>
      <c r="AO577" s="2">
        <v>0</v>
      </c>
      <c r="AP577" s="2">
        <v>9300000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4"/>
      <c r="AX577" t="s">
        <v>75</v>
      </c>
      <c r="AZ577" t="s">
        <v>2039</v>
      </c>
      <c r="BA577" t="s">
        <v>67</v>
      </c>
      <c r="BB577" t="s">
        <v>2040</v>
      </c>
      <c r="BC577" t="s">
        <v>1983</v>
      </c>
      <c r="BD577" t="s">
        <v>79</v>
      </c>
      <c r="BE577" t="s">
        <v>293</v>
      </c>
      <c r="BF577" s="5">
        <v>46722</v>
      </c>
      <c r="BG577" t="s">
        <v>67</v>
      </c>
      <c r="BH577">
        <v>5</v>
      </c>
      <c r="BI577" s="6">
        <v>3000000</v>
      </c>
      <c r="BJ577" s="6">
        <v>38</v>
      </c>
      <c r="BK577" s="6">
        <v>1140000</v>
      </c>
      <c r="BL577" s="6">
        <v>1860000</v>
      </c>
      <c r="BM577" s="2">
        <v>9300000</v>
      </c>
      <c r="BN577">
        <f>InvoiceTable[[#This Row],[Giảm giá]]*InvoiceTable[[#This Row],[Số lượng]]</f>
        <v>5700000</v>
      </c>
    </row>
    <row r="578" spans="1:66" x14ac:dyDescent="0.25">
      <c r="A578" t="s">
        <v>65</v>
      </c>
      <c r="B578" t="s">
        <v>2041</v>
      </c>
      <c r="F578" s="2"/>
      <c r="G578" s="3">
        <v>46010.555354317126</v>
      </c>
      <c r="H578" s="3">
        <v>46010.555354479169</v>
      </c>
      <c r="I578" s="4" t="s">
        <v>67</v>
      </c>
      <c r="J578" t="s">
        <v>67</v>
      </c>
      <c r="K578" t="s">
        <v>67</v>
      </c>
      <c r="L578" t="s">
        <v>963</v>
      </c>
      <c r="M578" t="s">
        <v>964</v>
      </c>
      <c r="N578" t="s">
        <v>67</v>
      </c>
      <c r="O578" t="s">
        <v>965</v>
      </c>
      <c r="P578" t="s">
        <v>966</v>
      </c>
      <c r="Q578" t="s">
        <v>67</v>
      </c>
      <c r="R578" t="s">
        <v>67</v>
      </c>
      <c r="S578" s="5"/>
      <c r="T578" t="s">
        <v>72</v>
      </c>
      <c r="U578" t="s">
        <v>102</v>
      </c>
      <c r="V578" t="s">
        <v>74</v>
      </c>
      <c r="W578" t="s">
        <v>102</v>
      </c>
      <c r="AE578" s="2"/>
      <c r="AF578" s="2"/>
      <c r="AG578" s="2"/>
      <c r="AH578" s="2"/>
      <c r="AK578" t="s">
        <v>67</v>
      </c>
      <c r="AL578" s="2">
        <v>1641000</v>
      </c>
      <c r="AM578" s="2">
        <v>0</v>
      </c>
      <c r="AN578" s="2"/>
      <c r="AO578" s="2">
        <v>0</v>
      </c>
      <c r="AP578" s="2">
        <v>1641000</v>
      </c>
      <c r="AQ578" s="2">
        <v>1641000</v>
      </c>
      <c r="AR578" s="2">
        <v>0</v>
      </c>
      <c r="AS578" s="2">
        <v>0</v>
      </c>
      <c r="AT578" s="2">
        <v>0</v>
      </c>
      <c r="AU578" s="2">
        <v>1641000</v>
      </c>
      <c r="AV578" s="2">
        <v>0</v>
      </c>
      <c r="AW578" s="4"/>
      <c r="AX578" t="s">
        <v>75</v>
      </c>
      <c r="AZ578" t="s">
        <v>2042</v>
      </c>
      <c r="BA578" t="s">
        <v>67</v>
      </c>
      <c r="BB578" t="s">
        <v>2043</v>
      </c>
      <c r="BC578" t="s">
        <v>970</v>
      </c>
      <c r="BD578" t="s">
        <v>79</v>
      </c>
      <c r="BE578" t="s">
        <v>201</v>
      </c>
      <c r="BF578" s="5">
        <v>46966</v>
      </c>
      <c r="BG578" t="s">
        <v>67</v>
      </c>
      <c r="BH578">
        <v>1</v>
      </c>
      <c r="BI578" s="6">
        <v>1850000</v>
      </c>
      <c r="BJ578" s="6">
        <v>0</v>
      </c>
      <c r="BK578" s="6">
        <v>209000</v>
      </c>
      <c r="BL578" s="6">
        <v>1641000</v>
      </c>
      <c r="BM578" s="2">
        <v>1641000</v>
      </c>
      <c r="BN578">
        <f>InvoiceTable[[#This Row],[Giảm giá]]*InvoiceTable[[#This Row],[Số lượng]]</f>
        <v>209000</v>
      </c>
    </row>
    <row r="579" spans="1:66" x14ac:dyDescent="0.25">
      <c r="A579" t="s">
        <v>65</v>
      </c>
      <c r="B579" t="s">
        <v>2044</v>
      </c>
      <c r="F579" s="2"/>
      <c r="G579" s="3">
        <v>46010.548068865741</v>
      </c>
      <c r="H579" s="3">
        <v>46010.548068981479</v>
      </c>
      <c r="I579" s="4" t="s">
        <v>67</v>
      </c>
      <c r="J579" t="s">
        <v>2045</v>
      </c>
      <c r="K579" t="s">
        <v>67</v>
      </c>
      <c r="L579" t="s">
        <v>231</v>
      </c>
      <c r="M579" t="s">
        <v>232</v>
      </c>
      <c r="N579" t="s">
        <v>67</v>
      </c>
      <c r="O579" t="s">
        <v>233</v>
      </c>
      <c r="P579" t="s">
        <v>234</v>
      </c>
      <c r="S579" s="5"/>
      <c r="T579" t="s">
        <v>72</v>
      </c>
      <c r="U579" t="s">
        <v>73</v>
      </c>
      <c r="V579" t="s">
        <v>74</v>
      </c>
      <c r="W579" t="s">
        <v>87</v>
      </c>
      <c r="AE579" s="2"/>
      <c r="AF579" s="2"/>
      <c r="AG579" s="2"/>
      <c r="AH579" s="2"/>
      <c r="AK579" t="s">
        <v>613</v>
      </c>
      <c r="AL579" s="2">
        <v>1187550</v>
      </c>
      <c r="AM579" s="2">
        <v>0</v>
      </c>
      <c r="AN579" s="2"/>
      <c r="AO579" s="2">
        <v>0</v>
      </c>
      <c r="AP579" s="2">
        <v>1187550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4"/>
      <c r="AX579" t="s">
        <v>75</v>
      </c>
      <c r="AZ579" t="s">
        <v>1435</v>
      </c>
      <c r="BA579" t="s">
        <v>67</v>
      </c>
      <c r="BB579" t="s">
        <v>1436</v>
      </c>
      <c r="BC579" t="s">
        <v>377</v>
      </c>
      <c r="BD579" t="s">
        <v>79</v>
      </c>
      <c r="BE579" t="s">
        <v>188</v>
      </c>
      <c r="BF579" s="5">
        <v>46905</v>
      </c>
      <c r="BH579">
        <v>1</v>
      </c>
      <c r="BI579" s="6">
        <v>1885000</v>
      </c>
      <c r="BJ579" s="6">
        <v>37</v>
      </c>
      <c r="BK579" s="6">
        <v>697450</v>
      </c>
      <c r="BL579" s="6">
        <v>1187550</v>
      </c>
      <c r="BM579" s="2">
        <v>1187550</v>
      </c>
      <c r="BN579">
        <f>InvoiceTable[[#This Row],[Giảm giá]]*InvoiceTable[[#This Row],[Số lượng]]</f>
        <v>697450</v>
      </c>
    </row>
    <row r="580" spans="1:66" x14ac:dyDescent="0.25">
      <c r="A580" t="s">
        <v>65</v>
      </c>
      <c r="B580" t="s">
        <v>2046</v>
      </c>
      <c r="F580" s="2"/>
      <c r="G580" s="3">
        <v>46010.497253506946</v>
      </c>
      <c r="H580" s="3">
        <v>46010.497253587964</v>
      </c>
      <c r="I580" s="4" t="s">
        <v>67</v>
      </c>
      <c r="J580" t="s">
        <v>67</v>
      </c>
      <c r="K580" t="s">
        <v>67</v>
      </c>
      <c r="L580" t="s">
        <v>231</v>
      </c>
      <c r="M580" t="s">
        <v>232</v>
      </c>
      <c r="N580" t="s">
        <v>67</v>
      </c>
      <c r="O580" t="s">
        <v>233</v>
      </c>
      <c r="P580" t="s">
        <v>234</v>
      </c>
      <c r="S580" s="5"/>
      <c r="T580" t="s">
        <v>72</v>
      </c>
      <c r="U580" t="s">
        <v>73</v>
      </c>
      <c r="V580" t="s">
        <v>74</v>
      </c>
      <c r="W580" t="s">
        <v>73</v>
      </c>
      <c r="AE580" s="2"/>
      <c r="AF580" s="2"/>
      <c r="AG580" s="2"/>
      <c r="AH580" s="2"/>
      <c r="AL580" s="2">
        <v>15000</v>
      </c>
      <c r="AM580" s="2">
        <v>0</v>
      </c>
      <c r="AN580" s="2"/>
      <c r="AO580" s="2">
        <v>0</v>
      </c>
      <c r="AP580" s="2">
        <v>15000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4"/>
      <c r="AX580" t="s">
        <v>75</v>
      </c>
      <c r="AZ580" t="s">
        <v>573</v>
      </c>
      <c r="BA580" t="s">
        <v>67</v>
      </c>
      <c r="BB580" t="s">
        <v>89</v>
      </c>
      <c r="BC580" t="s">
        <v>90</v>
      </c>
      <c r="BF580" s="5"/>
      <c r="BG580" t="s">
        <v>67</v>
      </c>
      <c r="BH580">
        <v>1</v>
      </c>
      <c r="BI580" s="6">
        <v>15000</v>
      </c>
      <c r="BJ580" s="6">
        <v>0</v>
      </c>
      <c r="BK580" s="6">
        <v>0</v>
      </c>
      <c r="BL580" s="6">
        <v>15000</v>
      </c>
      <c r="BM580" s="2">
        <v>15000</v>
      </c>
      <c r="BN580">
        <f>InvoiceTable[[#This Row],[Giảm giá]]*InvoiceTable[[#This Row],[Số lượng]]</f>
        <v>0</v>
      </c>
    </row>
    <row r="581" spans="1:66" x14ac:dyDescent="0.25">
      <c r="A581" t="s">
        <v>65</v>
      </c>
      <c r="B581" t="s">
        <v>2047</v>
      </c>
      <c r="F581" s="2"/>
      <c r="G581" s="3">
        <v>46010.495917476852</v>
      </c>
      <c r="H581" s="3">
        <v>46010.495917708336</v>
      </c>
      <c r="I581" s="4" t="s">
        <v>67</v>
      </c>
      <c r="J581" t="s">
        <v>67</v>
      </c>
      <c r="K581" t="s">
        <v>67</v>
      </c>
      <c r="L581" t="s">
        <v>111</v>
      </c>
      <c r="M581" t="s">
        <v>112</v>
      </c>
      <c r="N581" t="s">
        <v>67</v>
      </c>
      <c r="O581" t="s">
        <v>113</v>
      </c>
      <c r="P581" t="s">
        <v>114</v>
      </c>
      <c r="Q581" t="s">
        <v>67</v>
      </c>
      <c r="R581" t="s">
        <v>67</v>
      </c>
      <c r="S581" s="5"/>
      <c r="T581" t="s">
        <v>72</v>
      </c>
      <c r="U581" t="s">
        <v>87</v>
      </c>
      <c r="V581" t="s">
        <v>74</v>
      </c>
      <c r="W581" t="s">
        <v>87</v>
      </c>
      <c r="AE581" s="2"/>
      <c r="AF581" s="2"/>
      <c r="AG581" s="2"/>
      <c r="AH581" s="2"/>
      <c r="AL581" s="2">
        <v>9950000</v>
      </c>
      <c r="AM581" s="2">
        <v>0</v>
      </c>
      <c r="AN581" s="2"/>
      <c r="AO581" s="2">
        <v>0</v>
      </c>
      <c r="AP581" s="2">
        <v>9950000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4"/>
      <c r="AX581" t="s">
        <v>75</v>
      </c>
      <c r="AZ581" t="s">
        <v>504</v>
      </c>
      <c r="BA581" t="s">
        <v>67</v>
      </c>
      <c r="BB581" t="s">
        <v>505</v>
      </c>
      <c r="BC581" t="s">
        <v>78</v>
      </c>
      <c r="BD581" t="s">
        <v>79</v>
      </c>
      <c r="BE581" t="s">
        <v>506</v>
      </c>
      <c r="BF581" s="5">
        <v>47604</v>
      </c>
      <c r="BH581">
        <v>10</v>
      </c>
      <c r="BI581" s="6">
        <v>1990000</v>
      </c>
      <c r="BJ581" s="6">
        <v>50</v>
      </c>
      <c r="BK581" s="6">
        <v>995000</v>
      </c>
      <c r="BL581" s="6">
        <v>995000</v>
      </c>
      <c r="BM581" s="2">
        <v>9950000</v>
      </c>
      <c r="BN581">
        <f>InvoiceTable[[#This Row],[Giảm giá]]*InvoiceTable[[#This Row],[Số lượng]]</f>
        <v>9950000</v>
      </c>
    </row>
    <row r="582" spans="1:66" x14ac:dyDescent="0.25">
      <c r="A582" t="s">
        <v>65</v>
      </c>
      <c r="B582" t="s">
        <v>2048</v>
      </c>
      <c r="F582" s="2"/>
      <c r="G582" s="3">
        <v>46010.495010763887</v>
      </c>
      <c r="H582" s="3">
        <v>46010.49492986111</v>
      </c>
      <c r="I582" s="4" t="s">
        <v>96</v>
      </c>
      <c r="J582" t="s">
        <v>2049</v>
      </c>
      <c r="K582" t="s">
        <v>67</v>
      </c>
      <c r="L582" t="s">
        <v>231</v>
      </c>
      <c r="M582" t="s">
        <v>232</v>
      </c>
      <c r="N582" t="s">
        <v>67</v>
      </c>
      <c r="O582" t="s">
        <v>233</v>
      </c>
      <c r="P582" t="s">
        <v>234</v>
      </c>
      <c r="S582" s="5"/>
      <c r="T582" t="s">
        <v>72</v>
      </c>
      <c r="U582" t="s">
        <v>73</v>
      </c>
      <c r="V582" t="s">
        <v>74</v>
      </c>
      <c r="W582" t="s">
        <v>87</v>
      </c>
      <c r="AE582" s="2"/>
      <c r="AF582" s="2"/>
      <c r="AG582" s="2"/>
      <c r="AH582" s="2"/>
      <c r="AK582" t="s">
        <v>258</v>
      </c>
      <c r="AL582" s="2">
        <v>170000</v>
      </c>
      <c r="AM582" s="2">
        <v>0</v>
      </c>
      <c r="AN582" s="2"/>
      <c r="AO582" s="2">
        <v>0</v>
      </c>
      <c r="AP582" s="2">
        <v>170000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4"/>
      <c r="AX582" t="s">
        <v>75</v>
      </c>
      <c r="AZ582" t="s">
        <v>2050</v>
      </c>
      <c r="BA582" t="s">
        <v>67</v>
      </c>
      <c r="BB582" t="s">
        <v>2051</v>
      </c>
      <c r="BC582" t="s">
        <v>126</v>
      </c>
      <c r="BD582" t="s">
        <v>79</v>
      </c>
      <c r="BE582" t="s">
        <v>106</v>
      </c>
      <c r="BF582" s="5">
        <v>46327</v>
      </c>
      <c r="BH582">
        <v>2</v>
      </c>
      <c r="BI582" s="6">
        <v>220000</v>
      </c>
      <c r="BJ582" s="6">
        <v>61.36</v>
      </c>
      <c r="BK582" s="6">
        <v>135000</v>
      </c>
      <c r="BL582" s="6">
        <v>85000</v>
      </c>
      <c r="BM582" s="2">
        <v>170000</v>
      </c>
      <c r="BN582">
        <f>InvoiceTable[[#This Row],[Giảm giá]]*InvoiceTable[[#This Row],[Số lượng]]</f>
        <v>270000</v>
      </c>
    </row>
    <row r="583" spans="1:66" x14ac:dyDescent="0.25">
      <c r="A583" t="s">
        <v>65</v>
      </c>
      <c r="B583" t="s">
        <v>2052</v>
      </c>
      <c r="F583" s="2"/>
      <c r="G583" s="3">
        <v>46010.486765127316</v>
      </c>
      <c r="H583" s="3">
        <v>46010.486684224539</v>
      </c>
      <c r="I583" s="4" t="s">
        <v>96</v>
      </c>
      <c r="J583" t="s">
        <v>67</v>
      </c>
      <c r="K583" t="s">
        <v>67</v>
      </c>
      <c r="L583" t="s">
        <v>2053</v>
      </c>
      <c r="M583" t="s">
        <v>2054</v>
      </c>
      <c r="N583" t="s">
        <v>2055</v>
      </c>
      <c r="O583" t="s">
        <v>2056</v>
      </c>
      <c r="P583" t="s">
        <v>2057</v>
      </c>
      <c r="S583" s="5"/>
      <c r="T583" t="s">
        <v>72</v>
      </c>
      <c r="U583" t="s">
        <v>87</v>
      </c>
      <c r="V583" t="s">
        <v>74</v>
      </c>
      <c r="W583" t="s">
        <v>87</v>
      </c>
      <c r="AE583" s="2"/>
      <c r="AF583" s="2"/>
      <c r="AG583" s="2"/>
      <c r="AH583" s="2"/>
      <c r="AK583" t="s">
        <v>1242</v>
      </c>
      <c r="AL583" s="2">
        <v>100000</v>
      </c>
      <c r="AM583" s="2">
        <v>0</v>
      </c>
      <c r="AN583" s="2"/>
      <c r="AO583" s="2">
        <v>0</v>
      </c>
      <c r="AP583" s="2">
        <v>100000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4"/>
      <c r="AX583" t="s">
        <v>75</v>
      </c>
      <c r="AZ583" t="s">
        <v>2058</v>
      </c>
      <c r="BA583" t="s">
        <v>67</v>
      </c>
      <c r="BB583" t="s">
        <v>2059</v>
      </c>
      <c r="BC583" t="s">
        <v>126</v>
      </c>
      <c r="BD583" t="s">
        <v>79</v>
      </c>
      <c r="BE583" t="s">
        <v>810</v>
      </c>
      <c r="BF583" s="5">
        <v>46539</v>
      </c>
      <c r="BH583">
        <v>1</v>
      </c>
      <c r="BI583" s="6">
        <v>200000</v>
      </c>
      <c r="BJ583" s="6">
        <v>0</v>
      </c>
      <c r="BK583" s="6">
        <v>100000</v>
      </c>
      <c r="BL583" s="6">
        <v>100000</v>
      </c>
      <c r="BM583" s="2">
        <v>100000</v>
      </c>
      <c r="BN583">
        <f>InvoiceTable[[#This Row],[Giảm giá]]*InvoiceTable[[#This Row],[Số lượng]]</f>
        <v>100000</v>
      </c>
    </row>
    <row r="584" spans="1:66" x14ac:dyDescent="0.25">
      <c r="A584" t="s">
        <v>65</v>
      </c>
      <c r="B584" t="s">
        <v>2060</v>
      </c>
      <c r="F584" s="2"/>
      <c r="G584" s="3">
        <v>46010.486473877318</v>
      </c>
      <c r="H584" s="3">
        <v>46010.486474039353</v>
      </c>
      <c r="I584" s="4" t="s">
        <v>67</v>
      </c>
      <c r="J584" t="s">
        <v>67</v>
      </c>
      <c r="K584" t="s">
        <v>67</v>
      </c>
      <c r="L584" t="s">
        <v>2061</v>
      </c>
      <c r="M584" t="s">
        <v>2062</v>
      </c>
      <c r="N584" t="s">
        <v>67</v>
      </c>
      <c r="Q584" t="s">
        <v>67</v>
      </c>
      <c r="R584" t="s">
        <v>67</v>
      </c>
      <c r="S584" s="5"/>
      <c r="T584" t="s">
        <v>72</v>
      </c>
      <c r="U584" t="s">
        <v>87</v>
      </c>
      <c r="V584" t="s">
        <v>74</v>
      </c>
      <c r="W584" t="s">
        <v>87</v>
      </c>
      <c r="AE584" s="2"/>
      <c r="AF584" s="2"/>
      <c r="AG584" s="2"/>
      <c r="AH584" s="2"/>
      <c r="AL584" s="2">
        <v>957600</v>
      </c>
      <c r="AM584" s="2">
        <v>0</v>
      </c>
      <c r="AN584" s="2"/>
      <c r="AO584" s="2">
        <v>0</v>
      </c>
      <c r="AP584" s="2">
        <v>957600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4"/>
      <c r="AX584" t="s">
        <v>75</v>
      </c>
      <c r="AZ584" t="s">
        <v>2063</v>
      </c>
      <c r="BA584" t="s">
        <v>67</v>
      </c>
      <c r="BB584" t="s">
        <v>2064</v>
      </c>
      <c r="BC584" t="s">
        <v>2065</v>
      </c>
      <c r="BD584" t="s">
        <v>79</v>
      </c>
      <c r="BE584" t="s">
        <v>434</v>
      </c>
      <c r="BF584" s="5">
        <v>46661</v>
      </c>
      <c r="BH584">
        <v>1</v>
      </c>
      <c r="BI584" s="6">
        <v>1680000</v>
      </c>
      <c r="BJ584" s="6">
        <v>43</v>
      </c>
      <c r="BK584" s="6">
        <v>722400</v>
      </c>
      <c r="BL584" s="6">
        <v>957600</v>
      </c>
      <c r="BM584" s="2">
        <v>957600</v>
      </c>
      <c r="BN584">
        <f>InvoiceTable[[#This Row],[Giảm giá]]*InvoiceTable[[#This Row],[Số lượng]]</f>
        <v>722400</v>
      </c>
    </row>
    <row r="585" spans="1:66" x14ac:dyDescent="0.25">
      <c r="A585" t="s">
        <v>65</v>
      </c>
      <c r="B585" t="s">
        <v>2066</v>
      </c>
      <c r="F585" s="2"/>
      <c r="G585" s="3">
        <v>46010.486032719906</v>
      </c>
      <c r="H585" s="3">
        <v>46010.486033530091</v>
      </c>
      <c r="I585" s="4" t="s">
        <v>67</v>
      </c>
      <c r="J585" t="s">
        <v>67</v>
      </c>
      <c r="K585" t="s">
        <v>67</v>
      </c>
      <c r="L585" t="s">
        <v>2053</v>
      </c>
      <c r="M585" t="s">
        <v>2054</v>
      </c>
      <c r="N585" t="s">
        <v>2055</v>
      </c>
      <c r="O585" t="s">
        <v>2056</v>
      </c>
      <c r="P585" t="s">
        <v>2057</v>
      </c>
      <c r="S585" s="5"/>
      <c r="T585" t="s">
        <v>72</v>
      </c>
      <c r="U585" t="s">
        <v>87</v>
      </c>
      <c r="V585" t="s">
        <v>74</v>
      </c>
      <c r="W585" t="s">
        <v>87</v>
      </c>
      <c r="AE585" s="2"/>
      <c r="AF585" s="2"/>
      <c r="AG585" s="2"/>
      <c r="AH585" s="2"/>
      <c r="AK585" t="s">
        <v>2067</v>
      </c>
      <c r="AL585" s="2">
        <v>494400</v>
      </c>
      <c r="AM585" s="2">
        <v>0</v>
      </c>
      <c r="AN585" s="2"/>
      <c r="AO585" s="2">
        <v>0</v>
      </c>
      <c r="AP585" s="2">
        <v>494400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4"/>
      <c r="AX585" t="s">
        <v>75</v>
      </c>
      <c r="AZ585" t="s">
        <v>1284</v>
      </c>
      <c r="BA585" t="s">
        <v>67</v>
      </c>
      <c r="BB585" t="s">
        <v>1285</v>
      </c>
      <c r="BC585" t="s">
        <v>1219</v>
      </c>
      <c r="BD585" t="s">
        <v>79</v>
      </c>
      <c r="BE585" t="s">
        <v>317</v>
      </c>
      <c r="BF585" s="5">
        <v>46935</v>
      </c>
      <c r="BH585">
        <v>1</v>
      </c>
      <c r="BI585" s="6">
        <v>480000</v>
      </c>
      <c r="BJ585" s="6">
        <v>42</v>
      </c>
      <c r="BK585" s="6">
        <v>201600</v>
      </c>
      <c r="BL585" s="6">
        <v>278400</v>
      </c>
      <c r="BM585" s="2">
        <v>278400</v>
      </c>
      <c r="BN585">
        <f>InvoiceTable[[#This Row],[Giảm giá]]*InvoiceTable[[#This Row],[Số lượng]]</f>
        <v>201600</v>
      </c>
    </row>
    <row r="586" spans="1:66" x14ac:dyDescent="0.25">
      <c r="A586" t="s">
        <v>65</v>
      </c>
      <c r="B586" t="s">
        <v>2066</v>
      </c>
      <c r="F586" s="2"/>
      <c r="G586" s="3">
        <v>46010.486032719906</v>
      </c>
      <c r="H586" s="3">
        <v>46010.486033530091</v>
      </c>
      <c r="I586" s="4" t="s">
        <v>67</v>
      </c>
      <c r="J586" t="s">
        <v>67</v>
      </c>
      <c r="K586" t="s">
        <v>67</v>
      </c>
      <c r="L586" t="s">
        <v>2053</v>
      </c>
      <c r="M586" t="s">
        <v>2054</v>
      </c>
      <c r="N586" t="s">
        <v>2055</v>
      </c>
      <c r="O586" t="s">
        <v>2056</v>
      </c>
      <c r="P586" t="s">
        <v>2057</v>
      </c>
      <c r="S586" s="5"/>
      <c r="T586" t="s">
        <v>72</v>
      </c>
      <c r="U586" t="s">
        <v>87</v>
      </c>
      <c r="V586" t="s">
        <v>74</v>
      </c>
      <c r="W586" t="s">
        <v>87</v>
      </c>
      <c r="AE586" s="2"/>
      <c r="AF586" s="2"/>
      <c r="AG586" s="2"/>
      <c r="AH586" s="2"/>
      <c r="AK586" t="s">
        <v>2067</v>
      </c>
      <c r="AL586" s="2">
        <v>494400</v>
      </c>
      <c r="AM586" s="2">
        <v>0</v>
      </c>
      <c r="AN586" s="2"/>
      <c r="AO586" s="2">
        <v>0</v>
      </c>
      <c r="AP586" s="2">
        <v>494400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4"/>
      <c r="AX586" t="s">
        <v>75</v>
      </c>
      <c r="AZ586" t="s">
        <v>1456</v>
      </c>
      <c r="BA586" t="s">
        <v>67</v>
      </c>
      <c r="BB586" t="s">
        <v>1457</v>
      </c>
      <c r="BC586" t="s">
        <v>187</v>
      </c>
      <c r="BD586" t="s">
        <v>79</v>
      </c>
      <c r="BE586" t="s">
        <v>324</v>
      </c>
      <c r="BF586" s="5">
        <v>47058</v>
      </c>
      <c r="BH586">
        <v>1</v>
      </c>
      <c r="BI586" s="6">
        <v>450000</v>
      </c>
      <c r="BJ586" s="6">
        <v>52</v>
      </c>
      <c r="BK586" s="6">
        <v>234000</v>
      </c>
      <c r="BL586" s="6">
        <v>216000</v>
      </c>
      <c r="BM586" s="2">
        <v>216000</v>
      </c>
      <c r="BN586">
        <f>InvoiceTable[[#This Row],[Giảm giá]]*InvoiceTable[[#This Row],[Số lượng]]</f>
        <v>234000</v>
      </c>
    </row>
    <row r="587" spans="1:66" x14ac:dyDescent="0.25">
      <c r="A587" t="s">
        <v>65</v>
      </c>
      <c r="B587" t="s">
        <v>2068</v>
      </c>
      <c r="F587" s="2"/>
      <c r="G587" s="3">
        <v>46010.485248611112</v>
      </c>
      <c r="H587" s="3">
        <v>46010.485248726851</v>
      </c>
      <c r="I587" s="4" t="s">
        <v>67</v>
      </c>
      <c r="J587" t="s">
        <v>67</v>
      </c>
      <c r="K587" t="s">
        <v>67</v>
      </c>
      <c r="L587" t="s">
        <v>2069</v>
      </c>
      <c r="M587" t="s">
        <v>2070</v>
      </c>
      <c r="N587" t="s">
        <v>2071</v>
      </c>
      <c r="O587" t="s">
        <v>2072</v>
      </c>
      <c r="P587" t="s">
        <v>2073</v>
      </c>
      <c r="S587" s="5"/>
      <c r="T587" t="s">
        <v>72</v>
      </c>
      <c r="U587" t="s">
        <v>87</v>
      </c>
      <c r="V587" t="s">
        <v>74</v>
      </c>
      <c r="W587" t="s">
        <v>87</v>
      </c>
      <c r="AE587" s="2"/>
      <c r="AF587" s="2"/>
      <c r="AG587" s="2"/>
      <c r="AH587" s="2"/>
      <c r="AL587" s="2">
        <v>690000</v>
      </c>
      <c r="AM587" s="2">
        <v>0</v>
      </c>
      <c r="AN587" s="2"/>
      <c r="AO587" s="2">
        <v>0</v>
      </c>
      <c r="AP587" s="2">
        <v>690000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4"/>
      <c r="AX587" t="s">
        <v>75</v>
      </c>
      <c r="AZ587" t="s">
        <v>929</v>
      </c>
      <c r="BA587" t="s">
        <v>67</v>
      </c>
      <c r="BB587" t="s">
        <v>930</v>
      </c>
      <c r="BC587" t="s">
        <v>187</v>
      </c>
      <c r="BD587" t="s">
        <v>79</v>
      </c>
      <c r="BE587" t="s">
        <v>188</v>
      </c>
      <c r="BF587" s="5">
        <v>46905</v>
      </c>
      <c r="BH587">
        <v>2</v>
      </c>
      <c r="BI587" s="6">
        <v>690000</v>
      </c>
      <c r="BJ587" s="6">
        <v>50</v>
      </c>
      <c r="BK587" s="6">
        <v>345000</v>
      </c>
      <c r="BL587" s="6">
        <v>345000</v>
      </c>
      <c r="BM587" s="2">
        <v>690000</v>
      </c>
      <c r="BN587">
        <f>InvoiceTable[[#This Row],[Giảm giá]]*InvoiceTable[[#This Row],[Số lượng]]</f>
        <v>690000</v>
      </c>
    </row>
    <row r="588" spans="1:66" x14ac:dyDescent="0.25">
      <c r="A588" t="s">
        <v>65</v>
      </c>
      <c r="B588" t="s">
        <v>2074</v>
      </c>
      <c r="F588" s="2"/>
      <c r="G588" s="3">
        <v>46010.466227777775</v>
      </c>
      <c r="H588" s="3">
        <v>46010.476951851851</v>
      </c>
      <c r="I588" s="4" t="s">
        <v>67</v>
      </c>
      <c r="J588" t="s">
        <v>67</v>
      </c>
      <c r="K588" t="s">
        <v>67</v>
      </c>
      <c r="L588" t="s">
        <v>2075</v>
      </c>
      <c r="M588" t="s">
        <v>2076</v>
      </c>
      <c r="N588" t="s">
        <v>67</v>
      </c>
      <c r="O588" t="s">
        <v>2077</v>
      </c>
      <c r="P588" t="s">
        <v>2078</v>
      </c>
      <c r="Q588" t="s">
        <v>67</v>
      </c>
      <c r="R588" t="s">
        <v>67</v>
      </c>
      <c r="S588" s="5"/>
      <c r="T588" t="s">
        <v>72</v>
      </c>
      <c r="U588" t="s">
        <v>87</v>
      </c>
      <c r="V588" t="s">
        <v>74</v>
      </c>
      <c r="W588" t="s">
        <v>87</v>
      </c>
      <c r="AE588" s="2"/>
      <c r="AF588" s="2"/>
      <c r="AG588" s="2"/>
      <c r="AH588" s="2"/>
      <c r="AK588" t="s">
        <v>2079</v>
      </c>
      <c r="AL588" s="2">
        <v>894600</v>
      </c>
      <c r="AM588" s="2">
        <v>0</v>
      </c>
      <c r="AN588" s="2"/>
      <c r="AO588" s="2">
        <v>0</v>
      </c>
      <c r="AP588" s="2">
        <v>894600</v>
      </c>
      <c r="AQ588" s="2">
        <v>894600</v>
      </c>
      <c r="AR588" s="2">
        <v>0</v>
      </c>
      <c r="AS588" s="2">
        <v>0</v>
      </c>
      <c r="AT588" s="2">
        <v>0</v>
      </c>
      <c r="AU588" s="2">
        <v>894600</v>
      </c>
      <c r="AV588" s="2">
        <v>0</v>
      </c>
      <c r="AW588" s="4"/>
      <c r="AX588" t="s">
        <v>75</v>
      </c>
      <c r="AZ588" t="s">
        <v>340</v>
      </c>
      <c r="BA588" t="s">
        <v>67</v>
      </c>
      <c r="BB588" t="s">
        <v>341</v>
      </c>
      <c r="BC588" t="s">
        <v>204</v>
      </c>
      <c r="BD588" t="s">
        <v>79</v>
      </c>
      <c r="BE588" t="s">
        <v>334</v>
      </c>
      <c r="BF588" s="5">
        <v>47209</v>
      </c>
      <c r="BH588">
        <v>2</v>
      </c>
      <c r="BI588" s="6">
        <v>710000</v>
      </c>
      <c r="BJ588" s="6">
        <v>37</v>
      </c>
      <c r="BK588" s="6">
        <v>262700</v>
      </c>
      <c r="BL588" s="6">
        <v>447300</v>
      </c>
      <c r="BM588" s="2">
        <v>894600</v>
      </c>
      <c r="BN588">
        <f>InvoiceTable[[#This Row],[Giảm giá]]*InvoiceTable[[#This Row],[Số lượng]]</f>
        <v>525400</v>
      </c>
    </row>
    <row r="589" spans="1:66" x14ac:dyDescent="0.25">
      <c r="A589" t="s">
        <v>65</v>
      </c>
      <c r="B589" t="s">
        <v>2080</v>
      </c>
      <c r="F589" s="2"/>
      <c r="G589" s="3">
        <v>46010.464039039354</v>
      </c>
      <c r="H589" s="3">
        <v>46010.464039155093</v>
      </c>
      <c r="I589" s="4" t="s">
        <v>67</v>
      </c>
      <c r="J589" t="s">
        <v>67</v>
      </c>
      <c r="K589" t="s">
        <v>67</v>
      </c>
      <c r="L589" t="s">
        <v>1099</v>
      </c>
      <c r="M589" t="s">
        <v>1100</v>
      </c>
      <c r="N589" t="s">
        <v>67</v>
      </c>
      <c r="O589" t="s">
        <v>1101</v>
      </c>
      <c r="P589" t="s">
        <v>1102</v>
      </c>
      <c r="S589" s="5"/>
      <c r="T589" t="s">
        <v>72</v>
      </c>
      <c r="U589" t="s">
        <v>87</v>
      </c>
      <c r="V589" t="s">
        <v>74</v>
      </c>
      <c r="W589" t="s">
        <v>87</v>
      </c>
      <c r="AE589" s="2"/>
      <c r="AF589" s="2"/>
      <c r="AG589" s="2"/>
      <c r="AH589" s="2"/>
      <c r="AL589" s="2">
        <v>3021000</v>
      </c>
      <c r="AM589" s="2">
        <v>0</v>
      </c>
      <c r="AN589" s="2"/>
      <c r="AO589" s="2">
        <v>0</v>
      </c>
      <c r="AP589" s="2">
        <v>3021000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4"/>
      <c r="AX589" t="s">
        <v>75</v>
      </c>
      <c r="AZ589" t="s">
        <v>2081</v>
      </c>
      <c r="BA589" t="s">
        <v>67</v>
      </c>
      <c r="BB589" t="s">
        <v>2082</v>
      </c>
      <c r="BC589" t="s">
        <v>158</v>
      </c>
      <c r="BD589" t="s">
        <v>79</v>
      </c>
      <c r="BE589" t="s">
        <v>168</v>
      </c>
      <c r="BF589" s="5">
        <v>46388</v>
      </c>
      <c r="BG589" t="s">
        <v>67</v>
      </c>
      <c r="BH589">
        <v>1</v>
      </c>
      <c r="BI589" s="6">
        <v>5700000</v>
      </c>
      <c r="BJ589" s="6">
        <v>47</v>
      </c>
      <c r="BK589" s="6">
        <v>2679000</v>
      </c>
      <c r="BL589" s="6">
        <v>3021000</v>
      </c>
      <c r="BM589" s="2">
        <v>3021000</v>
      </c>
      <c r="BN589">
        <f>InvoiceTable[[#This Row],[Giảm giá]]*InvoiceTable[[#This Row],[Số lượng]]</f>
        <v>2679000</v>
      </c>
    </row>
    <row r="590" spans="1:66" x14ac:dyDescent="0.25">
      <c r="A590" t="s">
        <v>65</v>
      </c>
      <c r="B590" t="s">
        <v>2083</v>
      </c>
      <c r="F590" s="2"/>
      <c r="G590" s="3">
        <v>46010.452090196763</v>
      </c>
      <c r="H590" s="3">
        <v>46010.452078784721</v>
      </c>
      <c r="I590" s="4" t="s">
        <v>1941</v>
      </c>
      <c r="J590" t="s">
        <v>2084</v>
      </c>
      <c r="K590" t="s">
        <v>67</v>
      </c>
      <c r="L590" t="s">
        <v>894</v>
      </c>
      <c r="M590" t="s">
        <v>895</v>
      </c>
      <c r="N590" t="s">
        <v>67</v>
      </c>
      <c r="O590" t="s">
        <v>896</v>
      </c>
      <c r="P590" t="s">
        <v>897</v>
      </c>
      <c r="Q590" t="s">
        <v>67</v>
      </c>
      <c r="R590" t="s">
        <v>67</v>
      </c>
      <c r="S590" s="5"/>
      <c r="T590" t="s">
        <v>72</v>
      </c>
      <c r="U590" t="s">
        <v>102</v>
      </c>
      <c r="V590" t="s">
        <v>74</v>
      </c>
      <c r="W590" t="s">
        <v>87</v>
      </c>
      <c r="AE590" s="2"/>
      <c r="AF590" s="2"/>
      <c r="AG590" s="2"/>
      <c r="AH590" s="2"/>
      <c r="AK590" t="s">
        <v>67</v>
      </c>
      <c r="AL590" s="2">
        <v>2550000</v>
      </c>
      <c r="AM590" s="2">
        <v>0</v>
      </c>
      <c r="AN590" s="2"/>
      <c r="AO590" s="2">
        <v>0</v>
      </c>
      <c r="AP590" s="2">
        <v>2550000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4"/>
      <c r="AX590" t="s">
        <v>75</v>
      </c>
      <c r="AZ590" t="s">
        <v>107</v>
      </c>
      <c r="BA590" t="s">
        <v>67</v>
      </c>
      <c r="BB590" t="s">
        <v>108</v>
      </c>
      <c r="BC590" t="s">
        <v>109</v>
      </c>
      <c r="BD590" t="s">
        <v>79</v>
      </c>
      <c r="BE590" t="s">
        <v>94</v>
      </c>
      <c r="BF590" s="5">
        <v>46692</v>
      </c>
      <c r="BG590" t="s">
        <v>67</v>
      </c>
      <c r="BH590">
        <v>1</v>
      </c>
      <c r="BI590" s="6">
        <v>4500000</v>
      </c>
      <c r="BJ590" s="6">
        <v>0</v>
      </c>
      <c r="BK590" s="6">
        <v>1950000</v>
      </c>
      <c r="BL590" s="6">
        <v>2550000</v>
      </c>
      <c r="BM590" s="2">
        <v>2550000</v>
      </c>
      <c r="BN590">
        <f>InvoiceTable[[#This Row],[Giảm giá]]*InvoiceTable[[#This Row],[Số lượng]]</f>
        <v>1950000</v>
      </c>
    </row>
    <row r="591" spans="1:66" x14ac:dyDescent="0.25">
      <c r="A591" t="s">
        <v>65</v>
      </c>
      <c r="B591" t="s">
        <v>2085</v>
      </c>
      <c r="F591" s="2"/>
      <c r="G591" s="3">
        <v>46010.449957094905</v>
      </c>
      <c r="H591" s="3">
        <v>46010.449934027776</v>
      </c>
      <c r="I591" s="4" t="s">
        <v>1682</v>
      </c>
      <c r="J591" t="s">
        <v>67</v>
      </c>
      <c r="K591" t="s">
        <v>67</v>
      </c>
      <c r="L591" t="s">
        <v>672</v>
      </c>
      <c r="M591" t="s">
        <v>673</v>
      </c>
      <c r="N591" t="s">
        <v>67</v>
      </c>
      <c r="Q591" t="s">
        <v>67</v>
      </c>
      <c r="R591" t="s">
        <v>67</v>
      </c>
      <c r="S591" s="5"/>
      <c r="T591" t="s">
        <v>72</v>
      </c>
      <c r="U591" t="s">
        <v>87</v>
      </c>
      <c r="V591" t="s">
        <v>74</v>
      </c>
      <c r="W591" t="s">
        <v>87</v>
      </c>
      <c r="AE591" s="2"/>
      <c r="AF591" s="2"/>
      <c r="AG591" s="2"/>
      <c r="AH591" s="2"/>
      <c r="AL591" s="2">
        <v>1090000</v>
      </c>
      <c r="AM591" s="2">
        <v>0</v>
      </c>
      <c r="AN591" s="2"/>
      <c r="AO591" s="2">
        <v>0</v>
      </c>
      <c r="AP591" s="2">
        <v>1090000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4"/>
      <c r="AX591" t="s">
        <v>75</v>
      </c>
      <c r="AZ591" t="s">
        <v>1494</v>
      </c>
      <c r="BA591" t="s">
        <v>67</v>
      </c>
      <c r="BB591" t="s">
        <v>1495</v>
      </c>
      <c r="BC591" t="s">
        <v>676</v>
      </c>
      <c r="BD591" t="s">
        <v>79</v>
      </c>
      <c r="BE591" t="s">
        <v>482</v>
      </c>
      <c r="BF591" s="5">
        <v>46773</v>
      </c>
      <c r="BH591">
        <v>1</v>
      </c>
      <c r="BI591" s="6">
        <v>1690000</v>
      </c>
      <c r="BJ591" s="6">
        <v>0</v>
      </c>
      <c r="BK591" s="6">
        <v>600000</v>
      </c>
      <c r="BL591" s="6">
        <v>1090000</v>
      </c>
      <c r="BM591" s="2">
        <v>1090000</v>
      </c>
      <c r="BN591">
        <f>InvoiceTable[[#This Row],[Giảm giá]]*InvoiceTable[[#This Row],[Số lượng]]</f>
        <v>600000</v>
      </c>
    </row>
    <row r="592" spans="1:66" x14ac:dyDescent="0.25">
      <c r="A592" t="s">
        <v>65</v>
      </c>
      <c r="B592" t="s">
        <v>2086</v>
      </c>
      <c r="F592" s="2"/>
      <c r="G592" s="3">
        <v>46010.449712696762</v>
      </c>
      <c r="H592" s="3">
        <v>46010.45242253472</v>
      </c>
      <c r="I592" s="4" t="s">
        <v>1682</v>
      </c>
      <c r="J592" t="s">
        <v>67</v>
      </c>
      <c r="K592" t="s">
        <v>67</v>
      </c>
      <c r="L592" t="s">
        <v>814</v>
      </c>
      <c r="M592" t="s">
        <v>815</v>
      </c>
      <c r="N592" t="s">
        <v>67</v>
      </c>
      <c r="O592" t="s">
        <v>816</v>
      </c>
      <c r="Q592" t="s">
        <v>67</v>
      </c>
      <c r="R592" t="s">
        <v>67</v>
      </c>
      <c r="S592" s="5"/>
      <c r="T592" t="s">
        <v>72</v>
      </c>
      <c r="U592" t="s">
        <v>87</v>
      </c>
      <c r="V592" t="s">
        <v>74</v>
      </c>
      <c r="W592" t="s">
        <v>87</v>
      </c>
      <c r="AE592" s="2"/>
      <c r="AF592" s="2"/>
      <c r="AG592" s="2"/>
      <c r="AH592" s="2"/>
      <c r="AL592" s="2">
        <v>15740000</v>
      </c>
      <c r="AM592" s="2">
        <v>0</v>
      </c>
      <c r="AN592" s="2"/>
      <c r="AO592" s="2">
        <v>0</v>
      </c>
      <c r="AP592" s="2">
        <v>15740000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4"/>
      <c r="AX592" t="s">
        <v>75</v>
      </c>
      <c r="AZ592" t="s">
        <v>107</v>
      </c>
      <c r="BA592" t="s">
        <v>67</v>
      </c>
      <c r="BB592" t="s">
        <v>108</v>
      </c>
      <c r="BC592" t="s">
        <v>109</v>
      </c>
      <c r="BD592" t="s">
        <v>79</v>
      </c>
      <c r="BE592" t="s">
        <v>94</v>
      </c>
      <c r="BF592" s="5">
        <v>46692</v>
      </c>
      <c r="BH592">
        <v>2</v>
      </c>
      <c r="BI592" s="6">
        <v>4500000</v>
      </c>
      <c r="BJ592" s="6">
        <v>0</v>
      </c>
      <c r="BK592" s="6">
        <v>2030000</v>
      </c>
      <c r="BL592" s="6">
        <v>2470000</v>
      </c>
      <c r="BM592" s="2">
        <v>4940000</v>
      </c>
      <c r="BN592">
        <f>InvoiceTable[[#This Row],[Giảm giá]]*InvoiceTable[[#This Row],[Số lượng]]</f>
        <v>4060000</v>
      </c>
    </row>
    <row r="593" spans="1:66" x14ac:dyDescent="0.25">
      <c r="A593" t="s">
        <v>65</v>
      </c>
      <c r="B593" t="s">
        <v>2086</v>
      </c>
      <c r="F593" s="2"/>
      <c r="G593" s="3">
        <v>46010.449712696762</v>
      </c>
      <c r="H593" s="3">
        <v>46010.45242253472</v>
      </c>
      <c r="I593" s="4" t="s">
        <v>1682</v>
      </c>
      <c r="J593" t="s">
        <v>67</v>
      </c>
      <c r="K593" t="s">
        <v>67</v>
      </c>
      <c r="L593" t="s">
        <v>814</v>
      </c>
      <c r="M593" t="s">
        <v>815</v>
      </c>
      <c r="N593" t="s">
        <v>67</v>
      </c>
      <c r="O593" t="s">
        <v>816</v>
      </c>
      <c r="Q593" t="s">
        <v>67</v>
      </c>
      <c r="R593" t="s">
        <v>67</v>
      </c>
      <c r="S593" s="5"/>
      <c r="T593" t="s">
        <v>72</v>
      </c>
      <c r="U593" t="s">
        <v>87</v>
      </c>
      <c r="V593" t="s">
        <v>74</v>
      </c>
      <c r="W593" t="s">
        <v>87</v>
      </c>
      <c r="AE593" s="2"/>
      <c r="AF593" s="2"/>
      <c r="AG593" s="2"/>
      <c r="AH593" s="2"/>
      <c r="AL593" s="2">
        <v>15740000</v>
      </c>
      <c r="AM593" s="2">
        <v>0</v>
      </c>
      <c r="AN593" s="2"/>
      <c r="AO593" s="2">
        <v>0</v>
      </c>
      <c r="AP593" s="2">
        <v>15740000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4"/>
      <c r="AX593" t="s">
        <v>75</v>
      </c>
      <c r="AZ593" t="s">
        <v>1019</v>
      </c>
      <c r="BA593" t="s">
        <v>67</v>
      </c>
      <c r="BB593" t="s">
        <v>1020</v>
      </c>
      <c r="BC593" t="s">
        <v>676</v>
      </c>
      <c r="BD593" t="s">
        <v>79</v>
      </c>
      <c r="BE593" t="s">
        <v>1021</v>
      </c>
      <c r="BF593" s="5">
        <v>46936</v>
      </c>
      <c r="BH593">
        <v>2</v>
      </c>
      <c r="BI593" s="6">
        <v>1690000</v>
      </c>
      <c r="BJ593" s="6">
        <v>0</v>
      </c>
      <c r="BK593" s="6">
        <v>610000</v>
      </c>
      <c r="BL593" s="6">
        <v>1080000</v>
      </c>
      <c r="BM593" s="2">
        <v>2160000</v>
      </c>
      <c r="BN593">
        <f>InvoiceTable[[#This Row],[Giảm giá]]*InvoiceTable[[#This Row],[Số lượng]]</f>
        <v>1220000</v>
      </c>
    </row>
    <row r="594" spans="1:66" x14ac:dyDescent="0.25">
      <c r="A594" t="s">
        <v>65</v>
      </c>
      <c r="B594" t="s">
        <v>2086</v>
      </c>
      <c r="F594" s="2"/>
      <c r="G594" s="3">
        <v>46010.449712696762</v>
      </c>
      <c r="H594" s="3">
        <v>46010.45242253472</v>
      </c>
      <c r="I594" s="4" t="s">
        <v>1682</v>
      </c>
      <c r="J594" t="s">
        <v>67</v>
      </c>
      <c r="K594" t="s">
        <v>67</v>
      </c>
      <c r="L594" t="s">
        <v>814</v>
      </c>
      <c r="M594" t="s">
        <v>815</v>
      </c>
      <c r="N594" t="s">
        <v>67</v>
      </c>
      <c r="O594" t="s">
        <v>816</v>
      </c>
      <c r="Q594" t="s">
        <v>67</v>
      </c>
      <c r="R594" t="s">
        <v>67</v>
      </c>
      <c r="S594" s="5"/>
      <c r="T594" t="s">
        <v>72</v>
      </c>
      <c r="U594" t="s">
        <v>87</v>
      </c>
      <c r="V594" t="s">
        <v>74</v>
      </c>
      <c r="W594" t="s">
        <v>87</v>
      </c>
      <c r="AE594" s="2"/>
      <c r="AF594" s="2"/>
      <c r="AG594" s="2"/>
      <c r="AH594" s="2"/>
      <c r="AL594" s="2">
        <v>15740000</v>
      </c>
      <c r="AM594" s="2">
        <v>0</v>
      </c>
      <c r="AN594" s="2"/>
      <c r="AO594" s="2">
        <v>0</v>
      </c>
      <c r="AP594" s="2">
        <v>15740000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4"/>
      <c r="AX594" t="s">
        <v>75</v>
      </c>
      <c r="AZ594" t="s">
        <v>674</v>
      </c>
      <c r="BA594" t="s">
        <v>67</v>
      </c>
      <c r="BB594" t="s">
        <v>675</v>
      </c>
      <c r="BC594" t="s">
        <v>676</v>
      </c>
      <c r="BD594" t="s">
        <v>79</v>
      </c>
      <c r="BE594" t="s">
        <v>677</v>
      </c>
      <c r="BF594" s="5">
        <v>46943</v>
      </c>
      <c r="BH594">
        <v>8</v>
      </c>
      <c r="BI594" s="6">
        <v>1690000</v>
      </c>
      <c r="BJ594" s="6">
        <v>0</v>
      </c>
      <c r="BK594" s="6">
        <v>610000</v>
      </c>
      <c r="BL594" s="6">
        <v>1080000</v>
      </c>
      <c r="BM594" s="2">
        <v>8640000</v>
      </c>
      <c r="BN594">
        <f>InvoiceTable[[#This Row],[Giảm giá]]*InvoiceTable[[#This Row],[Số lượng]]</f>
        <v>4880000</v>
      </c>
    </row>
    <row r="595" spans="1:66" x14ac:dyDescent="0.25">
      <c r="A595" t="s">
        <v>65</v>
      </c>
      <c r="B595" t="s">
        <v>2087</v>
      </c>
      <c r="F595" s="2"/>
      <c r="G595" s="3">
        <v>46010.448056215275</v>
      </c>
      <c r="H595" s="3">
        <v>46010.448056365742</v>
      </c>
      <c r="I595" s="4" t="s">
        <v>67</v>
      </c>
      <c r="J595" t="s">
        <v>67</v>
      </c>
      <c r="K595" t="s">
        <v>67</v>
      </c>
      <c r="L595" t="s">
        <v>654</v>
      </c>
      <c r="M595" t="s">
        <v>655</v>
      </c>
      <c r="N595" t="s">
        <v>67</v>
      </c>
      <c r="O595" t="s">
        <v>656</v>
      </c>
      <c r="P595" t="s">
        <v>657</v>
      </c>
      <c r="Q595" t="s">
        <v>658</v>
      </c>
      <c r="R595" t="s">
        <v>67</v>
      </c>
      <c r="S595" s="5"/>
      <c r="T595" t="s">
        <v>72</v>
      </c>
      <c r="U595" t="s">
        <v>87</v>
      </c>
      <c r="V595" t="s">
        <v>74</v>
      </c>
      <c r="W595" t="s">
        <v>87</v>
      </c>
      <c r="AE595" s="2"/>
      <c r="AF595" s="2"/>
      <c r="AG595" s="2"/>
      <c r="AH595" s="2"/>
      <c r="AL595" s="2">
        <v>4192260</v>
      </c>
      <c r="AM595" s="2">
        <v>0</v>
      </c>
      <c r="AN595" s="2"/>
      <c r="AO595" s="2">
        <v>0</v>
      </c>
      <c r="AP595" s="2">
        <v>4192260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4"/>
      <c r="AX595" t="s">
        <v>75</v>
      </c>
      <c r="AZ595" t="s">
        <v>659</v>
      </c>
      <c r="BA595" t="s">
        <v>67</v>
      </c>
      <c r="BB595" t="s">
        <v>660</v>
      </c>
      <c r="BC595" t="s">
        <v>223</v>
      </c>
      <c r="BD595" t="s">
        <v>79</v>
      </c>
      <c r="BE595" t="s">
        <v>661</v>
      </c>
      <c r="BF595" s="5">
        <v>47025</v>
      </c>
      <c r="BH595">
        <v>6</v>
      </c>
      <c r="BI595" s="6">
        <v>1250000</v>
      </c>
      <c r="BJ595" s="6">
        <v>50</v>
      </c>
      <c r="BK595" s="6">
        <v>625000</v>
      </c>
      <c r="BL595" s="6">
        <v>625000</v>
      </c>
      <c r="BM595" s="2">
        <v>3750000</v>
      </c>
      <c r="BN595">
        <f>InvoiceTable[[#This Row],[Giảm giá]]*InvoiceTable[[#This Row],[Số lượng]]</f>
        <v>3750000</v>
      </c>
    </row>
    <row r="596" spans="1:66" x14ac:dyDescent="0.25">
      <c r="A596" t="s">
        <v>65</v>
      </c>
      <c r="B596" t="s">
        <v>2087</v>
      </c>
      <c r="F596" s="2"/>
      <c r="G596" s="3">
        <v>46010.448056215275</v>
      </c>
      <c r="H596" s="3">
        <v>46010.448056365742</v>
      </c>
      <c r="I596" s="4" t="s">
        <v>67</v>
      </c>
      <c r="J596" t="s">
        <v>67</v>
      </c>
      <c r="K596" t="s">
        <v>67</v>
      </c>
      <c r="L596" t="s">
        <v>654</v>
      </c>
      <c r="M596" t="s">
        <v>655</v>
      </c>
      <c r="N596" t="s">
        <v>67</v>
      </c>
      <c r="O596" t="s">
        <v>656</v>
      </c>
      <c r="P596" t="s">
        <v>657</v>
      </c>
      <c r="Q596" t="s">
        <v>658</v>
      </c>
      <c r="R596" t="s">
        <v>67</v>
      </c>
      <c r="S596" s="5"/>
      <c r="T596" t="s">
        <v>72</v>
      </c>
      <c r="U596" t="s">
        <v>87</v>
      </c>
      <c r="V596" t="s">
        <v>74</v>
      </c>
      <c r="W596" t="s">
        <v>87</v>
      </c>
      <c r="AE596" s="2"/>
      <c r="AF596" s="2"/>
      <c r="AG596" s="2"/>
      <c r="AH596" s="2"/>
      <c r="AL596" s="2">
        <v>4192260</v>
      </c>
      <c r="AM596" s="2">
        <v>0</v>
      </c>
      <c r="AN596" s="2"/>
      <c r="AO596" s="2">
        <v>0</v>
      </c>
      <c r="AP596" s="2">
        <v>4192260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4"/>
      <c r="AX596" t="s">
        <v>75</v>
      </c>
      <c r="AZ596" t="s">
        <v>91</v>
      </c>
      <c r="BA596" t="s">
        <v>67</v>
      </c>
      <c r="BB596" t="s">
        <v>92</v>
      </c>
      <c r="BC596" t="s">
        <v>93</v>
      </c>
      <c r="BD596" t="s">
        <v>79</v>
      </c>
      <c r="BE596" t="s">
        <v>94</v>
      </c>
      <c r="BF596" s="5">
        <v>46692</v>
      </c>
      <c r="BH596">
        <v>1</v>
      </c>
      <c r="BI596" s="6">
        <v>702000</v>
      </c>
      <c r="BJ596" s="6">
        <v>37</v>
      </c>
      <c r="BK596" s="6">
        <v>259740</v>
      </c>
      <c r="BL596" s="6">
        <v>442260</v>
      </c>
      <c r="BM596" s="2">
        <v>442260</v>
      </c>
      <c r="BN596">
        <f>InvoiceTable[[#This Row],[Giảm giá]]*InvoiceTable[[#This Row],[Số lượng]]</f>
        <v>259740</v>
      </c>
    </row>
    <row r="597" spans="1:66" x14ac:dyDescent="0.25">
      <c r="A597" t="s">
        <v>65</v>
      </c>
      <c r="B597" t="s">
        <v>2088</v>
      </c>
      <c r="F597" s="2"/>
      <c r="G597" s="3">
        <v>46010.442474305557</v>
      </c>
      <c r="H597" s="3">
        <v>46010.442474687501</v>
      </c>
      <c r="I597" s="4" t="s">
        <v>67</v>
      </c>
      <c r="J597" t="s">
        <v>2089</v>
      </c>
      <c r="K597" t="s">
        <v>67</v>
      </c>
      <c r="L597" t="s">
        <v>1061</v>
      </c>
      <c r="M597" t="s">
        <v>1062</v>
      </c>
      <c r="N597" t="s">
        <v>67</v>
      </c>
      <c r="O597" t="s">
        <v>1063</v>
      </c>
      <c r="P597" t="s">
        <v>1064</v>
      </c>
      <c r="Q597" t="s">
        <v>67</v>
      </c>
      <c r="R597" t="s">
        <v>67</v>
      </c>
      <c r="S597" s="5"/>
      <c r="T597" t="s">
        <v>72</v>
      </c>
      <c r="U597" t="s">
        <v>73</v>
      </c>
      <c r="V597" t="s">
        <v>74</v>
      </c>
      <c r="W597" t="s">
        <v>87</v>
      </c>
      <c r="AE597" s="2"/>
      <c r="AF597" s="2"/>
      <c r="AG597" s="2"/>
      <c r="AH597" s="2"/>
      <c r="AK597" t="s">
        <v>258</v>
      </c>
      <c r="AL597" s="2">
        <v>260000</v>
      </c>
      <c r="AM597" s="2">
        <v>0</v>
      </c>
      <c r="AN597" s="2"/>
      <c r="AO597" s="2">
        <v>0</v>
      </c>
      <c r="AP597" s="2">
        <v>260000</v>
      </c>
      <c r="AQ597" s="2">
        <v>260000</v>
      </c>
      <c r="AR597" s="2">
        <v>0</v>
      </c>
      <c r="AS597" s="2">
        <v>0</v>
      </c>
      <c r="AT597" s="2">
        <v>0</v>
      </c>
      <c r="AU597" s="2">
        <v>260000</v>
      </c>
      <c r="AV597" s="2">
        <v>0</v>
      </c>
      <c r="AW597" s="4"/>
      <c r="AX597" t="s">
        <v>75</v>
      </c>
      <c r="AZ597" t="s">
        <v>1057</v>
      </c>
      <c r="BA597" t="s">
        <v>67</v>
      </c>
      <c r="BB597" t="s">
        <v>1058</v>
      </c>
      <c r="BC597" t="s">
        <v>204</v>
      </c>
      <c r="BD597" t="s">
        <v>79</v>
      </c>
      <c r="BE597" t="s">
        <v>423</v>
      </c>
      <c r="BF597" s="5">
        <v>47543</v>
      </c>
      <c r="BH597">
        <v>1</v>
      </c>
      <c r="BI597" s="6">
        <v>400000</v>
      </c>
      <c r="BJ597" s="6">
        <v>35</v>
      </c>
      <c r="BK597" s="6">
        <v>140000</v>
      </c>
      <c r="BL597" s="6">
        <v>260000</v>
      </c>
      <c r="BM597" s="2">
        <v>260000</v>
      </c>
      <c r="BN597">
        <f>InvoiceTable[[#This Row],[Giảm giá]]*InvoiceTable[[#This Row],[Số lượng]]</f>
        <v>140000</v>
      </c>
    </row>
    <row r="598" spans="1:66" x14ac:dyDescent="0.25">
      <c r="A598" t="s">
        <v>65</v>
      </c>
      <c r="B598" t="s">
        <v>2090</v>
      </c>
      <c r="F598" s="2"/>
      <c r="G598" s="3">
        <v>46010.442075694446</v>
      </c>
      <c r="H598" s="3">
        <v>46010.442075925923</v>
      </c>
      <c r="I598" s="4" t="s">
        <v>67</v>
      </c>
      <c r="J598" t="s">
        <v>67</v>
      </c>
      <c r="K598" t="s">
        <v>67</v>
      </c>
      <c r="L598" t="s">
        <v>1233</v>
      </c>
      <c r="M598" t="s">
        <v>1234</v>
      </c>
      <c r="N598" t="s">
        <v>67</v>
      </c>
      <c r="O598" t="s">
        <v>1235</v>
      </c>
      <c r="P598" t="s">
        <v>1236</v>
      </c>
      <c r="Q598" t="s">
        <v>67</v>
      </c>
      <c r="R598" t="s">
        <v>67</v>
      </c>
      <c r="S598" s="5"/>
      <c r="T598" t="s">
        <v>72</v>
      </c>
      <c r="U598" t="s">
        <v>87</v>
      </c>
      <c r="V598" t="s">
        <v>74</v>
      </c>
      <c r="W598" t="s">
        <v>87</v>
      </c>
      <c r="AE598" s="2"/>
      <c r="AF598" s="2"/>
      <c r="AG598" s="2"/>
      <c r="AH598" s="2"/>
      <c r="AL598" s="2">
        <v>17888000</v>
      </c>
      <c r="AM598" s="2">
        <v>0</v>
      </c>
      <c r="AN598" s="2"/>
      <c r="AO598" s="2">
        <v>0</v>
      </c>
      <c r="AP598" s="2">
        <v>17888000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4"/>
      <c r="AX598" t="s">
        <v>75</v>
      </c>
      <c r="AZ598" t="s">
        <v>2091</v>
      </c>
      <c r="BA598" t="s">
        <v>67</v>
      </c>
      <c r="BB598" t="s">
        <v>2092</v>
      </c>
      <c r="BC598" t="s">
        <v>2093</v>
      </c>
      <c r="BD598" t="s">
        <v>79</v>
      </c>
      <c r="BE598" t="s">
        <v>2094</v>
      </c>
      <c r="BF598" s="5">
        <v>46922</v>
      </c>
      <c r="BH598">
        <v>40</v>
      </c>
      <c r="BI598" s="6">
        <v>860000</v>
      </c>
      <c r="BJ598" s="6">
        <v>48</v>
      </c>
      <c r="BK598" s="6">
        <v>412800</v>
      </c>
      <c r="BL598" s="6">
        <v>447200</v>
      </c>
      <c r="BM598" s="2">
        <v>17888000</v>
      </c>
      <c r="BN598">
        <f>InvoiceTable[[#This Row],[Giảm giá]]*InvoiceTable[[#This Row],[Số lượng]]</f>
        <v>16512000</v>
      </c>
    </row>
    <row r="599" spans="1:66" x14ac:dyDescent="0.25">
      <c r="A599" t="s">
        <v>65</v>
      </c>
      <c r="B599" t="s">
        <v>2090</v>
      </c>
      <c r="F599" s="2"/>
      <c r="G599" s="3">
        <v>46010.442075694446</v>
      </c>
      <c r="H599" s="3">
        <v>46010.442075925923</v>
      </c>
      <c r="I599" s="4" t="s">
        <v>67</v>
      </c>
      <c r="J599" t="s">
        <v>67</v>
      </c>
      <c r="K599" t="s">
        <v>67</v>
      </c>
      <c r="L599" t="s">
        <v>1233</v>
      </c>
      <c r="M599" t="s">
        <v>1234</v>
      </c>
      <c r="N599" t="s">
        <v>67</v>
      </c>
      <c r="O599" t="s">
        <v>1235</v>
      </c>
      <c r="P599" t="s">
        <v>1236</v>
      </c>
      <c r="Q599" t="s">
        <v>67</v>
      </c>
      <c r="R599" t="s">
        <v>67</v>
      </c>
      <c r="S599" s="5"/>
      <c r="T599" t="s">
        <v>72</v>
      </c>
      <c r="U599" t="s">
        <v>87</v>
      </c>
      <c r="V599" t="s">
        <v>74</v>
      </c>
      <c r="W599" t="s">
        <v>87</v>
      </c>
      <c r="AE599" s="2"/>
      <c r="AF599" s="2"/>
      <c r="AG599" s="2"/>
      <c r="AH599" s="2"/>
      <c r="AL599" s="2">
        <v>17888000</v>
      </c>
      <c r="AM599" s="2">
        <v>0</v>
      </c>
      <c r="AN599" s="2"/>
      <c r="AO599" s="2">
        <v>0</v>
      </c>
      <c r="AP599" s="2">
        <v>17888000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4"/>
      <c r="AX599" t="s">
        <v>75</v>
      </c>
      <c r="AZ599" t="s">
        <v>2091</v>
      </c>
      <c r="BA599" t="s">
        <v>67</v>
      </c>
      <c r="BB599" t="s">
        <v>2092</v>
      </c>
      <c r="BC599" t="s">
        <v>2093</v>
      </c>
      <c r="BD599" t="s">
        <v>79</v>
      </c>
      <c r="BE599" t="s">
        <v>2094</v>
      </c>
      <c r="BF599" s="5">
        <v>46922</v>
      </c>
      <c r="BG599" t="s">
        <v>67</v>
      </c>
      <c r="BH599">
        <v>5</v>
      </c>
      <c r="BI599" s="6">
        <v>860000</v>
      </c>
      <c r="BJ599" s="6">
        <v>0</v>
      </c>
      <c r="BK599" s="6">
        <v>860000</v>
      </c>
      <c r="BL599" s="6">
        <v>0</v>
      </c>
      <c r="BM599" s="2">
        <v>0</v>
      </c>
      <c r="BN599">
        <f>InvoiceTable[[#This Row],[Giảm giá]]*InvoiceTable[[#This Row],[Số lượng]]</f>
        <v>4300000</v>
      </c>
    </row>
    <row r="600" spans="1:66" x14ac:dyDescent="0.25">
      <c r="A600" t="s">
        <v>65</v>
      </c>
      <c r="B600" t="s">
        <v>2095</v>
      </c>
      <c r="F600" s="2"/>
      <c r="G600" s="3">
        <v>46009.742613159724</v>
      </c>
      <c r="H600" s="3">
        <v>46009.742613576389</v>
      </c>
      <c r="I600" s="4" t="s">
        <v>67</v>
      </c>
      <c r="J600" t="s">
        <v>67</v>
      </c>
      <c r="K600" t="s">
        <v>67</v>
      </c>
      <c r="L600" t="s">
        <v>111</v>
      </c>
      <c r="M600" t="s">
        <v>112</v>
      </c>
      <c r="N600" t="s">
        <v>67</v>
      </c>
      <c r="O600" t="s">
        <v>113</v>
      </c>
      <c r="P600" t="s">
        <v>114</v>
      </c>
      <c r="Q600" t="s">
        <v>67</v>
      </c>
      <c r="R600" t="s">
        <v>67</v>
      </c>
      <c r="S600" s="5"/>
      <c r="T600" t="s">
        <v>72</v>
      </c>
      <c r="U600" t="s">
        <v>87</v>
      </c>
      <c r="V600" t="s">
        <v>74</v>
      </c>
      <c r="W600" t="s">
        <v>87</v>
      </c>
      <c r="AE600" s="2"/>
      <c r="AF600" s="2"/>
      <c r="AG600" s="2"/>
      <c r="AH600" s="2"/>
      <c r="AK600" t="s">
        <v>67</v>
      </c>
      <c r="AL600" s="2">
        <v>975000</v>
      </c>
      <c r="AM600" s="2">
        <v>0</v>
      </c>
      <c r="AN600" s="2"/>
      <c r="AO600" s="2">
        <v>0</v>
      </c>
      <c r="AP600" s="2">
        <v>975000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4"/>
      <c r="AX600" t="s">
        <v>75</v>
      </c>
      <c r="AZ600" t="s">
        <v>140</v>
      </c>
      <c r="BA600" t="s">
        <v>67</v>
      </c>
      <c r="BB600" t="s">
        <v>141</v>
      </c>
      <c r="BC600" t="s">
        <v>138</v>
      </c>
      <c r="BD600" t="s">
        <v>79</v>
      </c>
      <c r="BE600" t="s">
        <v>142</v>
      </c>
      <c r="BF600" s="5">
        <v>46844</v>
      </c>
      <c r="BG600" t="s">
        <v>67</v>
      </c>
      <c r="BH600">
        <v>1</v>
      </c>
      <c r="BI600" s="6">
        <v>1950000</v>
      </c>
      <c r="BJ600" s="6">
        <v>50</v>
      </c>
      <c r="BK600" s="6">
        <v>975000</v>
      </c>
      <c r="BL600" s="6">
        <v>975000</v>
      </c>
      <c r="BM600" s="2">
        <v>975000</v>
      </c>
      <c r="BN600">
        <f>InvoiceTable[[#This Row],[Giảm giá]]*InvoiceTable[[#This Row],[Số lượng]]</f>
        <v>975000</v>
      </c>
    </row>
    <row r="601" spans="1:66" x14ac:dyDescent="0.25">
      <c r="A601" t="s">
        <v>65</v>
      </c>
      <c r="B601" t="s">
        <v>2096</v>
      </c>
      <c r="F601" s="2"/>
      <c r="G601" s="3">
        <v>46009.736848379631</v>
      </c>
      <c r="H601" s="3">
        <v>46009.73684853009</v>
      </c>
      <c r="I601" s="4" t="s">
        <v>67</v>
      </c>
      <c r="J601" t="s">
        <v>67</v>
      </c>
      <c r="K601" t="s">
        <v>67</v>
      </c>
      <c r="L601" t="s">
        <v>2097</v>
      </c>
      <c r="M601" t="s">
        <v>2098</v>
      </c>
      <c r="N601" t="s">
        <v>67</v>
      </c>
      <c r="Q601" t="s">
        <v>67</v>
      </c>
      <c r="R601" t="s">
        <v>67</v>
      </c>
      <c r="S601" s="5"/>
      <c r="T601" t="s">
        <v>72</v>
      </c>
      <c r="U601" t="s">
        <v>87</v>
      </c>
      <c r="V601" t="s">
        <v>74</v>
      </c>
      <c r="W601" t="s">
        <v>87</v>
      </c>
      <c r="AE601" s="2"/>
      <c r="AF601" s="2"/>
      <c r="AG601" s="2"/>
      <c r="AH601" s="2"/>
      <c r="AK601" t="s">
        <v>67</v>
      </c>
      <c r="AL601" s="2">
        <v>100000</v>
      </c>
      <c r="AM601" s="2">
        <v>0</v>
      </c>
      <c r="AN601" s="2"/>
      <c r="AO601" s="2">
        <v>0</v>
      </c>
      <c r="AP601" s="2">
        <v>100000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4"/>
      <c r="AX601" t="s">
        <v>75</v>
      </c>
      <c r="AZ601" t="s">
        <v>321</v>
      </c>
      <c r="BA601" t="s">
        <v>67</v>
      </c>
      <c r="BB601" t="s">
        <v>322</v>
      </c>
      <c r="BC601" t="s">
        <v>323</v>
      </c>
      <c r="BD601" t="s">
        <v>79</v>
      </c>
      <c r="BE601" t="s">
        <v>324</v>
      </c>
      <c r="BF601" s="5">
        <v>47058</v>
      </c>
      <c r="BG601" t="s">
        <v>67</v>
      </c>
      <c r="BH601">
        <v>10</v>
      </c>
      <c r="BI601" s="6">
        <v>25000</v>
      </c>
      <c r="BJ601" s="6">
        <v>0</v>
      </c>
      <c r="BK601" s="6">
        <v>15000</v>
      </c>
      <c r="BL601" s="6">
        <v>10000</v>
      </c>
      <c r="BM601" s="2">
        <v>100000</v>
      </c>
      <c r="BN601">
        <f>InvoiceTable[[#This Row],[Giảm giá]]*InvoiceTable[[#This Row],[Số lượng]]</f>
        <v>150000</v>
      </c>
    </row>
    <row r="602" spans="1:66" x14ac:dyDescent="0.25">
      <c r="A602" t="s">
        <v>65</v>
      </c>
      <c r="B602" t="s">
        <v>2099</v>
      </c>
      <c r="F602" s="2"/>
      <c r="G602" s="3">
        <v>46009.726788807871</v>
      </c>
      <c r="H602" s="3">
        <v>46009.726790162036</v>
      </c>
      <c r="I602" s="4" t="s">
        <v>67</v>
      </c>
      <c r="J602" t="s">
        <v>2100</v>
      </c>
      <c r="K602" t="s">
        <v>67</v>
      </c>
      <c r="L602" t="s">
        <v>2101</v>
      </c>
      <c r="M602" t="s">
        <v>2102</v>
      </c>
      <c r="N602" t="s">
        <v>67</v>
      </c>
      <c r="O602" t="s">
        <v>2103</v>
      </c>
      <c r="P602" t="s">
        <v>2104</v>
      </c>
      <c r="S602" s="5"/>
      <c r="T602" t="s">
        <v>72</v>
      </c>
      <c r="U602" t="s">
        <v>73</v>
      </c>
      <c r="V602" t="s">
        <v>74</v>
      </c>
      <c r="W602" t="s">
        <v>87</v>
      </c>
      <c r="AE602" s="2"/>
      <c r="AF602" s="2"/>
      <c r="AG602" s="2"/>
      <c r="AH602" s="2"/>
      <c r="AK602" t="s">
        <v>613</v>
      </c>
      <c r="AL602" s="2">
        <v>6200000</v>
      </c>
      <c r="AM602" s="2">
        <v>0</v>
      </c>
      <c r="AN602" s="2"/>
      <c r="AO602" s="2">
        <v>0</v>
      </c>
      <c r="AP602" s="2">
        <v>6200000</v>
      </c>
      <c r="AQ602" s="2">
        <v>6200000</v>
      </c>
      <c r="AR602" s="2">
        <v>6200000</v>
      </c>
      <c r="AS602" s="2">
        <v>0</v>
      </c>
      <c r="AT602" s="2">
        <v>0</v>
      </c>
      <c r="AU602" s="2">
        <v>0</v>
      </c>
      <c r="AV602" s="2">
        <v>0</v>
      </c>
      <c r="AW602" s="4"/>
      <c r="AX602" t="s">
        <v>75</v>
      </c>
      <c r="AZ602" t="s">
        <v>2105</v>
      </c>
      <c r="BA602" t="s">
        <v>67</v>
      </c>
      <c r="BB602" t="s">
        <v>2106</v>
      </c>
      <c r="BC602" t="s">
        <v>784</v>
      </c>
      <c r="BD602" t="s">
        <v>268</v>
      </c>
      <c r="BE602" t="s">
        <v>1351</v>
      </c>
      <c r="BF602" s="5">
        <v>46477</v>
      </c>
      <c r="BG602" t="s">
        <v>67</v>
      </c>
      <c r="BH602">
        <v>2</v>
      </c>
      <c r="BI602" s="6">
        <v>3972000</v>
      </c>
      <c r="BJ602" s="6">
        <v>0</v>
      </c>
      <c r="BK602" s="6">
        <v>872000</v>
      </c>
      <c r="BL602" s="6">
        <v>3100000</v>
      </c>
      <c r="BM602" s="2">
        <v>6200000</v>
      </c>
      <c r="BN602">
        <f>InvoiceTable[[#This Row],[Giảm giá]]*InvoiceTable[[#This Row],[Số lượng]]</f>
        <v>1744000</v>
      </c>
    </row>
    <row r="603" spans="1:66" x14ac:dyDescent="0.25">
      <c r="A603" t="s">
        <v>65</v>
      </c>
      <c r="B603" t="s">
        <v>2107</v>
      </c>
      <c r="F603" s="2"/>
      <c r="G603" s="3">
        <v>46009.720765196762</v>
      </c>
      <c r="H603" s="3">
        <v>46009.720765428239</v>
      </c>
      <c r="I603" s="4" t="s">
        <v>67</v>
      </c>
      <c r="J603" t="s">
        <v>67</v>
      </c>
      <c r="K603" t="s">
        <v>67</v>
      </c>
      <c r="L603" t="s">
        <v>2108</v>
      </c>
      <c r="M603" t="s">
        <v>2109</v>
      </c>
      <c r="N603" t="s">
        <v>2110</v>
      </c>
      <c r="O603" t="s">
        <v>2111</v>
      </c>
      <c r="S603" s="5"/>
      <c r="T603" t="s">
        <v>72</v>
      </c>
      <c r="U603" t="s">
        <v>87</v>
      </c>
      <c r="V603" t="s">
        <v>74</v>
      </c>
      <c r="W603" t="s">
        <v>87</v>
      </c>
      <c r="AE603" s="2"/>
      <c r="AF603" s="2"/>
      <c r="AG603" s="2"/>
      <c r="AH603" s="2"/>
      <c r="AL603" s="2">
        <v>1930000</v>
      </c>
      <c r="AM603" s="2">
        <v>810600</v>
      </c>
      <c r="AN603" s="2"/>
      <c r="AO603" s="2">
        <v>0</v>
      </c>
      <c r="AP603" s="2">
        <v>1119400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4"/>
      <c r="AX603" t="s">
        <v>75</v>
      </c>
      <c r="AZ603" t="s">
        <v>1208</v>
      </c>
      <c r="BA603" t="s">
        <v>67</v>
      </c>
      <c r="BB603" t="s">
        <v>1209</v>
      </c>
      <c r="BC603" t="s">
        <v>344</v>
      </c>
      <c r="BD603" t="s">
        <v>79</v>
      </c>
      <c r="BE603" t="s">
        <v>293</v>
      </c>
      <c r="BF603" s="5">
        <v>46722</v>
      </c>
      <c r="BH603">
        <v>1</v>
      </c>
      <c r="BI603" s="6">
        <v>950000</v>
      </c>
      <c r="BJ603" s="6">
        <v>0</v>
      </c>
      <c r="BK603" s="6">
        <v>0</v>
      </c>
      <c r="BL603" s="6">
        <v>950000</v>
      </c>
      <c r="BM603" s="2">
        <v>950000</v>
      </c>
      <c r="BN603">
        <f>InvoiceTable[[#This Row],[Giảm giá]]*InvoiceTable[[#This Row],[Số lượng]]</f>
        <v>0</v>
      </c>
    </row>
    <row r="604" spans="1:66" x14ac:dyDescent="0.25">
      <c r="A604" t="s">
        <v>65</v>
      </c>
      <c r="B604" t="s">
        <v>2107</v>
      </c>
      <c r="F604" s="2"/>
      <c r="G604" s="3">
        <v>46009.720765196762</v>
      </c>
      <c r="H604" s="3">
        <v>46009.720765428239</v>
      </c>
      <c r="I604" s="4" t="s">
        <v>67</v>
      </c>
      <c r="J604" t="s">
        <v>67</v>
      </c>
      <c r="K604" t="s">
        <v>67</v>
      </c>
      <c r="L604" t="s">
        <v>2108</v>
      </c>
      <c r="M604" t="s">
        <v>2109</v>
      </c>
      <c r="N604" t="s">
        <v>2110</v>
      </c>
      <c r="O604" t="s">
        <v>2111</v>
      </c>
      <c r="S604" s="5"/>
      <c r="T604" t="s">
        <v>72</v>
      </c>
      <c r="U604" t="s">
        <v>87</v>
      </c>
      <c r="V604" t="s">
        <v>74</v>
      </c>
      <c r="W604" t="s">
        <v>87</v>
      </c>
      <c r="AE604" s="2"/>
      <c r="AF604" s="2"/>
      <c r="AG604" s="2"/>
      <c r="AH604" s="2"/>
      <c r="AL604" s="2">
        <v>1930000</v>
      </c>
      <c r="AM604" s="2">
        <v>810600</v>
      </c>
      <c r="AN604" s="2"/>
      <c r="AO604" s="2">
        <v>0</v>
      </c>
      <c r="AP604" s="2">
        <v>1119400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4"/>
      <c r="AX604" t="s">
        <v>75</v>
      </c>
      <c r="AZ604" t="s">
        <v>342</v>
      </c>
      <c r="BA604" t="s">
        <v>67</v>
      </c>
      <c r="BB604" t="s">
        <v>343</v>
      </c>
      <c r="BC604" t="s">
        <v>344</v>
      </c>
      <c r="BD604" t="s">
        <v>79</v>
      </c>
      <c r="BE604" t="s">
        <v>177</v>
      </c>
      <c r="BF604" s="5">
        <v>47027</v>
      </c>
      <c r="BH604">
        <v>1</v>
      </c>
      <c r="BI604" s="6">
        <v>980000</v>
      </c>
      <c r="BJ604" s="6">
        <v>0</v>
      </c>
      <c r="BK604" s="6">
        <v>0</v>
      </c>
      <c r="BL604" s="6">
        <v>980000</v>
      </c>
      <c r="BM604" s="2">
        <v>980000</v>
      </c>
      <c r="BN604">
        <f>InvoiceTable[[#This Row],[Giảm giá]]*InvoiceTable[[#This Row],[Số lượng]]</f>
        <v>0</v>
      </c>
    </row>
    <row r="605" spans="1:66" x14ac:dyDescent="0.25">
      <c r="A605" t="s">
        <v>65</v>
      </c>
      <c r="B605" t="s">
        <v>2112</v>
      </c>
      <c r="F605" s="2"/>
      <c r="G605" s="3">
        <v>46009.70783634259</v>
      </c>
      <c r="H605" s="3">
        <v>46009.707836689813</v>
      </c>
      <c r="I605" s="4" t="s">
        <v>67</v>
      </c>
      <c r="J605" t="s">
        <v>2113</v>
      </c>
      <c r="K605" t="s">
        <v>67</v>
      </c>
      <c r="L605" t="s">
        <v>464</v>
      </c>
      <c r="M605" t="s">
        <v>465</v>
      </c>
      <c r="N605" t="s">
        <v>466</v>
      </c>
      <c r="O605" t="s">
        <v>467</v>
      </c>
      <c r="P605" t="s">
        <v>468</v>
      </c>
      <c r="S605" s="5"/>
      <c r="T605" t="s">
        <v>72</v>
      </c>
      <c r="U605" t="s">
        <v>73</v>
      </c>
      <c r="V605" t="s">
        <v>74</v>
      </c>
      <c r="W605" t="s">
        <v>73</v>
      </c>
      <c r="AE605" s="2"/>
      <c r="AF605" s="2"/>
      <c r="AG605" s="2"/>
      <c r="AH605" s="2"/>
      <c r="AK605" t="s">
        <v>909</v>
      </c>
      <c r="AL605" s="2">
        <v>2350000</v>
      </c>
      <c r="AM605" s="2">
        <v>0</v>
      </c>
      <c r="AN605" s="2"/>
      <c r="AO605" s="2">
        <v>0</v>
      </c>
      <c r="AP605" s="2">
        <v>2350000</v>
      </c>
      <c r="AQ605" s="2">
        <v>2350000</v>
      </c>
      <c r="AR605" s="2">
        <v>2350000</v>
      </c>
      <c r="AS605" s="2">
        <v>0</v>
      </c>
      <c r="AT605" s="2">
        <v>0</v>
      </c>
      <c r="AU605" s="2">
        <v>0</v>
      </c>
      <c r="AV605" s="2">
        <v>0</v>
      </c>
      <c r="AW605" s="4"/>
      <c r="AX605" t="s">
        <v>75</v>
      </c>
      <c r="AZ605" t="s">
        <v>1278</v>
      </c>
      <c r="BA605" t="s">
        <v>67</v>
      </c>
      <c r="BB605" t="s">
        <v>1279</v>
      </c>
      <c r="BC605" t="s">
        <v>1280</v>
      </c>
      <c r="BD605" t="s">
        <v>79</v>
      </c>
      <c r="BE605" t="s">
        <v>423</v>
      </c>
      <c r="BF605" s="5">
        <v>47543</v>
      </c>
      <c r="BG605" t="s">
        <v>67</v>
      </c>
      <c r="BH605">
        <v>1</v>
      </c>
      <c r="BI605" s="6">
        <v>3500000</v>
      </c>
      <c r="BJ605" s="6">
        <v>0</v>
      </c>
      <c r="BK605" s="6">
        <v>1150000</v>
      </c>
      <c r="BL605" s="6">
        <v>2350000</v>
      </c>
      <c r="BM605" s="2">
        <v>2350000</v>
      </c>
      <c r="BN605">
        <f>InvoiceTable[[#This Row],[Giảm giá]]*InvoiceTable[[#This Row],[Số lượng]]</f>
        <v>1150000</v>
      </c>
    </row>
    <row r="606" spans="1:66" x14ac:dyDescent="0.25">
      <c r="A606" t="s">
        <v>65</v>
      </c>
      <c r="B606" t="s">
        <v>2114</v>
      </c>
      <c r="F606" s="2"/>
      <c r="G606" s="3">
        <v>46009.701588854165</v>
      </c>
      <c r="H606" s="3">
        <v>46009.701588969911</v>
      </c>
      <c r="I606" s="4" t="s">
        <v>2115</v>
      </c>
      <c r="J606" t="s">
        <v>2116</v>
      </c>
      <c r="K606" t="s">
        <v>2117</v>
      </c>
      <c r="L606" t="s">
        <v>2118</v>
      </c>
      <c r="M606" t="s">
        <v>2119</v>
      </c>
      <c r="N606" t="s">
        <v>2120</v>
      </c>
      <c r="O606" t="s">
        <v>2121</v>
      </c>
      <c r="P606" t="s">
        <v>2122</v>
      </c>
      <c r="S606" s="5"/>
      <c r="T606" t="s">
        <v>72</v>
      </c>
      <c r="U606" t="s">
        <v>73</v>
      </c>
      <c r="V606" t="s">
        <v>74</v>
      </c>
      <c r="W606" t="s">
        <v>102</v>
      </c>
      <c r="AE606" s="2"/>
      <c r="AF606" s="2"/>
      <c r="AG606" s="2"/>
      <c r="AH606" s="2"/>
      <c r="AK606" t="s">
        <v>2123</v>
      </c>
      <c r="AL606" s="2">
        <v>1275000</v>
      </c>
      <c r="AM606" s="2">
        <v>0</v>
      </c>
      <c r="AN606" s="2"/>
      <c r="AO606" s="2">
        <v>0</v>
      </c>
      <c r="AP606" s="2">
        <v>1275000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4"/>
      <c r="AX606" t="s">
        <v>75</v>
      </c>
      <c r="AZ606" t="s">
        <v>2124</v>
      </c>
      <c r="BA606" t="s">
        <v>67</v>
      </c>
      <c r="BB606" t="s">
        <v>2125</v>
      </c>
      <c r="BC606" t="s">
        <v>223</v>
      </c>
      <c r="BD606" t="s">
        <v>79</v>
      </c>
      <c r="BE606" t="s">
        <v>715</v>
      </c>
      <c r="BF606" s="5">
        <v>46631</v>
      </c>
      <c r="BH606">
        <v>1</v>
      </c>
      <c r="BI606" s="6">
        <v>2550000</v>
      </c>
      <c r="BJ606" s="6">
        <v>50</v>
      </c>
      <c r="BK606" s="6">
        <v>1275000</v>
      </c>
      <c r="BL606" s="6">
        <v>1275000</v>
      </c>
      <c r="BM606" s="2">
        <v>1275000</v>
      </c>
      <c r="BN606">
        <f>InvoiceTable[[#This Row],[Giảm giá]]*InvoiceTable[[#This Row],[Số lượng]]</f>
        <v>1275000</v>
      </c>
    </row>
    <row r="607" spans="1:66" x14ac:dyDescent="0.25">
      <c r="A607" t="s">
        <v>65</v>
      </c>
      <c r="B607" t="s">
        <v>2126</v>
      </c>
      <c r="F607" s="2"/>
      <c r="G607" s="3">
        <v>46009.697349803238</v>
      </c>
      <c r="H607" s="3">
        <v>46009.69735008102</v>
      </c>
      <c r="I607" s="4" t="s">
        <v>67</v>
      </c>
      <c r="J607" t="s">
        <v>2127</v>
      </c>
      <c r="K607" t="s">
        <v>67</v>
      </c>
      <c r="L607" t="s">
        <v>398</v>
      </c>
      <c r="M607" t="s">
        <v>399</v>
      </c>
      <c r="N607" t="s">
        <v>400</v>
      </c>
      <c r="O607" t="s">
        <v>401</v>
      </c>
      <c r="P607" t="s">
        <v>402</v>
      </c>
      <c r="S607" s="5"/>
      <c r="T607" t="s">
        <v>72</v>
      </c>
      <c r="U607" t="s">
        <v>102</v>
      </c>
      <c r="V607" t="s">
        <v>74</v>
      </c>
      <c r="W607" t="s">
        <v>87</v>
      </c>
      <c r="AE607" s="2"/>
      <c r="AF607" s="2"/>
      <c r="AG607" s="2"/>
      <c r="AH607" s="2"/>
      <c r="AK607" t="s">
        <v>2128</v>
      </c>
      <c r="AL607" s="2">
        <v>597150</v>
      </c>
      <c r="AM607" s="2">
        <v>0</v>
      </c>
      <c r="AN607" s="2"/>
      <c r="AO607" s="2">
        <v>0</v>
      </c>
      <c r="AP607" s="2">
        <v>597150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4"/>
      <c r="AX607" t="s">
        <v>75</v>
      </c>
      <c r="AZ607" t="s">
        <v>88</v>
      </c>
      <c r="BB607" t="s">
        <v>89</v>
      </c>
      <c r="BC607" t="s">
        <v>90</v>
      </c>
      <c r="BF607" s="5"/>
      <c r="BG607" t="s">
        <v>67</v>
      </c>
      <c r="BH607">
        <v>1</v>
      </c>
      <c r="BI607" s="6">
        <v>30000</v>
      </c>
      <c r="BJ607" s="6">
        <v>0</v>
      </c>
      <c r="BK607" s="6">
        <v>0</v>
      </c>
      <c r="BL607" s="6">
        <v>30000</v>
      </c>
      <c r="BM607" s="2">
        <v>30000</v>
      </c>
      <c r="BN607">
        <f>InvoiceTable[[#This Row],[Giảm giá]]*InvoiceTable[[#This Row],[Số lượng]]</f>
        <v>0</v>
      </c>
    </row>
    <row r="608" spans="1:66" x14ac:dyDescent="0.25">
      <c r="A608" t="s">
        <v>65</v>
      </c>
      <c r="B608" t="s">
        <v>2126</v>
      </c>
      <c r="F608" s="2"/>
      <c r="G608" s="3">
        <v>46009.697349803238</v>
      </c>
      <c r="H608" s="3">
        <v>46009.69735008102</v>
      </c>
      <c r="I608" s="4" t="s">
        <v>67</v>
      </c>
      <c r="J608" t="s">
        <v>2127</v>
      </c>
      <c r="K608" t="s">
        <v>67</v>
      </c>
      <c r="L608" t="s">
        <v>398</v>
      </c>
      <c r="M608" t="s">
        <v>399</v>
      </c>
      <c r="N608" t="s">
        <v>400</v>
      </c>
      <c r="O608" t="s">
        <v>401</v>
      </c>
      <c r="P608" t="s">
        <v>402</v>
      </c>
      <c r="S608" s="5"/>
      <c r="T608" t="s">
        <v>72</v>
      </c>
      <c r="U608" t="s">
        <v>102</v>
      </c>
      <c r="V608" t="s">
        <v>74</v>
      </c>
      <c r="W608" t="s">
        <v>87</v>
      </c>
      <c r="AE608" s="2"/>
      <c r="AF608" s="2"/>
      <c r="AG608" s="2"/>
      <c r="AH608" s="2"/>
      <c r="AK608" t="s">
        <v>2128</v>
      </c>
      <c r="AL608" s="2">
        <v>597150</v>
      </c>
      <c r="AM608" s="2">
        <v>0</v>
      </c>
      <c r="AN608" s="2"/>
      <c r="AO608" s="2">
        <v>0</v>
      </c>
      <c r="AP608" s="2">
        <v>597150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4"/>
      <c r="AX608" t="s">
        <v>75</v>
      </c>
      <c r="AZ608" t="s">
        <v>2129</v>
      </c>
      <c r="BB608" t="s">
        <v>2130</v>
      </c>
      <c r="BC608" t="s">
        <v>251</v>
      </c>
      <c r="BD608" t="s">
        <v>79</v>
      </c>
      <c r="BE608" t="s">
        <v>155</v>
      </c>
      <c r="BF608" s="5">
        <v>46600</v>
      </c>
      <c r="BG608" t="s">
        <v>67</v>
      </c>
      <c r="BH608">
        <v>1</v>
      </c>
      <c r="BI608" s="6">
        <v>995000</v>
      </c>
      <c r="BJ608" s="6">
        <v>43</v>
      </c>
      <c r="BK608" s="6">
        <v>427850</v>
      </c>
      <c r="BL608" s="6">
        <v>567150</v>
      </c>
      <c r="BM608" s="2">
        <v>567150</v>
      </c>
      <c r="BN608">
        <f>InvoiceTable[[#This Row],[Giảm giá]]*InvoiceTable[[#This Row],[Số lượng]]</f>
        <v>427850</v>
      </c>
    </row>
    <row r="609" spans="1:66" x14ac:dyDescent="0.25">
      <c r="A609" t="s">
        <v>65</v>
      </c>
      <c r="B609" t="s">
        <v>2131</v>
      </c>
      <c r="F609" s="2"/>
      <c r="G609" s="3">
        <v>46009.689938506941</v>
      </c>
      <c r="H609" s="3">
        <v>46009.68993857639</v>
      </c>
      <c r="I609" s="4" t="s">
        <v>67</v>
      </c>
      <c r="J609" t="s">
        <v>67</v>
      </c>
      <c r="K609" t="s">
        <v>67</v>
      </c>
      <c r="L609" t="s">
        <v>1875</v>
      </c>
      <c r="M609" t="s">
        <v>1876</v>
      </c>
      <c r="N609" t="s">
        <v>67</v>
      </c>
      <c r="O609" t="s">
        <v>1877</v>
      </c>
      <c r="S609" s="5"/>
      <c r="T609" t="s">
        <v>72</v>
      </c>
      <c r="U609" t="s">
        <v>87</v>
      </c>
      <c r="V609" t="s">
        <v>74</v>
      </c>
      <c r="W609" t="s">
        <v>87</v>
      </c>
      <c r="AE609" s="2"/>
      <c r="AF609" s="2"/>
      <c r="AG609" s="2"/>
      <c r="AH609" s="2"/>
      <c r="AK609" t="s">
        <v>2132</v>
      </c>
      <c r="AL609" s="2">
        <v>1284660</v>
      </c>
      <c r="AM609" s="2">
        <v>0</v>
      </c>
      <c r="AN609" s="2"/>
      <c r="AO609" s="2">
        <v>0</v>
      </c>
      <c r="AP609" s="2">
        <v>1284660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4"/>
      <c r="AX609" t="s">
        <v>75</v>
      </c>
      <c r="AZ609" t="s">
        <v>91</v>
      </c>
      <c r="BA609" t="s">
        <v>67</v>
      </c>
      <c r="BB609" t="s">
        <v>92</v>
      </c>
      <c r="BC609" t="s">
        <v>93</v>
      </c>
      <c r="BD609" t="s">
        <v>79</v>
      </c>
      <c r="BE609" t="s">
        <v>94</v>
      </c>
      <c r="BF609" s="5">
        <v>46692</v>
      </c>
      <c r="BH609">
        <v>3</v>
      </c>
      <c r="BI609" s="6">
        <v>702000</v>
      </c>
      <c r="BJ609" s="6">
        <v>39</v>
      </c>
      <c r="BK609" s="6">
        <v>273780</v>
      </c>
      <c r="BL609" s="6">
        <v>428220</v>
      </c>
      <c r="BM609" s="2">
        <v>1284660</v>
      </c>
      <c r="BN609">
        <f>InvoiceTable[[#This Row],[Giảm giá]]*InvoiceTable[[#This Row],[Số lượng]]</f>
        <v>821340</v>
      </c>
    </row>
    <row r="610" spans="1:66" x14ac:dyDescent="0.25">
      <c r="A610" t="s">
        <v>65</v>
      </c>
      <c r="B610" t="s">
        <v>2133</v>
      </c>
      <c r="F610" s="2"/>
      <c r="G610" s="3">
        <v>46009.687264155094</v>
      </c>
      <c r="H610" s="3">
        <v>46009.687171678241</v>
      </c>
      <c r="I610" s="4" t="s">
        <v>96</v>
      </c>
      <c r="J610" t="s">
        <v>2134</v>
      </c>
      <c r="K610" t="s">
        <v>67</v>
      </c>
      <c r="L610" t="s">
        <v>548</v>
      </c>
      <c r="M610" t="s">
        <v>549</v>
      </c>
      <c r="N610" t="s">
        <v>67</v>
      </c>
      <c r="O610" t="s">
        <v>550</v>
      </c>
      <c r="P610" t="s">
        <v>551</v>
      </c>
      <c r="Q610" t="s">
        <v>67</v>
      </c>
      <c r="R610" t="s">
        <v>67</v>
      </c>
      <c r="S610" s="5"/>
      <c r="T610" t="s">
        <v>72</v>
      </c>
      <c r="U610" t="s">
        <v>73</v>
      </c>
      <c r="V610" t="s">
        <v>74</v>
      </c>
      <c r="W610" t="s">
        <v>87</v>
      </c>
      <c r="AE610" s="2"/>
      <c r="AF610" s="2"/>
      <c r="AG610" s="2"/>
      <c r="AH610" s="2"/>
      <c r="AK610" t="s">
        <v>258</v>
      </c>
      <c r="AL610" s="2">
        <v>8832200</v>
      </c>
      <c r="AM610" s="2">
        <v>0</v>
      </c>
      <c r="AN610" s="2"/>
      <c r="AO610" s="2">
        <v>0</v>
      </c>
      <c r="AP610" s="2">
        <v>8832200</v>
      </c>
      <c r="AQ610" s="2">
        <v>8832200</v>
      </c>
      <c r="AR610" s="2">
        <v>0</v>
      </c>
      <c r="AS610" s="2">
        <v>0</v>
      </c>
      <c r="AT610" s="2">
        <v>0</v>
      </c>
      <c r="AU610" s="2">
        <v>8832200</v>
      </c>
      <c r="AV610" s="2">
        <v>0</v>
      </c>
      <c r="AW610" s="4"/>
      <c r="AX610" t="s">
        <v>75</v>
      </c>
      <c r="AZ610" t="s">
        <v>2135</v>
      </c>
      <c r="BB610" t="s">
        <v>2136</v>
      </c>
      <c r="BC610" t="s">
        <v>2137</v>
      </c>
      <c r="BD610" t="s">
        <v>79</v>
      </c>
      <c r="BE610" t="s">
        <v>131</v>
      </c>
      <c r="BF610" s="5">
        <v>46874</v>
      </c>
      <c r="BG610" t="s">
        <v>67</v>
      </c>
      <c r="BH610">
        <v>1</v>
      </c>
      <c r="BI610" s="6">
        <v>1990000</v>
      </c>
      <c r="BJ610" s="6">
        <v>40</v>
      </c>
      <c r="BK610" s="6">
        <v>796000</v>
      </c>
      <c r="BL610" s="6">
        <v>1194000</v>
      </c>
      <c r="BM610" s="2">
        <v>1194000</v>
      </c>
      <c r="BN610">
        <f>InvoiceTable[[#This Row],[Giảm giá]]*InvoiceTable[[#This Row],[Số lượng]]</f>
        <v>796000</v>
      </c>
    </row>
    <row r="611" spans="1:66" x14ac:dyDescent="0.25">
      <c r="A611" t="s">
        <v>65</v>
      </c>
      <c r="B611" t="s">
        <v>2133</v>
      </c>
      <c r="F611" s="2"/>
      <c r="G611" s="3">
        <v>46009.687264155094</v>
      </c>
      <c r="H611" s="3">
        <v>46009.687171678241</v>
      </c>
      <c r="I611" s="4" t="s">
        <v>96</v>
      </c>
      <c r="J611" t="s">
        <v>2134</v>
      </c>
      <c r="K611" t="s">
        <v>67</v>
      </c>
      <c r="L611" t="s">
        <v>548</v>
      </c>
      <c r="M611" t="s">
        <v>549</v>
      </c>
      <c r="N611" t="s">
        <v>67</v>
      </c>
      <c r="O611" t="s">
        <v>550</v>
      </c>
      <c r="P611" t="s">
        <v>551</v>
      </c>
      <c r="Q611" t="s">
        <v>67</v>
      </c>
      <c r="R611" t="s">
        <v>67</v>
      </c>
      <c r="S611" s="5"/>
      <c r="T611" t="s">
        <v>72</v>
      </c>
      <c r="U611" t="s">
        <v>73</v>
      </c>
      <c r="V611" t="s">
        <v>74</v>
      </c>
      <c r="W611" t="s">
        <v>87</v>
      </c>
      <c r="AE611" s="2"/>
      <c r="AF611" s="2"/>
      <c r="AG611" s="2"/>
      <c r="AH611" s="2"/>
      <c r="AK611" t="s">
        <v>258</v>
      </c>
      <c r="AL611" s="2">
        <v>8832200</v>
      </c>
      <c r="AM611" s="2">
        <v>0</v>
      </c>
      <c r="AN611" s="2"/>
      <c r="AO611" s="2">
        <v>0</v>
      </c>
      <c r="AP611" s="2">
        <v>8832200</v>
      </c>
      <c r="AQ611" s="2">
        <v>8832200</v>
      </c>
      <c r="AR611" s="2">
        <v>0</v>
      </c>
      <c r="AS611" s="2">
        <v>0</v>
      </c>
      <c r="AT611" s="2">
        <v>0</v>
      </c>
      <c r="AU611" s="2">
        <v>8832200</v>
      </c>
      <c r="AV611" s="2">
        <v>0</v>
      </c>
      <c r="AW611" s="4"/>
      <c r="AX611" t="s">
        <v>75</v>
      </c>
      <c r="AZ611" t="s">
        <v>1105</v>
      </c>
      <c r="BA611" t="s">
        <v>67</v>
      </c>
      <c r="BB611" t="s">
        <v>1106</v>
      </c>
      <c r="BC611" t="s">
        <v>939</v>
      </c>
      <c r="BD611" t="s">
        <v>79</v>
      </c>
      <c r="BE611" t="s">
        <v>378</v>
      </c>
      <c r="BF611" s="5">
        <v>46997</v>
      </c>
      <c r="BH611">
        <v>2</v>
      </c>
      <c r="BI611" s="6">
        <v>845000</v>
      </c>
      <c r="BJ611" s="6">
        <v>37</v>
      </c>
      <c r="BK611" s="6">
        <v>312650</v>
      </c>
      <c r="BL611" s="6">
        <v>532350</v>
      </c>
      <c r="BM611" s="2">
        <v>1064700</v>
      </c>
      <c r="BN611">
        <f>InvoiceTable[[#This Row],[Giảm giá]]*InvoiceTable[[#This Row],[Số lượng]]</f>
        <v>625300</v>
      </c>
    </row>
    <row r="612" spans="1:66" x14ac:dyDescent="0.25">
      <c r="A612" t="s">
        <v>65</v>
      </c>
      <c r="B612" t="s">
        <v>2133</v>
      </c>
      <c r="F612" s="2"/>
      <c r="G612" s="3">
        <v>46009.687264155094</v>
      </c>
      <c r="H612" s="3">
        <v>46009.687171678241</v>
      </c>
      <c r="I612" s="4" t="s">
        <v>96</v>
      </c>
      <c r="J612" t="s">
        <v>2134</v>
      </c>
      <c r="K612" t="s">
        <v>67</v>
      </c>
      <c r="L612" t="s">
        <v>548</v>
      </c>
      <c r="M612" t="s">
        <v>549</v>
      </c>
      <c r="N612" t="s">
        <v>67</v>
      </c>
      <c r="O612" t="s">
        <v>550</v>
      </c>
      <c r="P612" t="s">
        <v>551</v>
      </c>
      <c r="Q612" t="s">
        <v>67</v>
      </c>
      <c r="R612" t="s">
        <v>67</v>
      </c>
      <c r="S612" s="5"/>
      <c r="T612" t="s">
        <v>72</v>
      </c>
      <c r="U612" t="s">
        <v>73</v>
      </c>
      <c r="V612" t="s">
        <v>74</v>
      </c>
      <c r="W612" t="s">
        <v>87</v>
      </c>
      <c r="AE612" s="2"/>
      <c r="AF612" s="2"/>
      <c r="AG612" s="2"/>
      <c r="AH612" s="2"/>
      <c r="AK612" t="s">
        <v>258</v>
      </c>
      <c r="AL612" s="2">
        <v>8832200</v>
      </c>
      <c r="AM612" s="2">
        <v>0</v>
      </c>
      <c r="AN612" s="2"/>
      <c r="AO612" s="2">
        <v>0</v>
      </c>
      <c r="AP612" s="2">
        <v>8832200</v>
      </c>
      <c r="AQ612" s="2">
        <v>8832200</v>
      </c>
      <c r="AR612" s="2">
        <v>0</v>
      </c>
      <c r="AS612" s="2">
        <v>0</v>
      </c>
      <c r="AT612" s="2">
        <v>0</v>
      </c>
      <c r="AU612" s="2">
        <v>8832200</v>
      </c>
      <c r="AV612" s="2">
        <v>0</v>
      </c>
      <c r="AW612" s="4"/>
      <c r="AX612" t="s">
        <v>75</v>
      </c>
      <c r="AZ612" t="s">
        <v>2138</v>
      </c>
      <c r="BA612" t="s">
        <v>67</v>
      </c>
      <c r="BB612" t="s">
        <v>2139</v>
      </c>
      <c r="BC612" t="s">
        <v>2140</v>
      </c>
      <c r="BD612" t="s">
        <v>79</v>
      </c>
      <c r="BE612" t="s">
        <v>2141</v>
      </c>
      <c r="BF612" s="5">
        <v>47727</v>
      </c>
      <c r="BG612" t="s">
        <v>67</v>
      </c>
      <c r="BH612">
        <v>2</v>
      </c>
      <c r="BI612" s="6">
        <v>2150000</v>
      </c>
      <c r="BJ612" s="6">
        <v>30</v>
      </c>
      <c r="BK612" s="6">
        <v>645000</v>
      </c>
      <c r="BL612" s="6">
        <v>1505000</v>
      </c>
      <c r="BM612" s="2">
        <v>3010000</v>
      </c>
      <c r="BN612">
        <f>InvoiceTable[[#This Row],[Giảm giá]]*InvoiceTable[[#This Row],[Số lượng]]</f>
        <v>1290000</v>
      </c>
    </row>
    <row r="613" spans="1:66" x14ac:dyDescent="0.25">
      <c r="A613" t="s">
        <v>65</v>
      </c>
      <c r="B613" t="s">
        <v>2133</v>
      </c>
      <c r="F613" s="2"/>
      <c r="G613" s="3">
        <v>46009.687264155094</v>
      </c>
      <c r="H613" s="3">
        <v>46009.687171678241</v>
      </c>
      <c r="I613" s="4" t="s">
        <v>96</v>
      </c>
      <c r="J613" t="s">
        <v>2134</v>
      </c>
      <c r="K613" t="s">
        <v>67</v>
      </c>
      <c r="L613" t="s">
        <v>548</v>
      </c>
      <c r="M613" t="s">
        <v>549</v>
      </c>
      <c r="N613" t="s">
        <v>67</v>
      </c>
      <c r="O613" t="s">
        <v>550</v>
      </c>
      <c r="P613" t="s">
        <v>551</v>
      </c>
      <c r="Q613" t="s">
        <v>67</v>
      </c>
      <c r="R613" t="s">
        <v>67</v>
      </c>
      <c r="S613" s="5"/>
      <c r="T613" t="s">
        <v>72</v>
      </c>
      <c r="U613" t="s">
        <v>73</v>
      </c>
      <c r="V613" t="s">
        <v>74</v>
      </c>
      <c r="W613" t="s">
        <v>87</v>
      </c>
      <c r="AE613" s="2"/>
      <c r="AF613" s="2"/>
      <c r="AG613" s="2"/>
      <c r="AH613" s="2"/>
      <c r="AK613" t="s">
        <v>258</v>
      </c>
      <c r="AL613" s="2">
        <v>8832200</v>
      </c>
      <c r="AM613" s="2">
        <v>0</v>
      </c>
      <c r="AN613" s="2"/>
      <c r="AO613" s="2">
        <v>0</v>
      </c>
      <c r="AP613" s="2">
        <v>8832200</v>
      </c>
      <c r="AQ613" s="2">
        <v>8832200</v>
      </c>
      <c r="AR613" s="2">
        <v>0</v>
      </c>
      <c r="AS613" s="2">
        <v>0</v>
      </c>
      <c r="AT613" s="2">
        <v>0</v>
      </c>
      <c r="AU613" s="2">
        <v>8832200</v>
      </c>
      <c r="AV613" s="2">
        <v>0</v>
      </c>
      <c r="AW613" s="4"/>
      <c r="AX613" t="s">
        <v>75</v>
      </c>
      <c r="AZ613" t="s">
        <v>2142</v>
      </c>
      <c r="BA613" t="s">
        <v>67</v>
      </c>
      <c r="BB613" t="s">
        <v>2143</v>
      </c>
      <c r="BC613" t="s">
        <v>2140</v>
      </c>
      <c r="BD613" t="s">
        <v>79</v>
      </c>
      <c r="BE613" t="s">
        <v>348</v>
      </c>
      <c r="BF613" s="5">
        <v>47484</v>
      </c>
      <c r="BG613" t="s">
        <v>67</v>
      </c>
      <c r="BH613">
        <v>2</v>
      </c>
      <c r="BI613" s="6">
        <v>1850000</v>
      </c>
      <c r="BJ613" s="6">
        <v>30</v>
      </c>
      <c r="BK613" s="6">
        <v>555000</v>
      </c>
      <c r="BL613" s="6">
        <v>1295000</v>
      </c>
      <c r="BM613" s="2">
        <v>2590000</v>
      </c>
      <c r="BN613">
        <f>InvoiceTable[[#This Row],[Giảm giá]]*InvoiceTable[[#This Row],[Số lượng]]</f>
        <v>1110000</v>
      </c>
    </row>
    <row r="614" spans="1:66" x14ac:dyDescent="0.25">
      <c r="A614" t="s">
        <v>65</v>
      </c>
      <c r="B614" t="s">
        <v>2133</v>
      </c>
      <c r="F614" s="2"/>
      <c r="G614" s="3">
        <v>46009.687264155094</v>
      </c>
      <c r="H614" s="3">
        <v>46009.687171678241</v>
      </c>
      <c r="I614" s="4" t="s">
        <v>96</v>
      </c>
      <c r="J614" t="s">
        <v>2134</v>
      </c>
      <c r="K614" t="s">
        <v>67</v>
      </c>
      <c r="L614" t="s">
        <v>548</v>
      </c>
      <c r="M614" t="s">
        <v>549</v>
      </c>
      <c r="N614" t="s">
        <v>67</v>
      </c>
      <c r="O614" t="s">
        <v>550</v>
      </c>
      <c r="P614" t="s">
        <v>551</v>
      </c>
      <c r="Q614" t="s">
        <v>67</v>
      </c>
      <c r="R614" t="s">
        <v>67</v>
      </c>
      <c r="S614" s="5"/>
      <c r="T614" t="s">
        <v>72</v>
      </c>
      <c r="U614" t="s">
        <v>73</v>
      </c>
      <c r="V614" t="s">
        <v>74</v>
      </c>
      <c r="W614" t="s">
        <v>87</v>
      </c>
      <c r="AE614" s="2"/>
      <c r="AF614" s="2"/>
      <c r="AG614" s="2"/>
      <c r="AH614" s="2"/>
      <c r="AK614" t="s">
        <v>258</v>
      </c>
      <c r="AL614" s="2">
        <v>8832200</v>
      </c>
      <c r="AM614" s="2">
        <v>0</v>
      </c>
      <c r="AN614" s="2"/>
      <c r="AO614" s="2">
        <v>0</v>
      </c>
      <c r="AP614" s="2">
        <v>8832200</v>
      </c>
      <c r="AQ614" s="2">
        <v>8832200</v>
      </c>
      <c r="AR614" s="2">
        <v>0</v>
      </c>
      <c r="AS614" s="2">
        <v>0</v>
      </c>
      <c r="AT614" s="2">
        <v>0</v>
      </c>
      <c r="AU614" s="2">
        <v>8832200</v>
      </c>
      <c r="AV614" s="2">
        <v>0</v>
      </c>
      <c r="AW614" s="4"/>
      <c r="AX614" t="s">
        <v>75</v>
      </c>
      <c r="AZ614" t="s">
        <v>2144</v>
      </c>
      <c r="BA614" t="s">
        <v>67</v>
      </c>
      <c r="BB614" t="s">
        <v>2145</v>
      </c>
      <c r="BC614" t="s">
        <v>154</v>
      </c>
      <c r="BD614" t="s">
        <v>79</v>
      </c>
      <c r="BE614" t="s">
        <v>177</v>
      </c>
      <c r="BF614" s="5">
        <v>47027</v>
      </c>
      <c r="BH614">
        <v>1</v>
      </c>
      <c r="BI614" s="6">
        <v>1770000</v>
      </c>
      <c r="BJ614" s="6">
        <v>45</v>
      </c>
      <c r="BK614" s="6">
        <v>796500</v>
      </c>
      <c r="BL614" s="6">
        <v>973500</v>
      </c>
      <c r="BM614" s="2">
        <v>973500</v>
      </c>
      <c r="BN614">
        <f>InvoiceTable[[#This Row],[Giảm giá]]*InvoiceTable[[#This Row],[Số lượng]]</f>
        <v>796500</v>
      </c>
    </row>
    <row r="615" spans="1:66" x14ac:dyDescent="0.25">
      <c r="A615" t="s">
        <v>65</v>
      </c>
      <c r="B615" t="s">
        <v>2146</v>
      </c>
      <c r="F615" s="2"/>
      <c r="G615" s="3">
        <v>46009.682672881943</v>
      </c>
      <c r="H615" s="3">
        <v>46009.682673067131</v>
      </c>
      <c r="I615" s="4" t="s">
        <v>67</v>
      </c>
      <c r="J615" t="s">
        <v>67</v>
      </c>
      <c r="K615" t="s">
        <v>67</v>
      </c>
      <c r="L615" t="s">
        <v>2147</v>
      </c>
      <c r="M615" t="s">
        <v>2148</v>
      </c>
      <c r="N615" t="s">
        <v>67</v>
      </c>
      <c r="O615" t="s">
        <v>2149</v>
      </c>
      <c r="P615" t="s">
        <v>2150</v>
      </c>
      <c r="S615" s="5"/>
      <c r="T615" t="s">
        <v>72</v>
      </c>
      <c r="U615" t="s">
        <v>102</v>
      </c>
      <c r="V615" t="s">
        <v>74</v>
      </c>
      <c r="W615" t="s">
        <v>102</v>
      </c>
      <c r="AE615" s="2"/>
      <c r="AF615" s="2"/>
      <c r="AG615" s="2"/>
      <c r="AH615" s="2"/>
      <c r="AL615" s="2">
        <v>1534000</v>
      </c>
      <c r="AM615" s="2">
        <v>0</v>
      </c>
      <c r="AN615" s="2"/>
      <c r="AO615" s="2">
        <v>0</v>
      </c>
      <c r="AP615" s="2">
        <v>1534000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4"/>
      <c r="AX615" t="s">
        <v>75</v>
      </c>
      <c r="AZ615" t="s">
        <v>1654</v>
      </c>
      <c r="BA615" t="s">
        <v>67</v>
      </c>
      <c r="BB615" t="s">
        <v>1655</v>
      </c>
      <c r="BC615" t="s">
        <v>1656</v>
      </c>
      <c r="BD615" t="s">
        <v>79</v>
      </c>
      <c r="BE615" t="s">
        <v>810</v>
      </c>
      <c r="BF615" s="5">
        <v>46539</v>
      </c>
      <c r="BH615">
        <v>1</v>
      </c>
      <c r="BI615" s="6">
        <v>2360000</v>
      </c>
      <c r="BJ615" s="6">
        <v>35</v>
      </c>
      <c r="BK615" s="6">
        <v>826000</v>
      </c>
      <c r="BL615" s="6">
        <v>1534000</v>
      </c>
      <c r="BM615" s="2">
        <v>1534000</v>
      </c>
      <c r="BN615">
        <f>InvoiceTable[[#This Row],[Giảm giá]]*InvoiceTable[[#This Row],[Số lượng]]</f>
        <v>826000</v>
      </c>
    </row>
    <row r="616" spans="1:66" x14ac:dyDescent="0.25">
      <c r="A616" t="s">
        <v>65</v>
      </c>
      <c r="B616" t="s">
        <v>2151</v>
      </c>
      <c r="F616" s="2"/>
      <c r="G616" s="3">
        <v>46009.681889155094</v>
      </c>
      <c r="H616" s="3">
        <v>46009.681889270832</v>
      </c>
      <c r="I616" s="4" t="s">
        <v>67</v>
      </c>
      <c r="J616" t="s">
        <v>2152</v>
      </c>
      <c r="K616" t="s">
        <v>67</v>
      </c>
      <c r="L616" t="s">
        <v>548</v>
      </c>
      <c r="M616" t="s">
        <v>549</v>
      </c>
      <c r="N616" t="s">
        <v>67</v>
      </c>
      <c r="O616" t="s">
        <v>550</v>
      </c>
      <c r="P616" t="s">
        <v>551</v>
      </c>
      <c r="Q616" t="s">
        <v>67</v>
      </c>
      <c r="R616" t="s">
        <v>67</v>
      </c>
      <c r="S616" s="5"/>
      <c r="T616" t="s">
        <v>72</v>
      </c>
      <c r="U616" t="s">
        <v>73</v>
      </c>
      <c r="V616" t="s">
        <v>74</v>
      </c>
      <c r="W616" t="s">
        <v>87</v>
      </c>
      <c r="AE616" s="2"/>
      <c r="AF616" s="2"/>
      <c r="AG616" s="2"/>
      <c r="AH616" s="2"/>
      <c r="AK616" t="s">
        <v>258</v>
      </c>
      <c r="AL616" s="2">
        <v>2501420</v>
      </c>
      <c r="AM616" s="2">
        <v>0</v>
      </c>
      <c r="AN616" s="2"/>
      <c r="AO616" s="2">
        <v>0</v>
      </c>
      <c r="AP616" s="2">
        <v>2501420</v>
      </c>
      <c r="AQ616" s="2">
        <v>2501420</v>
      </c>
      <c r="AR616" s="2">
        <v>0</v>
      </c>
      <c r="AS616" s="2">
        <v>0</v>
      </c>
      <c r="AT616" s="2">
        <v>0</v>
      </c>
      <c r="AU616" s="2">
        <v>2501420</v>
      </c>
      <c r="AV616" s="2">
        <v>0</v>
      </c>
      <c r="AW616" s="4"/>
      <c r="AX616" t="s">
        <v>75</v>
      </c>
      <c r="AZ616" t="s">
        <v>553</v>
      </c>
      <c r="BA616" t="s">
        <v>67</v>
      </c>
      <c r="BB616" t="s">
        <v>554</v>
      </c>
      <c r="BC616" t="s">
        <v>347</v>
      </c>
      <c r="BD616" t="s">
        <v>79</v>
      </c>
      <c r="BE616" t="s">
        <v>506</v>
      </c>
      <c r="BF616" s="5">
        <v>47604</v>
      </c>
      <c r="BH616">
        <v>2</v>
      </c>
      <c r="BI616" s="6">
        <v>550000</v>
      </c>
      <c r="BJ616" s="6">
        <v>35</v>
      </c>
      <c r="BK616" s="6">
        <v>192500</v>
      </c>
      <c r="BL616" s="6">
        <v>357500</v>
      </c>
      <c r="BM616" s="2">
        <v>715000</v>
      </c>
      <c r="BN616">
        <f>InvoiceTable[[#This Row],[Giảm giá]]*InvoiceTable[[#This Row],[Số lượng]]</f>
        <v>385000</v>
      </c>
    </row>
    <row r="617" spans="1:66" x14ac:dyDescent="0.25">
      <c r="A617" t="s">
        <v>65</v>
      </c>
      <c r="B617" t="s">
        <v>2151</v>
      </c>
      <c r="F617" s="2"/>
      <c r="G617" s="3">
        <v>46009.681889155094</v>
      </c>
      <c r="H617" s="3">
        <v>46009.681889270832</v>
      </c>
      <c r="I617" s="4" t="s">
        <v>67</v>
      </c>
      <c r="J617" t="s">
        <v>2152</v>
      </c>
      <c r="K617" t="s">
        <v>67</v>
      </c>
      <c r="L617" t="s">
        <v>548</v>
      </c>
      <c r="M617" t="s">
        <v>549</v>
      </c>
      <c r="N617" t="s">
        <v>67</v>
      </c>
      <c r="O617" t="s">
        <v>550</v>
      </c>
      <c r="P617" t="s">
        <v>551</v>
      </c>
      <c r="Q617" t="s">
        <v>67</v>
      </c>
      <c r="R617" t="s">
        <v>67</v>
      </c>
      <c r="S617" s="5"/>
      <c r="T617" t="s">
        <v>72</v>
      </c>
      <c r="U617" t="s">
        <v>73</v>
      </c>
      <c r="V617" t="s">
        <v>74</v>
      </c>
      <c r="W617" t="s">
        <v>87</v>
      </c>
      <c r="AE617" s="2"/>
      <c r="AF617" s="2"/>
      <c r="AG617" s="2"/>
      <c r="AH617" s="2"/>
      <c r="AK617" t="s">
        <v>258</v>
      </c>
      <c r="AL617" s="2">
        <v>2501420</v>
      </c>
      <c r="AM617" s="2">
        <v>0</v>
      </c>
      <c r="AN617" s="2"/>
      <c r="AO617" s="2">
        <v>0</v>
      </c>
      <c r="AP617" s="2">
        <v>2501420</v>
      </c>
      <c r="AQ617" s="2">
        <v>2501420</v>
      </c>
      <c r="AR617" s="2">
        <v>0</v>
      </c>
      <c r="AS617" s="2">
        <v>0</v>
      </c>
      <c r="AT617" s="2">
        <v>0</v>
      </c>
      <c r="AU617" s="2">
        <v>2501420</v>
      </c>
      <c r="AV617" s="2">
        <v>0</v>
      </c>
      <c r="AW617" s="4"/>
      <c r="AX617" t="s">
        <v>75</v>
      </c>
      <c r="AZ617" t="s">
        <v>2153</v>
      </c>
      <c r="BA617" t="s">
        <v>67</v>
      </c>
      <c r="BB617" t="s">
        <v>2154</v>
      </c>
      <c r="BC617" t="s">
        <v>1714</v>
      </c>
      <c r="BD617" t="s">
        <v>79</v>
      </c>
      <c r="BE617" t="s">
        <v>228</v>
      </c>
      <c r="BF617" s="5">
        <v>46813</v>
      </c>
      <c r="BH617">
        <v>2</v>
      </c>
      <c r="BI617" s="6">
        <v>558000</v>
      </c>
      <c r="BJ617" s="6">
        <v>38</v>
      </c>
      <c r="BK617" s="6">
        <v>212040</v>
      </c>
      <c r="BL617" s="6">
        <v>345960</v>
      </c>
      <c r="BM617" s="2">
        <v>691920</v>
      </c>
      <c r="BN617">
        <f>InvoiceTable[[#This Row],[Giảm giá]]*InvoiceTable[[#This Row],[Số lượng]]</f>
        <v>424080</v>
      </c>
    </row>
    <row r="618" spans="1:66" x14ac:dyDescent="0.25">
      <c r="A618" t="s">
        <v>65</v>
      </c>
      <c r="B618" t="s">
        <v>2151</v>
      </c>
      <c r="F618" s="2"/>
      <c r="G618" s="3">
        <v>46009.681889155094</v>
      </c>
      <c r="H618" s="3">
        <v>46009.681889270832</v>
      </c>
      <c r="I618" s="4" t="s">
        <v>67</v>
      </c>
      <c r="J618" t="s">
        <v>2152</v>
      </c>
      <c r="K618" t="s">
        <v>67</v>
      </c>
      <c r="L618" t="s">
        <v>548</v>
      </c>
      <c r="M618" t="s">
        <v>549</v>
      </c>
      <c r="N618" t="s">
        <v>67</v>
      </c>
      <c r="O618" t="s">
        <v>550</v>
      </c>
      <c r="P618" t="s">
        <v>551</v>
      </c>
      <c r="Q618" t="s">
        <v>67</v>
      </c>
      <c r="R618" t="s">
        <v>67</v>
      </c>
      <c r="S618" s="5"/>
      <c r="T618" t="s">
        <v>72</v>
      </c>
      <c r="U618" t="s">
        <v>73</v>
      </c>
      <c r="V618" t="s">
        <v>74</v>
      </c>
      <c r="W618" t="s">
        <v>87</v>
      </c>
      <c r="AE618" s="2"/>
      <c r="AF618" s="2"/>
      <c r="AG618" s="2"/>
      <c r="AH618" s="2"/>
      <c r="AK618" t="s">
        <v>258</v>
      </c>
      <c r="AL618" s="2">
        <v>2501420</v>
      </c>
      <c r="AM618" s="2">
        <v>0</v>
      </c>
      <c r="AN618" s="2"/>
      <c r="AO618" s="2">
        <v>0</v>
      </c>
      <c r="AP618" s="2">
        <v>2501420</v>
      </c>
      <c r="AQ618" s="2">
        <v>2501420</v>
      </c>
      <c r="AR618" s="2">
        <v>0</v>
      </c>
      <c r="AS618" s="2">
        <v>0</v>
      </c>
      <c r="AT618" s="2">
        <v>0</v>
      </c>
      <c r="AU618" s="2">
        <v>2501420</v>
      </c>
      <c r="AV618" s="2">
        <v>0</v>
      </c>
      <c r="AW618" s="4"/>
      <c r="AX618" t="s">
        <v>75</v>
      </c>
      <c r="AZ618" t="s">
        <v>504</v>
      </c>
      <c r="BA618" t="s">
        <v>67</v>
      </c>
      <c r="BB618" t="s">
        <v>505</v>
      </c>
      <c r="BC618" t="s">
        <v>78</v>
      </c>
      <c r="BD618" t="s">
        <v>79</v>
      </c>
      <c r="BE618" t="s">
        <v>506</v>
      </c>
      <c r="BF618" s="5">
        <v>47604</v>
      </c>
      <c r="BH618">
        <v>1</v>
      </c>
      <c r="BI618" s="6">
        <v>1990000</v>
      </c>
      <c r="BJ618" s="6">
        <v>45</v>
      </c>
      <c r="BK618" s="6">
        <v>895500</v>
      </c>
      <c r="BL618" s="6">
        <v>1094500</v>
      </c>
      <c r="BM618" s="2">
        <v>1094500</v>
      </c>
      <c r="BN618">
        <f>InvoiceTable[[#This Row],[Giảm giá]]*InvoiceTable[[#This Row],[Số lượng]]</f>
        <v>895500</v>
      </c>
    </row>
    <row r="619" spans="1:66" x14ac:dyDescent="0.25">
      <c r="A619" t="s">
        <v>65</v>
      </c>
      <c r="B619" t="s">
        <v>2155</v>
      </c>
      <c r="F619" s="2"/>
      <c r="G619" s="3">
        <v>46009.681711030091</v>
      </c>
      <c r="H619" s="3">
        <v>46009.681711145837</v>
      </c>
      <c r="I619" s="4" t="s">
        <v>67</v>
      </c>
      <c r="J619" t="s">
        <v>2156</v>
      </c>
      <c r="K619" t="s">
        <v>67</v>
      </c>
      <c r="L619" t="s">
        <v>539</v>
      </c>
      <c r="M619" t="s">
        <v>540</v>
      </c>
      <c r="N619" t="s">
        <v>67</v>
      </c>
      <c r="O619" t="s">
        <v>541</v>
      </c>
      <c r="P619" t="s">
        <v>542</v>
      </c>
      <c r="S619" s="5"/>
      <c r="T619" t="s">
        <v>72</v>
      </c>
      <c r="U619" t="s">
        <v>102</v>
      </c>
      <c r="V619" t="s">
        <v>74</v>
      </c>
      <c r="W619" t="s">
        <v>87</v>
      </c>
      <c r="AE619" s="2"/>
      <c r="AF619" s="2"/>
      <c r="AG619" s="2"/>
      <c r="AH619" s="2"/>
      <c r="AK619" t="s">
        <v>67</v>
      </c>
      <c r="AL619" s="2">
        <v>2969240</v>
      </c>
      <c r="AM619" s="2">
        <v>0</v>
      </c>
      <c r="AN619" s="2"/>
      <c r="AO619" s="2">
        <v>0</v>
      </c>
      <c r="AP619" s="2">
        <v>2969240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4"/>
      <c r="AX619" t="s">
        <v>75</v>
      </c>
      <c r="AZ619" t="s">
        <v>424</v>
      </c>
      <c r="BA619" t="s">
        <v>67</v>
      </c>
      <c r="BB619" t="s">
        <v>425</v>
      </c>
      <c r="BC619" t="s">
        <v>426</v>
      </c>
      <c r="BD619" t="s">
        <v>79</v>
      </c>
      <c r="BE619" t="s">
        <v>198</v>
      </c>
      <c r="BF619" s="5">
        <v>46753</v>
      </c>
      <c r="BH619">
        <v>1</v>
      </c>
      <c r="BI619" s="6">
        <v>590000</v>
      </c>
      <c r="BJ619" s="6">
        <v>35</v>
      </c>
      <c r="BK619" s="6">
        <v>206500</v>
      </c>
      <c r="BL619" s="6">
        <v>383500</v>
      </c>
      <c r="BM619" s="2">
        <v>383500</v>
      </c>
      <c r="BN619">
        <f>InvoiceTable[[#This Row],[Giảm giá]]*InvoiceTable[[#This Row],[Số lượng]]</f>
        <v>206500</v>
      </c>
    </row>
    <row r="620" spans="1:66" x14ac:dyDescent="0.25">
      <c r="A620" t="s">
        <v>65</v>
      </c>
      <c r="B620" t="s">
        <v>2155</v>
      </c>
      <c r="F620" s="2"/>
      <c r="G620" s="3">
        <v>46009.681711030091</v>
      </c>
      <c r="H620" s="3">
        <v>46009.681711145837</v>
      </c>
      <c r="I620" s="4" t="s">
        <v>67</v>
      </c>
      <c r="J620" t="s">
        <v>2156</v>
      </c>
      <c r="K620" t="s">
        <v>67</v>
      </c>
      <c r="L620" t="s">
        <v>539</v>
      </c>
      <c r="M620" t="s">
        <v>540</v>
      </c>
      <c r="N620" t="s">
        <v>67</v>
      </c>
      <c r="O620" t="s">
        <v>541</v>
      </c>
      <c r="P620" t="s">
        <v>542</v>
      </c>
      <c r="S620" s="5"/>
      <c r="T620" t="s">
        <v>72</v>
      </c>
      <c r="U620" t="s">
        <v>102</v>
      </c>
      <c r="V620" t="s">
        <v>74</v>
      </c>
      <c r="W620" t="s">
        <v>87</v>
      </c>
      <c r="AE620" s="2"/>
      <c r="AF620" s="2"/>
      <c r="AG620" s="2"/>
      <c r="AH620" s="2"/>
      <c r="AK620" t="s">
        <v>67</v>
      </c>
      <c r="AL620" s="2">
        <v>2969240</v>
      </c>
      <c r="AM620" s="2">
        <v>0</v>
      </c>
      <c r="AN620" s="2"/>
      <c r="AO620" s="2">
        <v>0</v>
      </c>
      <c r="AP620" s="2">
        <v>2969240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4"/>
      <c r="AX620" t="s">
        <v>75</v>
      </c>
      <c r="AZ620" t="s">
        <v>1456</v>
      </c>
      <c r="BA620" t="s">
        <v>67</v>
      </c>
      <c r="BB620" t="s">
        <v>1457</v>
      </c>
      <c r="BC620" t="s">
        <v>187</v>
      </c>
      <c r="BD620" t="s">
        <v>79</v>
      </c>
      <c r="BE620" t="s">
        <v>324</v>
      </c>
      <c r="BF620" s="5">
        <v>47058</v>
      </c>
      <c r="BH620">
        <v>1</v>
      </c>
      <c r="BI620" s="6">
        <v>450000</v>
      </c>
      <c r="BJ620" s="6">
        <v>53</v>
      </c>
      <c r="BK620" s="6">
        <v>238500</v>
      </c>
      <c r="BL620" s="6">
        <v>211500</v>
      </c>
      <c r="BM620" s="2">
        <v>211500</v>
      </c>
      <c r="BN620">
        <f>InvoiceTable[[#This Row],[Giảm giá]]*InvoiceTable[[#This Row],[Số lượng]]</f>
        <v>238500</v>
      </c>
    </row>
    <row r="621" spans="1:66" x14ac:dyDescent="0.25">
      <c r="A621" t="s">
        <v>65</v>
      </c>
      <c r="B621" t="s">
        <v>2155</v>
      </c>
      <c r="F621" s="2"/>
      <c r="G621" s="3">
        <v>46009.681711030091</v>
      </c>
      <c r="H621" s="3">
        <v>46009.681711145837</v>
      </c>
      <c r="I621" s="4" t="s">
        <v>67</v>
      </c>
      <c r="J621" t="s">
        <v>2156</v>
      </c>
      <c r="K621" t="s">
        <v>67</v>
      </c>
      <c r="L621" t="s">
        <v>539</v>
      </c>
      <c r="M621" t="s">
        <v>540</v>
      </c>
      <c r="N621" t="s">
        <v>67</v>
      </c>
      <c r="O621" t="s">
        <v>541</v>
      </c>
      <c r="P621" t="s">
        <v>542</v>
      </c>
      <c r="S621" s="5"/>
      <c r="T621" t="s">
        <v>72</v>
      </c>
      <c r="U621" t="s">
        <v>102</v>
      </c>
      <c r="V621" t="s">
        <v>74</v>
      </c>
      <c r="W621" t="s">
        <v>87</v>
      </c>
      <c r="AE621" s="2"/>
      <c r="AF621" s="2"/>
      <c r="AG621" s="2"/>
      <c r="AH621" s="2"/>
      <c r="AK621" t="s">
        <v>67</v>
      </c>
      <c r="AL621" s="2">
        <v>2969240</v>
      </c>
      <c r="AM621" s="2">
        <v>0</v>
      </c>
      <c r="AN621" s="2"/>
      <c r="AO621" s="2">
        <v>0</v>
      </c>
      <c r="AP621" s="2">
        <v>2969240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4"/>
      <c r="AX621" t="s">
        <v>75</v>
      </c>
      <c r="AZ621" t="s">
        <v>171</v>
      </c>
      <c r="BA621" t="s">
        <v>67</v>
      </c>
      <c r="BB621" t="s">
        <v>172</v>
      </c>
      <c r="BC621" t="s">
        <v>173</v>
      </c>
      <c r="BD621" t="s">
        <v>79</v>
      </c>
      <c r="BE621" t="s">
        <v>80</v>
      </c>
      <c r="BF621" s="5">
        <v>47300</v>
      </c>
      <c r="BH621">
        <v>2</v>
      </c>
      <c r="BI621" s="6">
        <v>1225000</v>
      </c>
      <c r="BJ621" s="6">
        <v>44</v>
      </c>
      <c r="BK621" s="6">
        <v>539000</v>
      </c>
      <c r="BL621" s="6">
        <v>686000</v>
      </c>
      <c r="BM621" s="2">
        <v>1372000</v>
      </c>
      <c r="BN621">
        <f>InvoiceTable[[#This Row],[Giảm giá]]*InvoiceTable[[#This Row],[Số lượng]]</f>
        <v>1078000</v>
      </c>
    </row>
    <row r="622" spans="1:66" x14ac:dyDescent="0.25">
      <c r="A622" t="s">
        <v>65</v>
      </c>
      <c r="B622" t="s">
        <v>2155</v>
      </c>
      <c r="F622" s="2"/>
      <c r="G622" s="3">
        <v>46009.681711030091</v>
      </c>
      <c r="H622" s="3">
        <v>46009.681711145837</v>
      </c>
      <c r="I622" s="4" t="s">
        <v>67</v>
      </c>
      <c r="J622" t="s">
        <v>2156</v>
      </c>
      <c r="K622" t="s">
        <v>67</v>
      </c>
      <c r="L622" t="s">
        <v>539</v>
      </c>
      <c r="M622" t="s">
        <v>540</v>
      </c>
      <c r="N622" t="s">
        <v>67</v>
      </c>
      <c r="O622" t="s">
        <v>541</v>
      </c>
      <c r="P622" t="s">
        <v>542</v>
      </c>
      <c r="S622" s="5"/>
      <c r="T622" t="s">
        <v>72</v>
      </c>
      <c r="U622" t="s">
        <v>102</v>
      </c>
      <c r="V622" t="s">
        <v>74</v>
      </c>
      <c r="W622" t="s">
        <v>87</v>
      </c>
      <c r="AE622" s="2"/>
      <c r="AF622" s="2"/>
      <c r="AG622" s="2"/>
      <c r="AH622" s="2"/>
      <c r="AK622" t="s">
        <v>67</v>
      </c>
      <c r="AL622" s="2">
        <v>2969240</v>
      </c>
      <c r="AM622" s="2">
        <v>0</v>
      </c>
      <c r="AN622" s="2"/>
      <c r="AO622" s="2">
        <v>0</v>
      </c>
      <c r="AP622" s="2">
        <v>2969240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4"/>
      <c r="AX622" t="s">
        <v>75</v>
      </c>
      <c r="AZ622" t="s">
        <v>2157</v>
      </c>
      <c r="BA622" t="s">
        <v>67</v>
      </c>
      <c r="BB622" t="s">
        <v>2158</v>
      </c>
      <c r="BC622" t="s">
        <v>191</v>
      </c>
      <c r="BD622" t="s">
        <v>79</v>
      </c>
      <c r="BE622" t="s">
        <v>715</v>
      </c>
      <c r="BF622" s="5">
        <v>46631</v>
      </c>
      <c r="BH622">
        <v>2</v>
      </c>
      <c r="BI622" s="6">
        <v>864000</v>
      </c>
      <c r="BJ622" s="6">
        <v>42</v>
      </c>
      <c r="BK622" s="6">
        <v>362880</v>
      </c>
      <c r="BL622" s="6">
        <v>501120</v>
      </c>
      <c r="BM622" s="2">
        <v>1002240</v>
      </c>
      <c r="BN622">
        <f>InvoiceTable[[#This Row],[Giảm giá]]*InvoiceTable[[#This Row],[Số lượng]]</f>
        <v>725760</v>
      </c>
    </row>
    <row r="623" spans="1:66" x14ac:dyDescent="0.25">
      <c r="A623" t="s">
        <v>65</v>
      </c>
      <c r="B623" t="s">
        <v>2159</v>
      </c>
      <c r="F623" s="2"/>
      <c r="G623" s="3">
        <v>46009.681576076386</v>
      </c>
      <c r="H623" s="3">
        <v>46009.68157630787</v>
      </c>
      <c r="I623" s="4" t="s">
        <v>67</v>
      </c>
      <c r="J623" t="s">
        <v>2160</v>
      </c>
      <c r="K623" t="s">
        <v>67</v>
      </c>
      <c r="L623" t="s">
        <v>2161</v>
      </c>
      <c r="M623" t="s">
        <v>2162</v>
      </c>
      <c r="N623" t="s">
        <v>2163</v>
      </c>
      <c r="O623" t="s">
        <v>2164</v>
      </c>
      <c r="P623" t="s">
        <v>2165</v>
      </c>
      <c r="S623" s="5"/>
      <c r="T623" t="s">
        <v>72</v>
      </c>
      <c r="U623" t="s">
        <v>73</v>
      </c>
      <c r="V623" t="s">
        <v>74</v>
      </c>
      <c r="W623" t="s">
        <v>87</v>
      </c>
      <c r="AE623" s="2"/>
      <c r="AF623" s="2"/>
      <c r="AG623" s="2"/>
      <c r="AH623" s="2"/>
      <c r="AK623" t="s">
        <v>2166</v>
      </c>
      <c r="AL623" s="2">
        <v>3364000</v>
      </c>
      <c r="AM623" s="2">
        <v>0</v>
      </c>
      <c r="AN623" s="2"/>
      <c r="AO623" s="2">
        <v>0</v>
      </c>
      <c r="AP623" s="2">
        <v>3364000</v>
      </c>
      <c r="AQ623" s="2">
        <v>2884600</v>
      </c>
      <c r="AR623" s="2">
        <v>2884600</v>
      </c>
      <c r="AS623" s="2">
        <v>0</v>
      </c>
      <c r="AT623" s="2">
        <v>0</v>
      </c>
      <c r="AU623" s="2">
        <v>0</v>
      </c>
      <c r="AV623" s="2">
        <v>0</v>
      </c>
      <c r="AW623" s="4"/>
      <c r="AX623" t="s">
        <v>75</v>
      </c>
      <c r="AZ623" t="s">
        <v>2167</v>
      </c>
      <c r="BA623" t="s">
        <v>67</v>
      </c>
      <c r="BB623" t="s">
        <v>2168</v>
      </c>
      <c r="BC623" t="s">
        <v>2169</v>
      </c>
      <c r="BD623" t="s">
        <v>79</v>
      </c>
      <c r="BE623" t="s">
        <v>317</v>
      </c>
      <c r="BF623" s="5">
        <v>46935</v>
      </c>
      <c r="BH623">
        <v>3</v>
      </c>
      <c r="BI623" s="6">
        <v>880000</v>
      </c>
      <c r="BJ623" s="6">
        <v>40</v>
      </c>
      <c r="BK623" s="6">
        <v>352000</v>
      </c>
      <c r="BL623" s="6">
        <v>528000</v>
      </c>
      <c r="BM623" s="2">
        <v>1584000</v>
      </c>
      <c r="BN623">
        <f>InvoiceTable[[#This Row],[Giảm giá]]*InvoiceTable[[#This Row],[Số lượng]]</f>
        <v>1056000</v>
      </c>
    </row>
    <row r="624" spans="1:66" x14ac:dyDescent="0.25">
      <c r="A624" t="s">
        <v>65</v>
      </c>
      <c r="B624" t="s">
        <v>2159</v>
      </c>
      <c r="F624" s="2"/>
      <c r="G624" s="3">
        <v>46009.681576076386</v>
      </c>
      <c r="H624" s="3">
        <v>46009.68157630787</v>
      </c>
      <c r="I624" s="4" t="s">
        <v>67</v>
      </c>
      <c r="J624" t="s">
        <v>2160</v>
      </c>
      <c r="K624" t="s">
        <v>67</v>
      </c>
      <c r="L624" t="s">
        <v>2161</v>
      </c>
      <c r="M624" t="s">
        <v>2162</v>
      </c>
      <c r="N624" t="s">
        <v>2163</v>
      </c>
      <c r="O624" t="s">
        <v>2164</v>
      </c>
      <c r="P624" t="s">
        <v>2165</v>
      </c>
      <c r="S624" s="5"/>
      <c r="T624" t="s">
        <v>72</v>
      </c>
      <c r="U624" t="s">
        <v>73</v>
      </c>
      <c r="V624" t="s">
        <v>74</v>
      </c>
      <c r="W624" t="s">
        <v>87</v>
      </c>
      <c r="AE624" s="2"/>
      <c r="AF624" s="2"/>
      <c r="AG624" s="2"/>
      <c r="AH624" s="2"/>
      <c r="AK624" t="s">
        <v>2166</v>
      </c>
      <c r="AL624" s="2">
        <v>3364000</v>
      </c>
      <c r="AM624" s="2">
        <v>0</v>
      </c>
      <c r="AN624" s="2"/>
      <c r="AO624" s="2">
        <v>0</v>
      </c>
      <c r="AP624" s="2">
        <v>3364000</v>
      </c>
      <c r="AQ624" s="2">
        <v>2884600</v>
      </c>
      <c r="AR624" s="2">
        <v>2884600</v>
      </c>
      <c r="AS624" s="2">
        <v>0</v>
      </c>
      <c r="AT624" s="2">
        <v>0</v>
      </c>
      <c r="AU624" s="2">
        <v>0</v>
      </c>
      <c r="AV624" s="2">
        <v>0</v>
      </c>
      <c r="AW624" s="4"/>
      <c r="AX624" t="s">
        <v>75</v>
      </c>
      <c r="AZ624" t="s">
        <v>321</v>
      </c>
      <c r="BA624" t="s">
        <v>67</v>
      </c>
      <c r="BB624" t="s">
        <v>322</v>
      </c>
      <c r="BC624" t="s">
        <v>323</v>
      </c>
      <c r="BD624" t="s">
        <v>79</v>
      </c>
      <c r="BE624" t="s">
        <v>324</v>
      </c>
      <c r="BF624" s="5">
        <v>47058</v>
      </c>
      <c r="BH624">
        <v>50</v>
      </c>
      <c r="BI624" s="6">
        <v>25000</v>
      </c>
      <c r="BJ624" s="6">
        <v>0</v>
      </c>
      <c r="BK624" s="6">
        <v>14000</v>
      </c>
      <c r="BL624" s="6">
        <v>11000</v>
      </c>
      <c r="BM624" s="2">
        <v>550000</v>
      </c>
      <c r="BN624">
        <f>InvoiceTable[[#This Row],[Giảm giá]]*InvoiceTable[[#This Row],[Số lượng]]</f>
        <v>700000</v>
      </c>
    </row>
    <row r="625" spans="1:66" x14ac:dyDescent="0.25">
      <c r="A625" t="s">
        <v>65</v>
      </c>
      <c r="B625" t="s">
        <v>2159</v>
      </c>
      <c r="F625" s="2"/>
      <c r="G625" s="3">
        <v>46009.681576076386</v>
      </c>
      <c r="H625" s="3">
        <v>46009.68157630787</v>
      </c>
      <c r="I625" s="4" t="s">
        <v>67</v>
      </c>
      <c r="J625" t="s">
        <v>2160</v>
      </c>
      <c r="K625" t="s">
        <v>67</v>
      </c>
      <c r="L625" t="s">
        <v>2161</v>
      </c>
      <c r="M625" t="s">
        <v>2162</v>
      </c>
      <c r="N625" t="s">
        <v>2163</v>
      </c>
      <c r="O625" t="s">
        <v>2164</v>
      </c>
      <c r="P625" t="s">
        <v>2165</v>
      </c>
      <c r="S625" s="5"/>
      <c r="T625" t="s">
        <v>72</v>
      </c>
      <c r="U625" t="s">
        <v>73</v>
      </c>
      <c r="V625" t="s">
        <v>74</v>
      </c>
      <c r="W625" t="s">
        <v>87</v>
      </c>
      <c r="AE625" s="2"/>
      <c r="AF625" s="2"/>
      <c r="AG625" s="2"/>
      <c r="AH625" s="2"/>
      <c r="AK625" t="s">
        <v>2166</v>
      </c>
      <c r="AL625" s="2">
        <v>3364000</v>
      </c>
      <c r="AM625" s="2">
        <v>0</v>
      </c>
      <c r="AN625" s="2"/>
      <c r="AO625" s="2">
        <v>0</v>
      </c>
      <c r="AP625" s="2">
        <v>3364000</v>
      </c>
      <c r="AQ625" s="2">
        <v>2884600</v>
      </c>
      <c r="AR625" s="2">
        <v>2884600</v>
      </c>
      <c r="AS625" s="2">
        <v>0</v>
      </c>
      <c r="AT625" s="2">
        <v>0</v>
      </c>
      <c r="AU625" s="2">
        <v>0</v>
      </c>
      <c r="AV625" s="2">
        <v>0</v>
      </c>
      <c r="AW625" s="4"/>
      <c r="AX625" t="s">
        <v>75</v>
      </c>
      <c r="AZ625" t="s">
        <v>2170</v>
      </c>
      <c r="BA625" t="s">
        <v>67</v>
      </c>
      <c r="BB625" t="s">
        <v>2171</v>
      </c>
      <c r="BC625" t="s">
        <v>215</v>
      </c>
      <c r="BD625" t="s">
        <v>79</v>
      </c>
      <c r="BE625" t="s">
        <v>378</v>
      </c>
      <c r="BF625" s="5">
        <v>46997</v>
      </c>
      <c r="BH625">
        <v>1</v>
      </c>
      <c r="BI625" s="6">
        <v>850000</v>
      </c>
      <c r="BJ625" s="6">
        <v>50</v>
      </c>
      <c r="BK625" s="6">
        <v>425000</v>
      </c>
      <c r="BL625" s="6">
        <v>425000</v>
      </c>
      <c r="BM625" s="2">
        <v>425000</v>
      </c>
      <c r="BN625">
        <f>InvoiceTable[[#This Row],[Giảm giá]]*InvoiceTable[[#This Row],[Số lượng]]</f>
        <v>425000</v>
      </c>
    </row>
    <row r="626" spans="1:66" x14ac:dyDescent="0.25">
      <c r="A626" t="s">
        <v>65</v>
      </c>
      <c r="B626" t="s">
        <v>2159</v>
      </c>
      <c r="F626" s="2"/>
      <c r="G626" s="3">
        <v>46009.681576076386</v>
      </c>
      <c r="H626" s="3">
        <v>46009.68157630787</v>
      </c>
      <c r="I626" s="4" t="s">
        <v>67</v>
      </c>
      <c r="J626" t="s">
        <v>2160</v>
      </c>
      <c r="K626" t="s">
        <v>67</v>
      </c>
      <c r="L626" t="s">
        <v>2161</v>
      </c>
      <c r="M626" t="s">
        <v>2162</v>
      </c>
      <c r="N626" t="s">
        <v>2163</v>
      </c>
      <c r="O626" t="s">
        <v>2164</v>
      </c>
      <c r="P626" t="s">
        <v>2165</v>
      </c>
      <c r="S626" s="5"/>
      <c r="T626" t="s">
        <v>72</v>
      </c>
      <c r="U626" t="s">
        <v>73</v>
      </c>
      <c r="V626" t="s">
        <v>74</v>
      </c>
      <c r="W626" t="s">
        <v>87</v>
      </c>
      <c r="AE626" s="2"/>
      <c r="AF626" s="2"/>
      <c r="AG626" s="2"/>
      <c r="AH626" s="2"/>
      <c r="AK626" t="s">
        <v>2166</v>
      </c>
      <c r="AL626" s="2">
        <v>3364000</v>
      </c>
      <c r="AM626" s="2">
        <v>0</v>
      </c>
      <c r="AN626" s="2"/>
      <c r="AO626" s="2">
        <v>0</v>
      </c>
      <c r="AP626" s="2">
        <v>3364000</v>
      </c>
      <c r="AQ626" s="2">
        <v>2884600</v>
      </c>
      <c r="AR626" s="2">
        <v>2884600</v>
      </c>
      <c r="AS626" s="2">
        <v>0</v>
      </c>
      <c r="AT626" s="2">
        <v>0</v>
      </c>
      <c r="AU626" s="2">
        <v>0</v>
      </c>
      <c r="AV626" s="2">
        <v>0</v>
      </c>
      <c r="AW626" s="4"/>
      <c r="AX626" t="s">
        <v>75</v>
      </c>
      <c r="AZ626" t="s">
        <v>213</v>
      </c>
      <c r="BA626" t="s">
        <v>67</v>
      </c>
      <c r="BB626" t="s">
        <v>214</v>
      </c>
      <c r="BC626" t="s">
        <v>215</v>
      </c>
      <c r="BD626" t="s">
        <v>79</v>
      </c>
      <c r="BE626" t="s">
        <v>216</v>
      </c>
      <c r="BF626" s="5">
        <v>46784</v>
      </c>
      <c r="BH626">
        <v>1</v>
      </c>
      <c r="BI626" s="6">
        <v>760000</v>
      </c>
      <c r="BJ626" s="6">
        <v>50</v>
      </c>
      <c r="BK626" s="6">
        <v>380000</v>
      </c>
      <c r="BL626" s="6">
        <v>380000</v>
      </c>
      <c r="BM626" s="2">
        <v>380000</v>
      </c>
      <c r="BN626">
        <f>InvoiceTable[[#This Row],[Giảm giá]]*InvoiceTable[[#This Row],[Số lượng]]</f>
        <v>380000</v>
      </c>
    </row>
    <row r="627" spans="1:66" x14ac:dyDescent="0.25">
      <c r="A627" t="s">
        <v>65</v>
      </c>
      <c r="B627" t="s">
        <v>2159</v>
      </c>
      <c r="F627" s="2"/>
      <c r="G627" s="3">
        <v>46009.681576076386</v>
      </c>
      <c r="H627" s="3">
        <v>46009.68157630787</v>
      </c>
      <c r="I627" s="4" t="s">
        <v>67</v>
      </c>
      <c r="J627" t="s">
        <v>2160</v>
      </c>
      <c r="K627" t="s">
        <v>67</v>
      </c>
      <c r="L627" t="s">
        <v>2161</v>
      </c>
      <c r="M627" t="s">
        <v>2162</v>
      </c>
      <c r="N627" t="s">
        <v>2163</v>
      </c>
      <c r="O627" t="s">
        <v>2164</v>
      </c>
      <c r="P627" t="s">
        <v>2165</v>
      </c>
      <c r="S627" s="5"/>
      <c r="T627" t="s">
        <v>72</v>
      </c>
      <c r="U627" t="s">
        <v>73</v>
      </c>
      <c r="V627" t="s">
        <v>74</v>
      </c>
      <c r="W627" t="s">
        <v>87</v>
      </c>
      <c r="AE627" s="2"/>
      <c r="AF627" s="2"/>
      <c r="AG627" s="2"/>
      <c r="AH627" s="2"/>
      <c r="AK627" t="s">
        <v>2166</v>
      </c>
      <c r="AL627" s="2">
        <v>3364000</v>
      </c>
      <c r="AM627" s="2">
        <v>0</v>
      </c>
      <c r="AN627" s="2"/>
      <c r="AO627" s="2">
        <v>0</v>
      </c>
      <c r="AP627" s="2">
        <v>3364000</v>
      </c>
      <c r="AQ627" s="2">
        <v>2884600</v>
      </c>
      <c r="AR627" s="2">
        <v>2884600</v>
      </c>
      <c r="AS627" s="2">
        <v>0</v>
      </c>
      <c r="AT627" s="2">
        <v>0</v>
      </c>
      <c r="AU627" s="2">
        <v>0</v>
      </c>
      <c r="AV627" s="2">
        <v>0</v>
      </c>
      <c r="AW627" s="4"/>
      <c r="AX627" t="s">
        <v>75</v>
      </c>
      <c r="AZ627" t="s">
        <v>2172</v>
      </c>
      <c r="BA627" t="s">
        <v>67</v>
      </c>
      <c r="BB627" t="s">
        <v>2173</v>
      </c>
      <c r="BC627" t="s">
        <v>215</v>
      </c>
      <c r="BD627" t="s">
        <v>79</v>
      </c>
      <c r="BE627" t="s">
        <v>188</v>
      </c>
      <c r="BF627" s="5">
        <v>46905</v>
      </c>
      <c r="BH627">
        <v>1</v>
      </c>
      <c r="BI627" s="6">
        <v>850000</v>
      </c>
      <c r="BJ627" s="6">
        <v>50</v>
      </c>
      <c r="BK627" s="6">
        <v>425000</v>
      </c>
      <c r="BL627" s="6">
        <v>425000</v>
      </c>
      <c r="BM627" s="2">
        <v>425000</v>
      </c>
      <c r="BN627">
        <f>InvoiceTable[[#This Row],[Giảm giá]]*InvoiceTable[[#This Row],[Số lượng]]</f>
        <v>425000</v>
      </c>
    </row>
    <row r="628" spans="1:66" x14ac:dyDescent="0.25">
      <c r="A628" t="s">
        <v>65</v>
      </c>
      <c r="B628" t="s">
        <v>2174</v>
      </c>
      <c r="F628" s="2"/>
      <c r="G628" s="3">
        <v>46009.681109490739</v>
      </c>
      <c r="H628" s="3">
        <v>46009.681017129631</v>
      </c>
      <c r="I628" s="4" t="s">
        <v>96</v>
      </c>
      <c r="J628" t="s">
        <v>67</v>
      </c>
      <c r="K628" t="s">
        <v>67</v>
      </c>
      <c r="L628" t="s">
        <v>2175</v>
      </c>
      <c r="M628" t="s">
        <v>2176</v>
      </c>
      <c r="N628" t="s">
        <v>67</v>
      </c>
      <c r="O628" t="s">
        <v>2177</v>
      </c>
      <c r="P628" t="s">
        <v>2178</v>
      </c>
      <c r="Q628" t="s">
        <v>67</v>
      </c>
      <c r="R628" t="s">
        <v>67</v>
      </c>
      <c r="S628" s="5"/>
      <c r="T628" t="s">
        <v>72</v>
      </c>
      <c r="U628" t="s">
        <v>87</v>
      </c>
      <c r="V628" t="s">
        <v>74</v>
      </c>
      <c r="W628" t="s">
        <v>87</v>
      </c>
      <c r="AE628" s="2"/>
      <c r="AF628" s="2"/>
      <c r="AG628" s="2"/>
      <c r="AH628" s="2"/>
      <c r="AL628" s="2">
        <v>2170000</v>
      </c>
      <c r="AM628" s="2">
        <v>0</v>
      </c>
      <c r="AN628" s="2"/>
      <c r="AO628" s="2">
        <v>0</v>
      </c>
      <c r="AP628" s="2">
        <v>2170000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4"/>
      <c r="AX628" t="s">
        <v>75</v>
      </c>
      <c r="AZ628" t="s">
        <v>2179</v>
      </c>
      <c r="BA628" t="s">
        <v>67</v>
      </c>
      <c r="BB628" t="s">
        <v>2180</v>
      </c>
      <c r="BC628" t="s">
        <v>2140</v>
      </c>
      <c r="BD628" t="s">
        <v>79</v>
      </c>
      <c r="BE628" t="s">
        <v>517</v>
      </c>
      <c r="BF628" s="5">
        <v>47665</v>
      </c>
      <c r="BG628" t="s">
        <v>67</v>
      </c>
      <c r="BH628">
        <v>5</v>
      </c>
      <c r="BI628" s="6">
        <v>620000</v>
      </c>
      <c r="BJ628" s="6">
        <v>30</v>
      </c>
      <c r="BK628" s="6">
        <v>186000</v>
      </c>
      <c r="BL628" s="6">
        <v>434000</v>
      </c>
      <c r="BM628" s="2">
        <v>2170000</v>
      </c>
      <c r="BN628">
        <f>InvoiceTable[[#This Row],[Giảm giá]]*InvoiceTable[[#This Row],[Số lượng]]</f>
        <v>930000</v>
      </c>
    </row>
    <row r="629" spans="1:66" x14ac:dyDescent="0.25">
      <c r="A629" t="s">
        <v>65</v>
      </c>
      <c r="B629" t="s">
        <v>2181</v>
      </c>
      <c r="F629" s="2"/>
      <c r="G629" s="3">
        <v>46009.680586921299</v>
      </c>
      <c r="H629" s="3">
        <v>46009.680540821762</v>
      </c>
      <c r="I629" s="4" t="s">
        <v>1511</v>
      </c>
      <c r="J629" t="s">
        <v>2182</v>
      </c>
      <c r="K629" t="s">
        <v>67</v>
      </c>
      <c r="L629" t="s">
        <v>539</v>
      </c>
      <c r="M629" t="s">
        <v>540</v>
      </c>
      <c r="N629" t="s">
        <v>67</v>
      </c>
      <c r="O629" t="s">
        <v>541</v>
      </c>
      <c r="P629" t="s">
        <v>542</v>
      </c>
      <c r="S629" s="5"/>
      <c r="T629" t="s">
        <v>72</v>
      </c>
      <c r="U629" t="s">
        <v>102</v>
      </c>
      <c r="V629" t="s">
        <v>74</v>
      </c>
      <c r="W629" t="s">
        <v>87</v>
      </c>
      <c r="AE629" s="2"/>
      <c r="AF629" s="2"/>
      <c r="AG629" s="2"/>
      <c r="AH629" s="2"/>
      <c r="AL629" s="2">
        <v>160000</v>
      </c>
      <c r="AM629" s="2">
        <v>0</v>
      </c>
      <c r="AN629" s="2"/>
      <c r="AO629" s="2">
        <v>0</v>
      </c>
      <c r="AP629" s="2">
        <v>160000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4"/>
      <c r="AX629" t="s">
        <v>75</v>
      </c>
      <c r="AZ629" t="s">
        <v>669</v>
      </c>
      <c r="BA629" t="s">
        <v>67</v>
      </c>
      <c r="BB629" t="s">
        <v>670</v>
      </c>
      <c r="BC629" t="s">
        <v>126</v>
      </c>
      <c r="BD629" t="s">
        <v>79</v>
      </c>
      <c r="BE629" t="s">
        <v>159</v>
      </c>
      <c r="BF629" s="5">
        <v>46478</v>
      </c>
      <c r="BH629">
        <v>1</v>
      </c>
      <c r="BI629" s="6">
        <v>350000</v>
      </c>
      <c r="BJ629" s="6">
        <v>0</v>
      </c>
      <c r="BK629" s="6">
        <v>190000</v>
      </c>
      <c r="BL629" s="6">
        <v>160000</v>
      </c>
      <c r="BM629" s="2">
        <v>160000</v>
      </c>
      <c r="BN629">
        <f>InvoiceTable[[#This Row],[Giảm giá]]*InvoiceTable[[#This Row],[Số lượng]]</f>
        <v>190000</v>
      </c>
    </row>
    <row r="630" spans="1:66" x14ac:dyDescent="0.25">
      <c r="A630" t="s">
        <v>65</v>
      </c>
      <c r="B630" t="s">
        <v>2183</v>
      </c>
      <c r="F630" s="2"/>
      <c r="G630" s="3">
        <v>46009.680313113429</v>
      </c>
      <c r="H630" s="3">
        <v>46009.680313229168</v>
      </c>
      <c r="I630" s="4" t="s">
        <v>67</v>
      </c>
      <c r="J630" t="s">
        <v>2184</v>
      </c>
      <c r="K630" t="s">
        <v>67</v>
      </c>
      <c r="L630" t="s">
        <v>119</v>
      </c>
      <c r="M630" t="s">
        <v>120</v>
      </c>
      <c r="N630" t="s">
        <v>67</v>
      </c>
      <c r="O630" t="s">
        <v>121</v>
      </c>
      <c r="Q630" t="s">
        <v>122</v>
      </c>
      <c r="R630" t="s">
        <v>123</v>
      </c>
      <c r="S630" s="5"/>
      <c r="T630" t="s">
        <v>72</v>
      </c>
      <c r="U630" t="s">
        <v>102</v>
      </c>
      <c r="V630" t="s">
        <v>74</v>
      </c>
      <c r="W630" t="s">
        <v>87</v>
      </c>
      <c r="AE630" s="2"/>
      <c r="AF630" s="2"/>
      <c r="AG630" s="2"/>
      <c r="AH630" s="2"/>
      <c r="AK630" t="s">
        <v>2185</v>
      </c>
      <c r="AL630" s="2">
        <v>1150500</v>
      </c>
      <c r="AM630" s="2">
        <v>0</v>
      </c>
      <c r="AN630" s="2"/>
      <c r="AO630" s="2">
        <v>0</v>
      </c>
      <c r="AP630" s="2">
        <v>1150500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4"/>
      <c r="AX630" t="s">
        <v>75</v>
      </c>
      <c r="AZ630" t="s">
        <v>1699</v>
      </c>
      <c r="BA630" t="s">
        <v>67</v>
      </c>
      <c r="BB630" t="s">
        <v>1700</v>
      </c>
      <c r="BC630" t="s">
        <v>1292</v>
      </c>
      <c r="BD630" t="s">
        <v>79</v>
      </c>
      <c r="BE630" t="s">
        <v>1564</v>
      </c>
      <c r="BF630" s="5">
        <v>46598</v>
      </c>
      <c r="BG630" t="s">
        <v>67</v>
      </c>
      <c r="BH630">
        <v>2</v>
      </c>
      <c r="BI630" s="6">
        <v>975000</v>
      </c>
      <c r="BJ630" s="6">
        <v>41</v>
      </c>
      <c r="BK630" s="6">
        <v>399750</v>
      </c>
      <c r="BL630" s="6">
        <v>575250</v>
      </c>
      <c r="BM630" s="2">
        <v>1150500</v>
      </c>
      <c r="BN630">
        <f>InvoiceTable[[#This Row],[Giảm giá]]*InvoiceTable[[#This Row],[Số lượng]]</f>
        <v>799500</v>
      </c>
    </row>
    <row r="631" spans="1:66" x14ac:dyDescent="0.25">
      <c r="A631" t="s">
        <v>65</v>
      </c>
      <c r="B631" t="s">
        <v>2186</v>
      </c>
      <c r="F631" s="2"/>
      <c r="G631" s="3">
        <v>46009.679489895832</v>
      </c>
      <c r="H631" s="3">
        <v>46009.679409027776</v>
      </c>
      <c r="I631" s="4" t="s">
        <v>686</v>
      </c>
      <c r="J631" t="s">
        <v>67</v>
      </c>
      <c r="K631" t="s">
        <v>67</v>
      </c>
      <c r="L631" t="s">
        <v>2187</v>
      </c>
      <c r="M631" t="s">
        <v>2188</v>
      </c>
      <c r="N631" t="s">
        <v>2189</v>
      </c>
      <c r="O631" t="s">
        <v>2190</v>
      </c>
      <c r="P631" t="s">
        <v>2191</v>
      </c>
      <c r="S631" s="5"/>
      <c r="T631" t="s">
        <v>72</v>
      </c>
      <c r="U631" t="s">
        <v>87</v>
      </c>
      <c r="V631" t="s">
        <v>74</v>
      </c>
      <c r="W631" t="s">
        <v>87</v>
      </c>
      <c r="AE631" s="2"/>
      <c r="AF631" s="2"/>
      <c r="AG631" s="2"/>
      <c r="AH631" s="2"/>
      <c r="AK631" t="s">
        <v>184</v>
      </c>
      <c r="AL631" s="2">
        <v>1370000</v>
      </c>
      <c r="AM631" s="2">
        <v>0</v>
      </c>
      <c r="AN631" s="2"/>
      <c r="AO631" s="2">
        <v>0</v>
      </c>
      <c r="AP631" s="2">
        <v>1370000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4"/>
      <c r="AX631" t="s">
        <v>75</v>
      </c>
      <c r="AZ631" t="s">
        <v>469</v>
      </c>
      <c r="BA631" t="s">
        <v>67</v>
      </c>
      <c r="BB631" t="s">
        <v>470</v>
      </c>
      <c r="BC631" t="s">
        <v>223</v>
      </c>
      <c r="BD631" t="s">
        <v>79</v>
      </c>
      <c r="BE631" t="s">
        <v>168</v>
      </c>
      <c r="BF631" s="5">
        <v>46388</v>
      </c>
      <c r="BH631">
        <v>1</v>
      </c>
      <c r="BI631" s="6">
        <v>2100000</v>
      </c>
      <c r="BJ631" s="6">
        <v>0</v>
      </c>
      <c r="BK631" s="6">
        <v>730000</v>
      </c>
      <c r="BL631" s="6">
        <v>1370000</v>
      </c>
      <c r="BM631" s="2">
        <v>1370000</v>
      </c>
      <c r="BN631">
        <f>InvoiceTable[[#This Row],[Giảm giá]]*InvoiceTable[[#This Row],[Số lượng]]</f>
        <v>730000</v>
      </c>
    </row>
    <row r="632" spans="1:66" x14ac:dyDescent="0.25">
      <c r="A632" t="s">
        <v>65</v>
      </c>
      <c r="B632" t="s">
        <v>2192</v>
      </c>
      <c r="F632" s="2"/>
      <c r="G632" s="3">
        <v>46009.679035300927</v>
      </c>
      <c r="H632" s="3">
        <v>46009.679035416666</v>
      </c>
      <c r="I632" s="4" t="s">
        <v>67</v>
      </c>
      <c r="J632" t="s">
        <v>67</v>
      </c>
      <c r="K632" t="s">
        <v>67</v>
      </c>
      <c r="L632" t="s">
        <v>2187</v>
      </c>
      <c r="M632" t="s">
        <v>2188</v>
      </c>
      <c r="N632" t="s">
        <v>2189</v>
      </c>
      <c r="O632" t="s">
        <v>2190</v>
      </c>
      <c r="P632" t="s">
        <v>2191</v>
      </c>
      <c r="S632" s="5"/>
      <c r="T632" t="s">
        <v>72</v>
      </c>
      <c r="U632" t="s">
        <v>87</v>
      </c>
      <c r="V632" t="s">
        <v>74</v>
      </c>
      <c r="W632" t="s">
        <v>87</v>
      </c>
      <c r="AE632" s="2"/>
      <c r="AF632" s="2"/>
      <c r="AG632" s="2"/>
      <c r="AH632" s="2"/>
      <c r="AL632" s="2">
        <v>1030746</v>
      </c>
      <c r="AM632" s="2">
        <v>0</v>
      </c>
      <c r="AN632" s="2"/>
      <c r="AO632" s="2">
        <v>0</v>
      </c>
      <c r="AP632" s="2">
        <v>1030746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4"/>
      <c r="AX632" t="s">
        <v>75</v>
      </c>
      <c r="AZ632" t="s">
        <v>2153</v>
      </c>
      <c r="BA632" t="s">
        <v>67</v>
      </c>
      <c r="BB632" t="s">
        <v>2154</v>
      </c>
      <c r="BC632" t="s">
        <v>1714</v>
      </c>
      <c r="BD632" t="s">
        <v>79</v>
      </c>
      <c r="BE632" t="s">
        <v>228</v>
      </c>
      <c r="BF632" s="5">
        <v>46813</v>
      </c>
      <c r="BH632">
        <v>2</v>
      </c>
      <c r="BI632" s="6">
        <v>558000</v>
      </c>
      <c r="BJ632" s="6">
        <v>38</v>
      </c>
      <c r="BK632" s="6">
        <v>212040</v>
      </c>
      <c r="BL632" s="6">
        <v>345960</v>
      </c>
      <c r="BM632" s="2">
        <v>691920</v>
      </c>
      <c r="BN632">
        <f>InvoiceTable[[#This Row],[Giảm giá]]*InvoiceTable[[#This Row],[Số lượng]]</f>
        <v>424080</v>
      </c>
    </row>
    <row r="633" spans="1:66" x14ac:dyDescent="0.25">
      <c r="A633" t="s">
        <v>65</v>
      </c>
      <c r="B633" t="s">
        <v>2192</v>
      </c>
      <c r="F633" s="2"/>
      <c r="G633" s="3">
        <v>46009.679035300927</v>
      </c>
      <c r="H633" s="3">
        <v>46009.679035416666</v>
      </c>
      <c r="I633" s="4" t="s">
        <v>67</v>
      </c>
      <c r="J633" t="s">
        <v>67</v>
      </c>
      <c r="K633" t="s">
        <v>67</v>
      </c>
      <c r="L633" t="s">
        <v>2187</v>
      </c>
      <c r="M633" t="s">
        <v>2188</v>
      </c>
      <c r="N633" t="s">
        <v>2189</v>
      </c>
      <c r="O633" t="s">
        <v>2190</v>
      </c>
      <c r="P633" t="s">
        <v>2191</v>
      </c>
      <c r="S633" s="5"/>
      <c r="T633" t="s">
        <v>72</v>
      </c>
      <c r="U633" t="s">
        <v>87</v>
      </c>
      <c r="V633" t="s">
        <v>74</v>
      </c>
      <c r="W633" t="s">
        <v>87</v>
      </c>
      <c r="AE633" s="2"/>
      <c r="AF633" s="2"/>
      <c r="AG633" s="2"/>
      <c r="AH633" s="2"/>
      <c r="AL633" s="2">
        <v>1030746</v>
      </c>
      <c r="AM633" s="2">
        <v>0</v>
      </c>
      <c r="AN633" s="2"/>
      <c r="AO633" s="2">
        <v>0</v>
      </c>
      <c r="AP633" s="2">
        <v>1030746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4"/>
      <c r="AX633" t="s">
        <v>75</v>
      </c>
      <c r="AZ633" t="s">
        <v>2193</v>
      </c>
      <c r="BA633" t="s">
        <v>67</v>
      </c>
      <c r="BB633" t="s">
        <v>2194</v>
      </c>
      <c r="BC633" t="s">
        <v>191</v>
      </c>
      <c r="BD633" t="s">
        <v>79</v>
      </c>
      <c r="BE633" t="s">
        <v>823</v>
      </c>
      <c r="BF633" s="5">
        <v>47574</v>
      </c>
      <c r="BH633">
        <v>1</v>
      </c>
      <c r="BI633" s="6">
        <v>584182</v>
      </c>
      <c r="BJ633" s="6">
        <v>42</v>
      </c>
      <c r="BK633" s="6">
        <v>245356.44</v>
      </c>
      <c r="BL633" s="6">
        <v>338825.56</v>
      </c>
      <c r="BM633" s="2">
        <v>338826</v>
      </c>
      <c r="BN633">
        <f>InvoiceTable[[#This Row],[Giảm giá]]*InvoiceTable[[#This Row],[Số lượng]]</f>
        <v>245356.44</v>
      </c>
    </row>
    <row r="634" spans="1:66" x14ac:dyDescent="0.25">
      <c r="A634" t="s">
        <v>65</v>
      </c>
      <c r="B634" t="s">
        <v>2195</v>
      </c>
      <c r="F634" s="2"/>
      <c r="G634" s="3">
        <v>46009.644557326392</v>
      </c>
      <c r="H634" s="3">
        <v>46009.644464849538</v>
      </c>
      <c r="I634" s="4" t="s">
        <v>96</v>
      </c>
      <c r="J634" t="s">
        <v>2196</v>
      </c>
      <c r="K634" t="s">
        <v>67</v>
      </c>
      <c r="L634" t="s">
        <v>884</v>
      </c>
      <c r="M634" t="s">
        <v>885</v>
      </c>
      <c r="N634" t="s">
        <v>67</v>
      </c>
      <c r="O634" t="s">
        <v>886</v>
      </c>
      <c r="P634" t="s">
        <v>887</v>
      </c>
      <c r="Q634" t="s">
        <v>67</v>
      </c>
      <c r="R634" t="s">
        <v>67</v>
      </c>
      <c r="S634" s="5"/>
      <c r="T634" t="s">
        <v>72</v>
      </c>
      <c r="U634" t="s">
        <v>102</v>
      </c>
      <c r="V634" t="s">
        <v>74</v>
      </c>
      <c r="W634" t="s">
        <v>87</v>
      </c>
      <c r="AE634" s="2"/>
      <c r="AF634" s="2"/>
      <c r="AG634" s="2"/>
      <c r="AH634" s="2"/>
      <c r="AL634" s="2">
        <v>9180000</v>
      </c>
      <c r="AM634" s="2">
        <v>0</v>
      </c>
      <c r="AN634" s="2"/>
      <c r="AO634" s="2">
        <v>0</v>
      </c>
      <c r="AP634" s="2">
        <v>9180000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4"/>
      <c r="AX634" t="s">
        <v>75</v>
      </c>
      <c r="AZ634" t="s">
        <v>2197</v>
      </c>
      <c r="BA634" t="s">
        <v>67</v>
      </c>
      <c r="BB634" t="s">
        <v>2198</v>
      </c>
      <c r="BC634" t="s">
        <v>2199</v>
      </c>
      <c r="BD634" t="s">
        <v>79</v>
      </c>
      <c r="BE634" t="s">
        <v>1012</v>
      </c>
      <c r="BF634" s="5">
        <v>46296</v>
      </c>
      <c r="BH634">
        <v>1</v>
      </c>
      <c r="BI634" s="6">
        <v>10800000</v>
      </c>
      <c r="BJ634" s="6">
        <v>15</v>
      </c>
      <c r="BK634" s="6">
        <v>1620000</v>
      </c>
      <c r="BL634" s="6">
        <v>9180000</v>
      </c>
      <c r="BM634" s="2">
        <v>9180000</v>
      </c>
      <c r="BN634">
        <f>InvoiceTable[[#This Row],[Giảm giá]]*InvoiceTable[[#This Row],[Số lượng]]</f>
        <v>1620000</v>
      </c>
    </row>
    <row r="635" spans="1:66" x14ac:dyDescent="0.25">
      <c r="A635" t="s">
        <v>65</v>
      </c>
      <c r="B635" t="s">
        <v>2200</v>
      </c>
      <c r="F635" s="2"/>
      <c r="G635" s="3">
        <v>46009.641071678241</v>
      </c>
      <c r="H635" s="3">
        <v>46009.641037071757</v>
      </c>
      <c r="I635" s="4" t="s">
        <v>1682</v>
      </c>
      <c r="J635" t="s">
        <v>67</v>
      </c>
      <c r="K635" t="s">
        <v>67</v>
      </c>
      <c r="L635" t="s">
        <v>2201</v>
      </c>
      <c r="M635" t="s">
        <v>2202</v>
      </c>
      <c r="N635" t="s">
        <v>67</v>
      </c>
      <c r="O635" t="s">
        <v>2203</v>
      </c>
      <c r="P635" t="s">
        <v>2204</v>
      </c>
      <c r="S635" s="5"/>
      <c r="T635" t="s">
        <v>72</v>
      </c>
      <c r="U635" t="s">
        <v>87</v>
      </c>
      <c r="V635" t="s">
        <v>74</v>
      </c>
      <c r="W635" t="s">
        <v>87</v>
      </c>
      <c r="AE635" s="2"/>
      <c r="AF635" s="2"/>
      <c r="AG635" s="2"/>
      <c r="AH635" s="2"/>
      <c r="AK635" t="s">
        <v>2205</v>
      </c>
      <c r="AL635" s="2">
        <v>17160000</v>
      </c>
      <c r="AM635" s="2">
        <v>0</v>
      </c>
      <c r="AN635" s="2"/>
      <c r="AO635" s="2">
        <v>0</v>
      </c>
      <c r="AP635" s="2">
        <v>17160000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4"/>
      <c r="AX635" t="s">
        <v>75</v>
      </c>
      <c r="AZ635" t="s">
        <v>2206</v>
      </c>
      <c r="BA635" t="s">
        <v>67</v>
      </c>
      <c r="BB635" t="s">
        <v>2207</v>
      </c>
      <c r="BC635" t="s">
        <v>126</v>
      </c>
      <c r="BD635" t="s">
        <v>79</v>
      </c>
      <c r="BE635" t="s">
        <v>106</v>
      </c>
      <c r="BF635" s="5">
        <v>46327</v>
      </c>
      <c r="BG635" t="s">
        <v>67</v>
      </c>
      <c r="BH635">
        <v>20</v>
      </c>
      <c r="BI635" s="6">
        <v>800000</v>
      </c>
      <c r="BJ635" s="6">
        <v>0</v>
      </c>
      <c r="BK635" s="6">
        <v>410000</v>
      </c>
      <c r="BL635" s="6">
        <v>390000</v>
      </c>
      <c r="BM635" s="2">
        <v>7800000</v>
      </c>
      <c r="BN635">
        <f>InvoiceTable[[#This Row],[Giảm giá]]*InvoiceTable[[#This Row],[Số lượng]]</f>
        <v>8200000</v>
      </c>
    </row>
    <row r="636" spans="1:66" x14ac:dyDescent="0.25">
      <c r="A636" t="s">
        <v>65</v>
      </c>
      <c r="B636" t="s">
        <v>2200</v>
      </c>
      <c r="F636" s="2"/>
      <c r="G636" s="3">
        <v>46009.641071678241</v>
      </c>
      <c r="H636" s="3">
        <v>46009.641037071757</v>
      </c>
      <c r="I636" s="4" t="s">
        <v>1682</v>
      </c>
      <c r="J636" t="s">
        <v>67</v>
      </c>
      <c r="K636" t="s">
        <v>67</v>
      </c>
      <c r="L636" t="s">
        <v>2201</v>
      </c>
      <c r="M636" t="s">
        <v>2202</v>
      </c>
      <c r="N636" t="s">
        <v>67</v>
      </c>
      <c r="O636" t="s">
        <v>2203</v>
      </c>
      <c r="P636" t="s">
        <v>2204</v>
      </c>
      <c r="S636" s="5"/>
      <c r="T636" t="s">
        <v>72</v>
      </c>
      <c r="U636" t="s">
        <v>87</v>
      </c>
      <c r="V636" t="s">
        <v>74</v>
      </c>
      <c r="W636" t="s">
        <v>87</v>
      </c>
      <c r="AE636" s="2"/>
      <c r="AF636" s="2"/>
      <c r="AG636" s="2"/>
      <c r="AH636" s="2"/>
      <c r="AK636" t="s">
        <v>2205</v>
      </c>
      <c r="AL636" s="2">
        <v>17160000</v>
      </c>
      <c r="AM636" s="2">
        <v>0</v>
      </c>
      <c r="AN636" s="2"/>
      <c r="AO636" s="2">
        <v>0</v>
      </c>
      <c r="AP636" s="2">
        <v>17160000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4"/>
      <c r="AX636" t="s">
        <v>75</v>
      </c>
      <c r="AZ636" t="s">
        <v>1539</v>
      </c>
      <c r="BA636" t="s">
        <v>67</v>
      </c>
      <c r="BB636" t="s">
        <v>1540</v>
      </c>
      <c r="BC636" t="s">
        <v>485</v>
      </c>
      <c r="BD636" t="s">
        <v>79</v>
      </c>
      <c r="BE636" t="s">
        <v>1541</v>
      </c>
      <c r="BF636" s="5">
        <v>46627</v>
      </c>
      <c r="BH636">
        <v>10</v>
      </c>
      <c r="BI636" s="6">
        <v>600000</v>
      </c>
      <c r="BJ636" s="6">
        <v>48</v>
      </c>
      <c r="BK636" s="6">
        <v>288000</v>
      </c>
      <c r="BL636" s="6">
        <v>312000</v>
      </c>
      <c r="BM636" s="2">
        <v>3120000</v>
      </c>
      <c r="BN636">
        <f>InvoiceTable[[#This Row],[Giảm giá]]*InvoiceTable[[#This Row],[Số lượng]]</f>
        <v>2880000</v>
      </c>
    </row>
    <row r="637" spans="1:66" x14ac:dyDescent="0.25">
      <c r="A637" t="s">
        <v>65</v>
      </c>
      <c r="B637" t="s">
        <v>2200</v>
      </c>
      <c r="F637" s="2"/>
      <c r="G637" s="3">
        <v>46009.641071678241</v>
      </c>
      <c r="H637" s="3">
        <v>46009.641037071757</v>
      </c>
      <c r="I637" s="4" t="s">
        <v>1682</v>
      </c>
      <c r="J637" t="s">
        <v>67</v>
      </c>
      <c r="K637" t="s">
        <v>67</v>
      </c>
      <c r="L637" t="s">
        <v>2201</v>
      </c>
      <c r="M637" t="s">
        <v>2202</v>
      </c>
      <c r="N637" t="s">
        <v>67</v>
      </c>
      <c r="O637" t="s">
        <v>2203</v>
      </c>
      <c r="P637" t="s">
        <v>2204</v>
      </c>
      <c r="S637" s="5"/>
      <c r="T637" t="s">
        <v>72</v>
      </c>
      <c r="U637" t="s">
        <v>87</v>
      </c>
      <c r="V637" t="s">
        <v>74</v>
      </c>
      <c r="W637" t="s">
        <v>87</v>
      </c>
      <c r="AE637" s="2"/>
      <c r="AF637" s="2"/>
      <c r="AG637" s="2"/>
      <c r="AH637" s="2"/>
      <c r="AK637" t="s">
        <v>2205</v>
      </c>
      <c r="AL637" s="2">
        <v>17160000</v>
      </c>
      <c r="AM637" s="2">
        <v>0</v>
      </c>
      <c r="AN637" s="2"/>
      <c r="AO637" s="2">
        <v>0</v>
      </c>
      <c r="AP637" s="2">
        <v>17160000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4"/>
      <c r="AX637" t="s">
        <v>75</v>
      </c>
      <c r="AZ637" t="s">
        <v>483</v>
      </c>
      <c r="BA637" t="s">
        <v>67</v>
      </c>
      <c r="BB637" t="s">
        <v>484</v>
      </c>
      <c r="BC637" t="s">
        <v>485</v>
      </c>
      <c r="BD637" t="s">
        <v>79</v>
      </c>
      <c r="BE637" t="s">
        <v>117</v>
      </c>
      <c r="BF637" s="5">
        <v>46569</v>
      </c>
      <c r="BH637">
        <v>20</v>
      </c>
      <c r="BI637" s="6">
        <v>600000</v>
      </c>
      <c r="BJ637" s="6">
        <v>48</v>
      </c>
      <c r="BK637" s="6">
        <v>288000</v>
      </c>
      <c r="BL637" s="6">
        <v>312000</v>
      </c>
      <c r="BM637" s="2">
        <v>6240000</v>
      </c>
      <c r="BN637">
        <f>InvoiceTable[[#This Row],[Giảm giá]]*InvoiceTable[[#This Row],[Số lượng]]</f>
        <v>5760000</v>
      </c>
    </row>
    <row r="638" spans="1:66" x14ac:dyDescent="0.25">
      <c r="A638" t="s">
        <v>65</v>
      </c>
      <c r="B638" t="s">
        <v>2208</v>
      </c>
      <c r="F638" s="2"/>
      <c r="G638" s="3">
        <v>46009.630401851849</v>
      </c>
      <c r="H638" s="3">
        <v>46010.714690243054</v>
      </c>
      <c r="I638" s="4" t="s">
        <v>67</v>
      </c>
      <c r="J638" t="s">
        <v>67</v>
      </c>
      <c r="K638" t="s">
        <v>67</v>
      </c>
      <c r="L638" t="s">
        <v>2209</v>
      </c>
      <c r="M638" t="s">
        <v>2210</v>
      </c>
      <c r="N638" t="s">
        <v>67</v>
      </c>
      <c r="O638" t="s">
        <v>2211</v>
      </c>
      <c r="P638" t="s">
        <v>2212</v>
      </c>
      <c r="Q638" t="s">
        <v>67</v>
      </c>
      <c r="R638" t="s">
        <v>67</v>
      </c>
      <c r="S638" s="5"/>
      <c r="T638" t="s">
        <v>72</v>
      </c>
      <c r="U638" t="s">
        <v>87</v>
      </c>
      <c r="V638" t="s">
        <v>74</v>
      </c>
      <c r="W638" t="s">
        <v>87</v>
      </c>
      <c r="AE638" s="2"/>
      <c r="AF638" s="2"/>
      <c r="AG638" s="2"/>
      <c r="AH638" s="2"/>
      <c r="AL638" s="2">
        <v>901088</v>
      </c>
      <c r="AM638" s="2">
        <v>0</v>
      </c>
      <c r="AN638" s="2"/>
      <c r="AO638" s="2">
        <v>0</v>
      </c>
      <c r="AP638" s="2">
        <v>901088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4"/>
      <c r="AX638" t="s">
        <v>75</v>
      </c>
      <c r="AZ638" t="s">
        <v>2213</v>
      </c>
      <c r="BA638" t="s">
        <v>67</v>
      </c>
      <c r="BB638" t="s">
        <v>2214</v>
      </c>
      <c r="BC638" t="s">
        <v>1492</v>
      </c>
      <c r="BD638" t="s">
        <v>79</v>
      </c>
      <c r="BE638" t="s">
        <v>168</v>
      </c>
      <c r="BF638" s="5">
        <v>46388</v>
      </c>
      <c r="BG638" t="s">
        <v>67</v>
      </c>
      <c r="BH638">
        <v>1</v>
      </c>
      <c r="BI638" s="6">
        <v>1553600</v>
      </c>
      <c r="BJ638" s="6">
        <v>42</v>
      </c>
      <c r="BK638" s="6">
        <v>652512</v>
      </c>
      <c r="BL638" s="6">
        <v>901088</v>
      </c>
      <c r="BM638" s="2">
        <v>901088</v>
      </c>
      <c r="BN638">
        <f>InvoiceTable[[#This Row],[Giảm giá]]*InvoiceTable[[#This Row],[Số lượng]]</f>
        <v>652512</v>
      </c>
    </row>
    <row r="639" spans="1:66" x14ac:dyDescent="0.25">
      <c r="A639" t="s">
        <v>65</v>
      </c>
      <c r="B639" t="s">
        <v>2215</v>
      </c>
      <c r="F639" s="2"/>
      <c r="G639" s="3">
        <v>46009.614122881947</v>
      </c>
      <c r="H639" s="3">
        <v>46009.614122997686</v>
      </c>
      <c r="I639" s="4" t="s">
        <v>67</v>
      </c>
      <c r="J639" t="s">
        <v>2216</v>
      </c>
      <c r="K639" t="s">
        <v>67</v>
      </c>
      <c r="L639" t="s">
        <v>2217</v>
      </c>
      <c r="M639" t="s">
        <v>2218</v>
      </c>
      <c r="N639" t="s">
        <v>67</v>
      </c>
      <c r="O639" t="s">
        <v>2219</v>
      </c>
      <c r="P639" t="s">
        <v>2220</v>
      </c>
      <c r="Q639" t="s">
        <v>67</v>
      </c>
      <c r="R639" t="s">
        <v>67</v>
      </c>
      <c r="S639" s="5"/>
      <c r="T639" t="s">
        <v>72</v>
      </c>
      <c r="U639" t="s">
        <v>73</v>
      </c>
      <c r="V639" t="s">
        <v>74</v>
      </c>
      <c r="W639" t="s">
        <v>73</v>
      </c>
      <c r="AE639" s="2"/>
      <c r="AF639" s="2"/>
      <c r="AG639" s="2"/>
      <c r="AH639" s="2"/>
      <c r="AL639" s="2">
        <v>510400</v>
      </c>
      <c r="AM639" s="2">
        <v>0</v>
      </c>
      <c r="AN639" s="2"/>
      <c r="AO639" s="2">
        <v>0</v>
      </c>
      <c r="AP639" s="2">
        <v>510400</v>
      </c>
      <c r="AQ639" s="2">
        <v>510400</v>
      </c>
      <c r="AR639" s="2">
        <v>510400</v>
      </c>
      <c r="AS639" s="2">
        <v>0</v>
      </c>
      <c r="AT639" s="2">
        <v>0</v>
      </c>
      <c r="AU639" s="2">
        <v>0</v>
      </c>
      <c r="AV639" s="2">
        <v>0</v>
      </c>
      <c r="AW639" s="4"/>
      <c r="AX639" t="s">
        <v>75</v>
      </c>
      <c r="AZ639" t="s">
        <v>2221</v>
      </c>
      <c r="BA639" t="s">
        <v>67</v>
      </c>
      <c r="BB639" t="s">
        <v>2222</v>
      </c>
      <c r="BC639" t="s">
        <v>344</v>
      </c>
      <c r="BD639" t="s">
        <v>79</v>
      </c>
      <c r="BE639" t="s">
        <v>142</v>
      </c>
      <c r="BF639" s="5">
        <v>46844</v>
      </c>
      <c r="BH639">
        <v>1</v>
      </c>
      <c r="BI639" s="6">
        <v>880000</v>
      </c>
      <c r="BJ639" s="6">
        <v>42</v>
      </c>
      <c r="BK639" s="6">
        <v>369600</v>
      </c>
      <c r="BL639" s="6">
        <v>510400</v>
      </c>
      <c r="BM639" s="2">
        <v>510400</v>
      </c>
      <c r="BN639">
        <f>InvoiceTable[[#This Row],[Giảm giá]]*InvoiceTable[[#This Row],[Số lượng]]</f>
        <v>369600</v>
      </c>
    </row>
    <row r="640" spans="1:66" x14ac:dyDescent="0.25">
      <c r="A640" t="s">
        <v>65</v>
      </c>
      <c r="B640" t="s">
        <v>2223</v>
      </c>
      <c r="F640" s="2"/>
      <c r="G640" s="3">
        <v>46009.579937071758</v>
      </c>
      <c r="H640" s="3">
        <v>46009.579937233793</v>
      </c>
      <c r="I640" s="4" t="s">
        <v>67</v>
      </c>
      <c r="J640" t="s">
        <v>67</v>
      </c>
      <c r="K640" t="s">
        <v>67</v>
      </c>
      <c r="L640" t="s">
        <v>1952</v>
      </c>
      <c r="M640" t="s">
        <v>1953</v>
      </c>
      <c r="N640" t="s">
        <v>67</v>
      </c>
      <c r="Q640" t="s">
        <v>67</v>
      </c>
      <c r="R640" t="s">
        <v>67</v>
      </c>
      <c r="S640" s="5"/>
      <c r="T640" t="s">
        <v>72</v>
      </c>
      <c r="U640" t="s">
        <v>87</v>
      </c>
      <c r="V640" t="s">
        <v>74</v>
      </c>
      <c r="W640" t="s">
        <v>87</v>
      </c>
      <c r="AE640" s="2"/>
      <c r="AF640" s="2"/>
      <c r="AG640" s="2"/>
      <c r="AH640" s="2"/>
      <c r="AK640" t="s">
        <v>354</v>
      </c>
      <c r="AL640" s="2">
        <v>4575000</v>
      </c>
      <c r="AM640" s="2">
        <v>0</v>
      </c>
      <c r="AN640" s="2"/>
      <c r="AO640" s="2">
        <v>0</v>
      </c>
      <c r="AP640" s="2">
        <v>4575000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4"/>
      <c r="AX640" t="s">
        <v>75</v>
      </c>
      <c r="AZ640" t="s">
        <v>1039</v>
      </c>
      <c r="BA640" t="s">
        <v>67</v>
      </c>
      <c r="BB640" t="s">
        <v>1040</v>
      </c>
      <c r="BC640" t="s">
        <v>78</v>
      </c>
      <c r="BD640" t="s">
        <v>79</v>
      </c>
      <c r="BE640" t="s">
        <v>117</v>
      </c>
      <c r="BF640" s="5">
        <v>46569</v>
      </c>
      <c r="BH640">
        <v>3</v>
      </c>
      <c r="BI640" s="6">
        <v>3050000</v>
      </c>
      <c r="BJ640" s="6">
        <v>50</v>
      </c>
      <c r="BK640" s="6">
        <v>1525000</v>
      </c>
      <c r="BL640" s="6">
        <v>1525000</v>
      </c>
      <c r="BM640" s="2">
        <v>4575000</v>
      </c>
      <c r="BN640">
        <f>InvoiceTable[[#This Row],[Giảm giá]]*InvoiceTable[[#This Row],[Số lượng]]</f>
        <v>4575000</v>
      </c>
    </row>
    <row r="641" spans="1:66" x14ac:dyDescent="0.25">
      <c r="A641" t="s">
        <v>65</v>
      </c>
      <c r="B641" t="s">
        <v>2224</v>
      </c>
      <c r="F641" s="2"/>
      <c r="G641" s="3">
        <v>46009.579600150464</v>
      </c>
      <c r="H641" s="3">
        <v>46009.579600231482</v>
      </c>
      <c r="I641" s="4" t="s">
        <v>67</v>
      </c>
      <c r="J641" t="s">
        <v>67</v>
      </c>
      <c r="K641" t="s">
        <v>67</v>
      </c>
      <c r="L641" t="s">
        <v>1952</v>
      </c>
      <c r="M641" t="s">
        <v>1953</v>
      </c>
      <c r="N641" t="s">
        <v>67</v>
      </c>
      <c r="Q641" t="s">
        <v>67</v>
      </c>
      <c r="R641" t="s">
        <v>67</v>
      </c>
      <c r="S641" s="5"/>
      <c r="T641" t="s">
        <v>72</v>
      </c>
      <c r="U641" t="s">
        <v>87</v>
      </c>
      <c r="V641" t="s">
        <v>74</v>
      </c>
      <c r="W641" t="s">
        <v>87</v>
      </c>
      <c r="AE641" s="2"/>
      <c r="AF641" s="2"/>
      <c r="AG641" s="2"/>
      <c r="AH641" s="2"/>
      <c r="AK641" t="s">
        <v>1955</v>
      </c>
      <c r="AL641" s="2">
        <v>19770000</v>
      </c>
      <c r="AM641" s="2">
        <v>9885000</v>
      </c>
      <c r="AN641" s="2"/>
      <c r="AO641" s="2">
        <v>0</v>
      </c>
      <c r="AP641" s="2">
        <v>9885000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4"/>
      <c r="AX641" t="s">
        <v>75</v>
      </c>
      <c r="AZ641" t="s">
        <v>518</v>
      </c>
      <c r="BA641" t="s">
        <v>67</v>
      </c>
      <c r="BB641" t="s">
        <v>519</v>
      </c>
      <c r="BC641" t="s">
        <v>78</v>
      </c>
      <c r="BD641" t="s">
        <v>79</v>
      </c>
      <c r="BE641" t="s">
        <v>80</v>
      </c>
      <c r="BF641" s="5">
        <v>47300</v>
      </c>
      <c r="BH641">
        <v>3</v>
      </c>
      <c r="BI641" s="6">
        <v>3500000</v>
      </c>
      <c r="BJ641" s="6">
        <v>0</v>
      </c>
      <c r="BK641" s="6">
        <v>0</v>
      </c>
      <c r="BL641" s="6">
        <v>3500000</v>
      </c>
      <c r="BM641" s="2">
        <v>10500000</v>
      </c>
      <c r="BN641">
        <f>InvoiceTable[[#This Row],[Giảm giá]]*InvoiceTable[[#This Row],[Số lượng]]</f>
        <v>0</v>
      </c>
    </row>
    <row r="642" spans="1:66" x14ac:dyDescent="0.25">
      <c r="A642" t="s">
        <v>65</v>
      </c>
      <c r="B642" t="s">
        <v>2224</v>
      </c>
      <c r="F642" s="2"/>
      <c r="G642" s="3">
        <v>46009.579600150464</v>
      </c>
      <c r="H642" s="3">
        <v>46009.579600231482</v>
      </c>
      <c r="I642" s="4" t="s">
        <v>67</v>
      </c>
      <c r="J642" t="s">
        <v>67</v>
      </c>
      <c r="K642" t="s">
        <v>67</v>
      </c>
      <c r="L642" t="s">
        <v>1952</v>
      </c>
      <c r="M642" t="s">
        <v>1953</v>
      </c>
      <c r="N642" t="s">
        <v>67</v>
      </c>
      <c r="Q642" t="s">
        <v>67</v>
      </c>
      <c r="R642" t="s">
        <v>67</v>
      </c>
      <c r="S642" s="5"/>
      <c r="T642" t="s">
        <v>72</v>
      </c>
      <c r="U642" t="s">
        <v>87</v>
      </c>
      <c r="V642" t="s">
        <v>74</v>
      </c>
      <c r="W642" t="s">
        <v>87</v>
      </c>
      <c r="AE642" s="2"/>
      <c r="AF642" s="2"/>
      <c r="AG642" s="2"/>
      <c r="AH642" s="2"/>
      <c r="AK642" t="s">
        <v>1955</v>
      </c>
      <c r="AL642" s="2">
        <v>19770000</v>
      </c>
      <c r="AM642" s="2">
        <v>9885000</v>
      </c>
      <c r="AN642" s="2"/>
      <c r="AO642" s="2">
        <v>0</v>
      </c>
      <c r="AP642" s="2">
        <v>9885000</v>
      </c>
      <c r="AQ642" s="2">
        <v>0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4"/>
      <c r="AX642" t="s">
        <v>75</v>
      </c>
      <c r="AZ642" t="s">
        <v>2225</v>
      </c>
      <c r="BA642" t="s">
        <v>67</v>
      </c>
      <c r="BB642" t="s">
        <v>2226</v>
      </c>
      <c r="BC642" t="s">
        <v>138</v>
      </c>
      <c r="BD642" t="s">
        <v>79</v>
      </c>
      <c r="BE642" t="s">
        <v>168</v>
      </c>
      <c r="BF642" s="5">
        <v>46388</v>
      </c>
      <c r="BG642" t="s">
        <v>67</v>
      </c>
      <c r="BH642">
        <v>1</v>
      </c>
      <c r="BI642" s="6">
        <v>1670000</v>
      </c>
      <c r="BJ642" s="6">
        <v>0</v>
      </c>
      <c r="BK642" s="6">
        <v>0</v>
      </c>
      <c r="BL642" s="6">
        <v>1670000</v>
      </c>
      <c r="BM642" s="2">
        <v>1670000</v>
      </c>
      <c r="BN642">
        <f>InvoiceTable[[#This Row],[Giảm giá]]*InvoiceTable[[#This Row],[Số lượng]]</f>
        <v>0</v>
      </c>
    </row>
    <row r="643" spans="1:66" x14ac:dyDescent="0.25">
      <c r="A643" t="s">
        <v>65</v>
      </c>
      <c r="B643" t="s">
        <v>2224</v>
      </c>
      <c r="F643" s="2"/>
      <c r="G643" s="3">
        <v>46009.579600150464</v>
      </c>
      <c r="H643" s="3">
        <v>46009.579600231482</v>
      </c>
      <c r="I643" s="4" t="s">
        <v>67</v>
      </c>
      <c r="J643" t="s">
        <v>67</v>
      </c>
      <c r="K643" t="s">
        <v>67</v>
      </c>
      <c r="L643" t="s">
        <v>1952</v>
      </c>
      <c r="M643" t="s">
        <v>1953</v>
      </c>
      <c r="N643" t="s">
        <v>67</v>
      </c>
      <c r="Q643" t="s">
        <v>67</v>
      </c>
      <c r="R643" t="s">
        <v>67</v>
      </c>
      <c r="S643" s="5"/>
      <c r="T643" t="s">
        <v>72</v>
      </c>
      <c r="U643" t="s">
        <v>87</v>
      </c>
      <c r="V643" t="s">
        <v>74</v>
      </c>
      <c r="W643" t="s">
        <v>87</v>
      </c>
      <c r="AE643" s="2"/>
      <c r="AF643" s="2"/>
      <c r="AG643" s="2"/>
      <c r="AH643" s="2"/>
      <c r="AK643" t="s">
        <v>1955</v>
      </c>
      <c r="AL643" s="2">
        <v>19770000</v>
      </c>
      <c r="AM643" s="2">
        <v>9885000</v>
      </c>
      <c r="AN643" s="2"/>
      <c r="AO643" s="2">
        <v>0</v>
      </c>
      <c r="AP643" s="2">
        <v>9885000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4"/>
      <c r="AX643" t="s">
        <v>75</v>
      </c>
      <c r="AZ643" t="s">
        <v>651</v>
      </c>
      <c r="BA643" t="s">
        <v>67</v>
      </c>
      <c r="BB643" t="s">
        <v>652</v>
      </c>
      <c r="BC643" t="s">
        <v>78</v>
      </c>
      <c r="BD643" t="s">
        <v>79</v>
      </c>
      <c r="BE643" t="s">
        <v>131</v>
      </c>
      <c r="BF643" s="5">
        <v>46874</v>
      </c>
      <c r="BH643">
        <v>2</v>
      </c>
      <c r="BI643" s="6">
        <v>3800000</v>
      </c>
      <c r="BJ643" s="6">
        <v>0</v>
      </c>
      <c r="BK643" s="6">
        <v>0</v>
      </c>
      <c r="BL643" s="6">
        <v>3800000</v>
      </c>
      <c r="BM643" s="2">
        <v>7600000</v>
      </c>
      <c r="BN643">
        <f>InvoiceTable[[#This Row],[Giảm giá]]*InvoiceTable[[#This Row],[Số lượng]]</f>
        <v>0</v>
      </c>
    </row>
    <row r="644" spans="1:66" x14ac:dyDescent="0.25">
      <c r="A644" t="s">
        <v>65</v>
      </c>
      <c r="B644" t="s">
        <v>2227</v>
      </c>
      <c r="F644" s="2"/>
      <c r="G644" s="3">
        <v>46009.5786190625</v>
      </c>
      <c r="H644" s="3">
        <v>46009.578619131942</v>
      </c>
      <c r="I644" s="4" t="s">
        <v>67</v>
      </c>
      <c r="J644" t="s">
        <v>67</v>
      </c>
      <c r="K644" t="s">
        <v>67</v>
      </c>
      <c r="L644" t="s">
        <v>1195</v>
      </c>
      <c r="M644" t="s">
        <v>1196</v>
      </c>
      <c r="N644" t="s">
        <v>67</v>
      </c>
      <c r="Q644" t="s">
        <v>67</v>
      </c>
      <c r="R644" t="s">
        <v>67</v>
      </c>
      <c r="S644" s="5"/>
      <c r="T644" t="s">
        <v>72</v>
      </c>
      <c r="U644" t="s">
        <v>87</v>
      </c>
      <c r="V644" t="s">
        <v>74</v>
      </c>
      <c r="W644" t="s">
        <v>87</v>
      </c>
      <c r="AE644" s="2"/>
      <c r="AF644" s="2"/>
      <c r="AG644" s="2"/>
      <c r="AH644" s="2"/>
      <c r="AL644" s="2">
        <v>23290000</v>
      </c>
      <c r="AM644" s="2">
        <v>11645000</v>
      </c>
      <c r="AN644" s="2"/>
      <c r="AO644" s="2">
        <v>0</v>
      </c>
      <c r="AP644" s="2">
        <v>11645000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4"/>
      <c r="AX644" t="s">
        <v>75</v>
      </c>
      <c r="AZ644" t="s">
        <v>2228</v>
      </c>
      <c r="BA644" t="s">
        <v>67</v>
      </c>
      <c r="BB644" t="s">
        <v>2229</v>
      </c>
      <c r="BC644" t="s">
        <v>78</v>
      </c>
      <c r="BD644" t="s">
        <v>79</v>
      </c>
      <c r="BE644" t="s">
        <v>168</v>
      </c>
      <c r="BF644" s="5">
        <v>46388</v>
      </c>
      <c r="BG644" t="s">
        <v>67</v>
      </c>
      <c r="BH644">
        <v>1</v>
      </c>
      <c r="BI644" s="6">
        <v>3800000</v>
      </c>
      <c r="BJ644" s="6">
        <v>0</v>
      </c>
      <c r="BK644" s="6">
        <v>0</v>
      </c>
      <c r="BL644" s="6">
        <v>3800000</v>
      </c>
      <c r="BM644" s="2">
        <v>3800000</v>
      </c>
      <c r="BN644">
        <f>InvoiceTable[[#This Row],[Giảm giá]]*InvoiceTable[[#This Row],[Số lượng]]</f>
        <v>0</v>
      </c>
    </row>
    <row r="645" spans="1:66" x14ac:dyDescent="0.25">
      <c r="A645" t="s">
        <v>65</v>
      </c>
      <c r="B645" t="s">
        <v>2227</v>
      </c>
      <c r="F645" s="2"/>
      <c r="G645" s="3">
        <v>46009.5786190625</v>
      </c>
      <c r="H645" s="3">
        <v>46009.578619131942</v>
      </c>
      <c r="I645" s="4" t="s">
        <v>67</v>
      </c>
      <c r="J645" t="s">
        <v>67</v>
      </c>
      <c r="K645" t="s">
        <v>67</v>
      </c>
      <c r="L645" t="s">
        <v>1195</v>
      </c>
      <c r="M645" t="s">
        <v>1196</v>
      </c>
      <c r="N645" t="s">
        <v>67</v>
      </c>
      <c r="Q645" t="s">
        <v>67</v>
      </c>
      <c r="R645" t="s">
        <v>67</v>
      </c>
      <c r="S645" s="5"/>
      <c r="T645" t="s">
        <v>72</v>
      </c>
      <c r="U645" t="s">
        <v>87</v>
      </c>
      <c r="V645" t="s">
        <v>74</v>
      </c>
      <c r="W645" t="s">
        <v>87</v>
      </c>
      <c r="AE645" s="2"/>
      <c r="AF645" s="2"/>
      <c r="AG645" s="2"/>
      <c r="AH645" s="2"/>
      <c r="AL645" s="2">
        <v>23290000</v>
      </c>
      <c r="AM645" s="2">
        <v>11645000</v>
      </c>
      <c r="AN645" s="2"/>
      <c r="AO645" s="2">
        <v>0</v>
      </c>
      <c r="AP645" s="2">
        <v>11645000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4"/>
      <c r="AX645" t="s">
        <v>75</v>
      </c>
      <c r="AZ645" t="s">
        <v>518</v>
      </c>
      <c r="BA645" t="s">
        <v>67</v>
      </c>
      <c r="BB645" t="s">
        <v>519</v>
      </c>
      <c r="BC645" t="s">
        <v>78</v>
      </c>
      <c r="BD645" t="s">
        <v>79</v>
      </c>
      <c r="BE645" t="s">
        <v>80</v>
      </c>
      <c r="BF645" s="5">
        <v>47300</v>
      </c>
      <c r="BH645">
        <v>5</v>
      </c>
      <c r="BI645" s="6">
        <v>3500000</v>
      </c>
      <c r="BJ645" s="6">
        <v>0</v>
      </c>
      <c r="BK645" s="6">
        <v>0</v>
      </c>
      <c r="BL645" s="6">
        <v>3500000</v>
      </c>
      <c r="BM645" s="2">
        <v>17500000</v>
      </c>
      <c r="BN645">
        <f>InvoiceTable[[#This Row],[Giảm giá]]*InvoiceTable[[#This Row],[Số lượng]]</f>
        <v>0</v>
      </c>
    </row>
    <row r="646" spans="1:66" x14ac:dyDescent="0.25">
      <c r="A646" t="s">
        <v>65</v>
      </c>
      <c r="B646" t="s">
        <v>2227</v>
      </c>
      <c r="F646" s="2"/>
      <c r="G646" s="3">
        <v>46009.5786190625</v>
      </c>
      <c r="H646" s="3">
        <v>46009.578619131942</v>
      </c>
      <c r="I646" s="4" t="s">
        <v>67</v>
      </c>
      <c r="J646" t="s">
        <v>67</v>
      </c>
      <c r="K646" t="s">
        <v>67</v>
      </c>
      <c r="L646" t="s">
        <v>1195</v>
      </c>
      <c r="M646" t="s">
        <v>1196</v>
      </c>
      <c r="N646" t="s">
        <v>67</v>
      </c>
      <c r="Q646" t="s">
        <v>67</v>
      </c>
      <c r="R646" t="s">
        <v>67</v>
      </c>
      <c r="S646" s="5"/>
      <c r="T646" t="s">
        <v>72</v>
      </c>
      <c r="U646" t="s">
        <v>87</v>
      </c>
      <c r="V646" t="s">
        <v>74</v>
      </c>
      <c r="W646" t="s">
        <v>87</v>
      </c>
      <c r="AE646" s="2"/>
      <c r="AF646" s="2"/>
      <c r="AG646" s="2"/>
      <c r="AH646" s="2"/>
      <c r="AL646" s="2">
        <v>23290000</v>
      </c>
      <c r="AM646" s="2">
        <v>11645000</v>
      </c>
      <c r="AN646" s="2"/>
      <c r="AO646" s="2">
        <v>0</v>
      </c>
      <c r="AP646" s="2">
        <v>11645000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4"/>
      <c r="AX646" t="s">
        <v>75</v>
      </c>
      <c r="AZ646" t="s">
        <v>504</v>
      </c>
      <c r="BA646" t="s">
        <v>67</v>
      </c>
      <c r="BB646" t="s">
        <v>505</v>
      </c>
      <c r="BC646" t="s">
        <v>78</v>
      </c>
      <c r="BD646" t="s">
        <v>79</v>
      </c>
      <c r="BE646" t="s">
        <v>506</v>
      </c>
      <c r="BF646" s="5">
        <v>47604</v>
      </c>
      <c r="BH646">
        <v>1</v>
      </c>
      <c r="BI646" s="6">
        <v>1990000</v>
      </c>
      <c r="BJ646" s="6">
        <v>0</v>
      </c>
      <c r="BK646" s="6">
        <v>0</v>
      </c>
      <c r="BL646" s="6">
        <v>1990000</v>
      </c>
      <c r="BM646" s="2">
        <v>1990000</v>
      </c>
      <c r="BN646">
        <f>InvoiceTable[[#This Row],[Giảm giá]]*InvoiceTable[[#This Row],[Số lượng]]</f>
        <v>0</v>
      </c>
    </row>
    <row r="647" spans="1:66" x14ac:dyDescent="0.25">
      <c r="A647" t="s">
        <v>65</v>
      </c>
      <c r="B647" t="s">
        <v>2230</v>
      </c>
      <c r="F647" s="2"/>
      <c r="G647" s="3">
        <v>46009.577938391201</v>
      </c>
      <c r="H647" s="3">
        <v>46009.577938541668</v>
      </c>
      <c r="I647" s="4" t="s">
        <v>67</v>
      </c>
      <c r="J647" t="s">
        <v>67</v>
      </c>
      <c r="K647" t="s">
        <v>67</v>
      </c>
      <c r="L647" t="s">
        <v>111</v>
      </c>
      <c r="M647" t="s">
        <v>112</v>
      </c>
      <c r="N647" t="s">
        <v>67</v>
      </c>
      <c r="O647" t="s">
        <v>113</v>
      </c>
      <c r="P647" t="s">
        <v>114</v>
      </c>
      <c r="Q647" t="s">
        <v>67</v>
      </c>
      <c r="R647" t="s">
        <v>67</v>
      </c>
      <c r="S647" s="5"/>
      <c r="T647" t="s">
        <v>72</v>
      </c>
      <c r="U647" t="s">
        <v>87</v>
      </c>
      <c r="V647" t="s">
        <v>74</v>
      </c>
      <c r="W647" t="s">
        <v>87</v>
      </c>
      <c r="AE647" s="2"/>
      <c r="AF647" s="2"/>
      <c r="AG647" s="2"/>
      <c r="AH647" s="2"/>
      <c r="AL647" s="2">
        <v>13070000</v>
      </c>
      <c r="AM647" s="2">
        <v>6535000</v>
      </c>
      <c r="AN647" s="2"/>
      <c r="AO647" s="2">
        <v>0</v>
      </c>
      <c r="AP647" s="2">
        <v>6535000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4"/>
      <c r="AX647" t="s">
        <v>75</v>
      </c>
      <c r="AZ647" t="s">
        <v>651</v>
      </c>
      <c r="BA647" t="s">
        <v>67</v>
      </c>
      <c r="BB647" t="s">
        <v>652</v>
      </c>
      <c r="BC647" t="s">
        <v>78</v>
      </c>
      <c r="BD647" t="s">
        <v>79</v>
      </c>
      <c r="BE647" t="s">
        <v>131</v>
      </c>
      <c r="BF647" s="5">
        <v>46874</v>
      </c>
      <c r="BH647">
        <v>3</v>
      </c>
      <c r="BI647" s="6">
        <v>3800000</v>
      </c>
      <c r="BJ647" s="6">
        <v>0</v>
      </c>
      <c r="BK647" s="6">
        <v>0</v>
      </c>
      <c r="BL647" s="6">
        <v>3800000</v>
      </c>
      <c r="BM647" s="2">
        <v>11400000</v>
      </c>
      <c r="BN647">
        <f>InvoiceTable[[#This Row],[Giảm giá]]*InvoiceTable[[#This Row],[Số lượng]]</f>
        <v>0</v>
      </c>
    </row>
    <row r="648" spans="1:66" x14ac:dyDescent="0.25">
      <c r="A648" t="s">
        <v>65</v>
      </c>
      <c r="B648" t="s">
        <v>2230</v>
      </c>
      <c r="F648" s="2"/>
      <c r="G648" s="3">
        <v>46009.577938391201</v>
      </c>
      <c r="H648" s="3">
        <v>46009.577938541668</v>
      </c>
      <c r="I648" s="4" t="s">
        <v>67</v>
      </c>
      <c r="J648" t="s">
        <v>67</v>
      </c>
      <c r="K648" t="s">
        <v>67</v>
      </c>
      <c r="L648" t="s">
        <v>111</v>
      </c>
      <c r="M648" t="s">
        <v>112</v>
      </c>
      <c r="N648" t="s">
        <v>67</v>
      </c>
      <c r="O648" t="s">
        <v>113</v>
      </c>
      <c r="P648" t="s">
        <v>114</v>
      </c>
      <c r="Q648" t="s">
        <v>67</v>
      </c>
      <c r="R648" t="s">
        <v>67</v>
      </c>
      <c r="S648" s="5"/>
      <c r="T648" t="s">
        <v>72</v>
      </c>
      <c r="U648" t="s">
        <v>87</v>
      </c>
      <c r="V648" t="s">
        <v>74</v>
      </c>
      <c r="W648" t="s">
        <v>87</v>
      </c>
      <c r="AE648" s="2"/>
      <c r="AF648" s="2"/>
      <c r="AG648" s="2"/>
      <c r="AH648" s="2"/>
      <c r="AL648" s="2">
        <v>13070000</v>
      </c>
      <c r="AM648" s="2">
        <v>6535000</v>
      </c>
      <c r="AN648" s="2"/>
      <c r="AO648" s="2">
        <v>0</v>
      </c>
      <c r="AP648" s="2">
        <v>6535000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4"/>
      <c r="AX648" t="s">
        <v>75</v>
      </c>
      <c r="AZ648" t="s">
        <v>2225</v>
      </c>
      <c r="BA648" t="s">
        <v>67</v>
      </c>
      <c r="BB648" t="s">
        <v>2226</v>
      </c>
      <c r="BC648" t="s">
        <v>138</v>
      </c>
      <c r="BD648" t="s">
        <v>79</v>
      </c>
      <c r="BE648" t="s">
        <v>168</v>
      </c>
      <c r="BF648" s="5">
        <v>46388</v>
      </c>
      <c r="BG648" t="s">
        <v>67</v>
      </c>
      <c r="BH648">
        <v>1</v>
      </c>
      <c r="BI648" s="6">
        <v>1670000</v>
      </c>
      <c r="BJ648" s="6">
        <v>0</v>
      </c>
      <c r="BK648" s="6">
        <v>0</v>
      </c>
      <c r="BL648" s="6">
        <v>1670000</v>
      </c>
      <c r="BM648" s="2">
        <v>1670000</v>
      </c>
      <c r="BN648">
        <f>InvoiceTable[[#This Row],[Giảm giá]]*InvoiceTable[[#This Row],[Số lượng]]</f>
        <v>0</v>
      </c>
    </row>
    <row r="649" spans="1:66" x14ac:dyDescent="0.25">
      <c r="A649" t="s">
        <v>65</v>
      </c>
      <c r="B649" t="s">
        <v>2231</v>
      </c>
      <c r="F649" s="2"/>
      <c r="G649" s="3">
        <v>46009.577502858796</v>
      </c>
      <c r="H649" s="3">
        <v>46009.577503472225</v>
      </c>
      <c r="I649" s="4" t="s">
        <v>67</v>
      </c>
      <c r="J649" t="s">
        <v>67</v>
      </c>
      <c r="K649" t="s">
        <v>67</v>
      </c>
      <c r="L649" t="s">
        <v>2232</v>
      </c>
      <c r="M649" t="s">
        <v>2233</v>
      </c>
      <c r="N649" t="s">
        <v>67</v>
      </c>
      <c r="O649" t="s">
        <v>2234</v>
      </c>
      <c r="P649" t="s">
        <v>2235</v>
      </c>
      <c r="S649" s="5"/>
      <c r="T649" t="s">
        <v>72</v>
      </c>
      <c r="U649" t="s">
        <v>87</v>
      </c>
      <c r="V649" t="s">
        <v>74</v>
      </c>
      <c r="W649" t="s">
        <v>87</v>
      </c>
      <c r="AE649" s="2"/>
      <c r="AF649" s="2"/>
      <c r="AG649" s="2"/>
      <c r="AH649" s="2"/>
      <c r="AL649" s="2">
        <v>3833500</v>
      </c>
      <c r="AM649" s="2">
        <v>0</v>
      </c>
      <c r="AN649" s="2"/>
      <c r="AO649" s="2">
        <v>0</v>
      </c>
      <c r="AP649" s="2">
        <v>3833500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4"/>
      <c r="AX649" t="s">
        <v>75</v>
      </c>
      <c r="AZ649" t="s">
        <v>424</v>
      </c>
      <c r="BA649" t="s">
        <v>67</v>
      </c>
      <c r="BB649" t="s">
        <v>425</v>
      </c>
      <c r="BC649" t="s">
        <v>426</v>
      </c>
      <c r="BD649" t="s">
        <v>79</v>
      </c>
      <c r="BE649" t="s">
        <v>198</v>
      </c>
      <c r="BF649" s="5">
        <v>46753</v>
      </c>
      <c r="BH649">
        <v>5</v>
      </c>
      <c r="BI649" s="6">
        <v>590000</v>
      </c>
      <c r="BJ649" s="6">
        <v>37</v>
      </c>
      <c r="BK649" s="6">
        <v>218300</v>
      </c>
      <c r="BL649" s="6">
        <v>371700</v>
      </c>
      <c r="BM649" s="2">
        <v>1858500</v>
      </c>
      <c r="BN649">
        <f>InvoiceTable[[#This Row],[Giảm giá]]*InvoiceTable[[#This Row],[Số lượng]]</f>
        <v>1091500</v>
      </c>
    </row>
    <row r="650" spans="1:66" x14ac:dyDescent="0.25">
      <c r="A650" t="s">
        <v>65</v>
      </c>
      <c r="B650" t="s">
        <v>2231</v>
      </c>
      <c r="F650" s="2"/>
      <c r="G650" s="3">
        <v>46009.577502858796</v>
      </c>
      <c r="H650" s="3">
        <v>46009.577503472225</v>
      </c>
      <c r="I650" s="4" t="s">
        <v>67</v>
      </c>
      <c r="J650" t="s">
        <v>67</v>
      </c>
      <c r="K650" t="s">
        <v>67</v>
      </c>
      <c r="L650" t="s">
        <v>2232</v>
      </c>
      <c r="M650" t="s">
        <v>2233</v>
      </c>
      <c r="N650" t="s">
        <v>67</v>
      </c>
      <c r="O650" t="s">
        <v>2234</v>
      </c>
      <c r="P650" t="s">
        <v>2235</v>
      </c>
      <c r="S650" s="5"/>
      <c r="T650" t="s">
        <v>72</v>
      </c>
      <c r="U650" t="s">
        <v>87</v>
      </c>
      <c r="V650" t="s">
        <v>74</v>
      </c>
      <c r="W650" t="s">
        <v>87</v>
      </c>
      <c r="AE650" s="2"/>
      <c r="AF650" s="2"/>
      <c r="AG650" s="2"/>
      <c r="AH650" s="2"/>
      <c r="AL650" s="2">
        <v>3833500</v>
      </c>
      <c r="AM650" s="2">
        <v>0</v>
      </c>
      <c r="AN650" s="2"/>
      <c r="AO650" s="2">
        <v>0</v>
      </c>
      <c r="AP650" s="2">
        <v>3833500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4"/>
      <c r="AX650" t="s">
        <v>75</v>
      </c>
      <c r="AZ650" t="s">
        <v>1262</v>
      </c>
      <c r="BA650" t="s">
        <v>67</v>
      </c>
      <c r="BB650" t="s">
        <v>1263</v>
      </c>
      <c r="BC650" t="s">
        <v>1264</v>
      </c>
      <c r="BD650" t="s">
        <v>79</v>
      </c>
      <c r="BE650" t="s">
        <v>378</v>
      </c>
      <c r="BF650" s="5">
        <v>46997</v>
      </c>
      <c r="BH650">
        <v>5</v>
      </c>
      <c r="BI650" s="6">
        <v>898000</v>
      </c>
      <c r="BJ650" s="6">
        <v>0</v>
      </c>
      <c r="BK650" s="6">
        <v>503000</v>
      </c>
      <c r="BL650" s="6">
        <v>395000</v>
      </c>
      <c r="BM650" s="2">
        <v>1975000</v>
      </c>
      <c r="BN650">
        <f>InvoiceTable[[#This Row],[Giảm giá]]*InvoiceTable[[#This Row],[Số lượng]]</f>
        <v>2515000</v>
      </c>
    </row>
    <row r="651" spans="1:66" x14ac:dyDescent="0.25">
      <c r="A651" t="s">
        <v>65</v>
      </c>
      <c r="B651" t="s">
        <v>2236</v>
      </c>
      <c r="F651" s="2"/>
      <c r="G651" s="3">
        <v>46009.570203391202</v>
      </c>
      <c r="H651" s="3">
        <v>46009.570180405091</v>
      </c>
      <c r="I651" s="4" t="s">
        <v>1941</v>
      </c>
      <c r="J651" t="s">
        <v>67</v>
      </c>
      <c r="K651" t="s">
        <v>67</v>
      </c>
      <c r="L651" t="s">
        <v>2237</v>
      </c>
      <c r="M651" t="s">
        <v>2238</v>
      </c>
      <c r="N651" t="s">
        <v>67</v>
      </c>
      <c r="O651" t="s">
        <v>2239</v>
      </c>
      <c r="P651" t="s">
        <v>2240</v>
      </c>
      <c r="S651" s="5"/>
      <c r="T651" t="s">
        <v>72</v>
      </c>
      <c r="U651" t="s">
        <v>102</v>
      </c>
      <c r="V651" t="s">
        <v>74</v>
      </c>
      <c r="W651" t="s">
        <v>102</v>
      </c>
      <c r="AE651" s="2"/>
      <c r="AF651" s="2"/>
      <c r="AG651" s="2"/>
      <c r="AH651" s="2"/>
      <c r="AL651" s="2">
        <v>4000000</v>
      </c>
      <c r="AM651" s="2">
        <v>0</v>
      </c>
      <c r="AN651" s="2"/>
      <c r="AO651" s="2">
        <v>0</v>
      </c>
      <c r="AP651" s="2">
        <v>4000000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4"/>
      <c r="AX651" t="s">
        <v>75</v>
      </c>
      <c r="AZ651" t="s">
        <v>103</v>
      </c>
      <c r="BB651" t="s">
        <v>104</v>
      </c>
      <c r="BC651" t="s">
        <v>105</v>
      </c>
      <c r="BD651" t="s">
        <v>79</v>
      </c>
      <c r="BE651" t="s">
        <v>106</v>
      </c>
      <c r="BF651" s="5">
        <v>46327</v>
      </c>
      <c r="BH651">
        <v>1</v>
      </c>
      <c r="BI651" s="6">
        <v>6930000</v>
      </c>
      <c r="BJ651" s="6">
        <v>0</v>
      </c>
      <c r="BK651" s="6">
        <v>2930000</v>
      </c>
      <c r="BL651" s="6">
        <v>4000000</v>
      </c>
      <c r="BM651" s="2">
        <v>4000000</v>
      </c>
      <c r="BN651">
        <f>InvoiceTable[[#This Row],[Giảm giá]]*InvoiceTable[[#This Row],[Số lượng]]</f>
        <v>2930000</v>
      </c>
    </row>
    <row r="652" spans="1:66" x14ac:dyDescent="0.25">
      <c r="A652" t="s">
        <v>65</v>
      </c>
      <c r="B652" t="s">
        <v>2241</v>
      </c>
      <c r="F652" s="2"/>
      <c r="G652" s="3">
        <v>46009.554313692126</v>
      </c>
      <c r="H652" s="3">
        <v>46009.554313807872</v>
      </c>
      <c r="I652" s="4" t="s">
        <v>2242</v>
      </c>
      <c r="J652" t="s">
        <v>2243</v>
      </c>
      <c r="K652" t="s">
        <v>67</v>
      </c>
      <c r="L652" t="s">
        <v>1128</v>
      </c>
      <c r="M652" t="s">
        <v>1129</v>
      </c>
      <c r="N652" t="s">
        <v>67</v>
      </c>
      <c r="O652" t="s">
        <v>1130</v>
      </c>
      <c r="P652" t="s">
        <v>1131</v>
      </c>
      <c r="S652" s="5"/>
      <c r="T652" t="s">
        <v>72</v>
      </c>
      <c r="U652" t="s">
        <v>1031</v>
      </c>
      <c r="V652" t="s">
        <v>74</v>
      </c>
      <c r="W652" t="s">
        <v>87</v>
      </c>
      <c r="AE652" s="2"/>
      <c r="AF652" s="2"/>
      <c r="AG652" s="2"/>
      <c r="AH652" s="2"/>
      <c r="AL652" s="2">
        <v>1384500</v>
      </c>
      <c r="AM652" s="2">
        <v>0</v>
      </c>
      <c r="AN652" s="2"/>
      <c r="AO652" s="2">
        <v>0</v>
      </c>
      <c r="AP652" s="2">
        <v>1384500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4"/>
      <c r="AX652" t="s">
        <v>75</v>
      </c>
      <c r="AZ652" t="s">
        <v>2244</v>
      </c>
      <c r="BA652" t="s">
        <v>67</v>
      </c>
      <c r="BB652" t="s">
        <v>2245</v>
      </c>
      <c r="BC652" t="s">
        <v>357</v>
      </c>
      <c r="BD652" t="s">
        <v>79</v>
      </c>
      <c r="BE652" t="s">
        <v>293</v>
      </c>
      <c r="BF652" s="5">
        <v>46722</v>
      </c>
      <c r="BG652" t="s">
        <v>67</v>
      </c>
      <c r="BH652">
        <v>5</v>
      </c>
      <c r="BI652" s="6">
        <v>486000</v>
      </c>
      <c r="BJ652" s="6">
        <v>0</v>
      </c>
      <c r="BK652" s="6">
        <v>209100</v>
      </c>
      <c r="BL652" s="6">
        <v>276900</v>
      </c>
      <c r="BM652" s="2">
        <v>1384500</v>
      </c>
      <c r="BN652">
        <f>InvoiceTable[[#This Row],[Giảm giá]]*InvoiceTable[[#This Row],[Số lượng]]</f>
        <v>1045500</v>
      </c>
    </row>
    <row r="653" spans="1:66" x14ac:dyDescent="0.25">
      <c r="A653" t="s">
        <v>65</v>
      </c>
      <c r="B653" t="s">
        <v>2246</v>
      </c>
      <c r="F653" s="2"/>
      <c r="G653" s="3">
        <v>46009.554112731479</v>
      </c>
      <c r="H653" s="3">
        <v>46009.554112847225</v>
      </c>
      <c r="I653" s="4" t="s">
        <v>2247</v>
      </c>
      <c r="J653" t="s">
        <v>2248</v>
      </c>
      <c r="K653" t="s">
        <v>2249</v>
      </c>
      <c r="L653" t="s">
        <v>1128</v>
      </c>
      <c r="M653" t="s">
        <v>1129</v>
      </c>
      <c r="N653" t="s">
        <v>67</v>
      </c>
      <c r="O653" t="s">
        <v>1130</v>
      </c>
      <c r="P653" t="s">
        <v>1131</v>
      </c>
      <c r="S653" s="5"/>
      <c r="T653" t="s">
        <v>72</v>
      </c>
      <c r="U653" t="s">
        <v>1031</v>
      </c>
      <c r="V653" t="s">
        <v>74</v>
      </c>
      <c r="W653" t="s">
        <v>87</v>
      </c>
      <c r="AE653" s="2"/>
      <c r="AF653" s="2"/>
      <c r="AG653" s="2"/>
      <c r="AH653" s="2"/>
      <c r="AK653" t="s">
        <v>2250</v>
      </c>
      <c r="AL653" s="2">
        <v>553800</v>
      </c>
      <c r="AM653" s="2">
        <v>0</v>
      </c>
      <c r="AN653" s="2"/>
      <c r="AO653" s="2">
        <v>0</v>
      </c>
      <c r="AP653" s="2">
        <v>553800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4"/>
      <c r="AX653" t="s">
        <v>75</v>
      </c>
      <c r="AZ653" t="s">
        <v>2244</v>
      </c>
      <c r="BA653" t="s">
        <v>67</v>
      </c>
      <c r="BB653" t="s">
        <v>2245</v>
      </c>
      <c r="BC653" t="s">
        <v>357</v>
      </c>
      <c r="BD653" t="s">
        <v>79</v>
      </c>
      <c r="BE653" t="s">
        <v>293</v>
      </c>
      <c r="BF653" s="5">
        <v>46722</v>
      </c>
      <c r="BG653" t="s">
        <v>67</v>
      </c>
      <c r="BH653">
        <v>2</v>
      </c>
      <c r="BI653" s="6">
        <v>486000</v>
      </c>
      <c r="BJ653" s="6">
        <v>0</v>
      </c>
      <c r="BK653" s="6">
        <v>209100</v>
      </c>
      <c r="BL653" s="6">
        <v>276900</v>
      </c>
      <c r="BM653" s="2">
        <v>553800</v>
      </c>
      <c r="BN653">
        <f>InvoiceTable[[#This Row],[Giảm giá]]*InvoiceTable[[#This Row],[Số lượng]]</f>
        <v>418200</v>
      </c>
    </row>
    <row r="654" spans="1:66" x14ac:dyDescent="0.25">
      <c r="A654" t="s">
        <v>65</v>
      </c>
      <c r="B654" t="s">
        <v>2251</v>
      </c>
      <c r="F654" s="2"/>
      <c r="G654" s="3">
        <v>46009.553936261575</v>
      </c>
      <c r="H654" s="3">
        <v>46009.553936377313</v>
      </c>
      <c r="I654" s="4" t="s">
        <v>67</v>
      </c>
      <c r="J654" t="s">
        <v>2252</v>
      </c>
      <c r="K654" t="s">
        <v>67</v>
      </c>
      <c r="L654" t="s">
        <v>398</v>
      </c>
      <c r="M654" t="s">
        <v>399</v>
      </c>
      <c r="N654" t="s">
        <v>400</v>
      </c>
      <c r="O654" t="s">
        <v>401</v>
      </c>
      <c r="P654" t="s">
        <v>402</v>
      </c>
      <c r="S654" s="5"/>
      <c r="T654" t="s">
        <v>72</v>
      </c>
      <c r="U654" t="s">
        <v>102</v>
      </c>
      <c r="V654" t="s">
        <v>74</v>
      </c>
      <c r="W654" t="s">
        <v>87</v>
      </c>
      <c r="AE654" s="2"/>
      <c r="AF654" s="2"/>
      <c r="AG654" s="2"/>
      <c r="AH654" s="2"/>
      <c r="AL654" s="2">
        <v>542300</v>
      </c>
      <c r="AM654" s="2">
        <v>0</v>
      </c>
      <c r="AN654" s="2"/>
      <c r="AO654" s="2">
        <v>0</v>
      </c>
      <c r="AP654" s="2">
        <v>542300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4"/>
      <c r="AX654" t="s">
        <v>75</v>
      </c>
      <c r="AZ654" t="s">
        <v>1187</v>
      </c>
      <c r="BA654" t="s">
        <v>67</v>
      </c>
      <c r="BB654" t="s">
        <v>1188</v>
      </c>
      <c r="BC654" t="s">
        <v>1189</v>
      </c>
      <c r="BD654" t="s">
        <v>79</v>
      </c>
      <c r="BE654" t="s">
        <v>434</v>
      </c>
      <c r="BF654" s="5">
        <v>46661</v>
      </c>
      <c r="BH654">
        <v>1</v>
      </c>
      <c r="BI654" s="6">
        <v>935000</v>
      </c>
      <c r="BJ654" s="6">
        <v>42</v>
      </c>
      <c r="BK654" s="6">
        <v>392700</v>
      </c>
      <c r="BL654" s="6">
        <v>542300</v>
      </c>
      <c r="BM654" s="2">
        <v>542300</v>
      </c>
      <c r="BN654">
        <f>InvoiceTable[[#This Row],[Giảm giá]]*InvoiceTable[[#This Row],[Số lượng]]</f>
        <v>392700</v>
      </c>
    </row>
    <row r="655" spans="1:66" x14ac:dyDescent="0.25">
      <c r="A655" t="s">
        <v>65</v>
      </c>
      <c r="B655" t="s">
        <v>2253</v>
      </c>
      <c r="F655" s="2"/>
      <c r="G655" s="3">
        <v>46009.553457789349</v>
      </c>
      <c r="H655" s="3">
        <v>46009.553457951391</v>
      </c>
      <c r="I655" s="4" t="s">
        <v>67</v>
      </c>
      <c r="J655" t="s">
        <v>2254</v>
      </c>
      <c r="K655" t="s">
        <v>67</v>
      </c>
      <c r="L655" t="s">
        <v>231</v>
      </c>
      <c r="M655" t="s">
        <v>232</v>
      </c>
      <c r="N655" t="s">
        <v>67</v>
      </c>
      <c r="O655" t="s">
        <v>233</v>
      </c>
      <c r="P655" t="s">
        <v>234</v>
      </c>
      <c r="S655" s="5"/>
      <c r="T655" t="s">
        <v>72</v>
      </c>
      <c r="U655" t="s">
        <v>73</v>
      </c>
      <c r="V655" t="s">
        <v>74</v>
      </c>
      <c r="W655" t="s">
        <v>87</v>
      </c>
      <c r="AE655" s="2"/>
      <c r="AF655" s="2"/>
      <c r="AG655" s="2"/>
      <c r="AH655" s="2"/>
      <c r="AK655" t="s">
        <v>2255</v>
      </c>
      <c r="AL655" s="2">
        <v>3572500</v>
      </c>
      <c r="AM655" s="2">
        <v>0</v>
      </c>
      <c r="AN655" s="2"/>
      <c r="AO655" s="2">
        <v>0</v>
      </c>
      <c r="AP655" s="2">
        <v>3572500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4"/>
      <c r="AX655" t="s">
        <v>75</v>
      </c>
      <c r="AZ655" t="s">
        <v>88</v>
      </c>
      <c r="BB655" t="s">
        <v>89</v>
      </c>
      <c r="BC655" t="s">
        <v>90</v>
      </c>
      <c r="BF655" s="5"/>
      <c r="BG655" t="s">
        <v>67</v>
      </c>
      <c r="BH655">
        <v>1</v>
      </c>
      <c r="BI655" s="6">
        <v>25000</v>
      </c>
      <c r="BJ655" s="6">
        <v>0</v>
      </c>
      <c r="BK655" s="6">
        <v>0</v>
      </c>
      <c r="BL655" s="6">
        <v>25000</v>
      </c>
      <c r="BM655" s="2">
        <v>25000</v>
      </c>
      <c r="BN655">
        <f>InvoiceTable[[#This Row],[Giảm giá]]*InvoiceTable[[#This Row],[Số lượng]]</f>
        <v>0</v>
      </c>
    </row>
    <row r="656" spans="1:66" x14ac:dyDescent="0.25">
      <c r="A656" t="s">
        <v>65</v>
      </c>
      <c r="B656" t="s">
        <v>2253</v>
      </c>
      <c r="F656" s="2"/>
      <c r="G656" s="3">
        <v>46009.553457789349</v>
      </c>
      <c r="H656" s="3">
        <v>46009.553457951391</v>
      </c>
      <c r="I656" s="4" t="s">
        <v>67</v>
      </c>
      <c r="J656" t="s">
        <v>2254</v>
      </c>
      <c r="K656" t="s">
        <v>67</v>
      </c>
      <c r="L656" t="s">
        <v>231</v>
      </c>
      <c r="M656" t="s">
        <v>232</v>
      </c>
      <c r="N656" t="s">
        <v>67</v>
      </c>
      <c r="O656" t="s">
        <v>233</v>
      </c>
      <c r="P656" t="s">
        <v>234</v>
      </c>
      <c r="S656" s="5"/>
      <c r="T656" t="s">
        <v>72</v>
      </c>
      <c r="U656" t="s">
        <v>73</v>
      </c>
      <c r="V656" t="s">
        <v>74</v>
      </c>
      <c r="W656" t="s">
        <v>87</v>
      </c>
      <c r="AE656" s="2"/>
      <c r="AF656" s="2"/>
      <c r="AG656" s="2"/>
      <c r="AH656" s="2"/>
      <c r="AK656" t="s">
        <v>2255</v>
      </c>
      <c r="AL656" s="2">
        <v>3572500</v>
      </c>
      <c r="AM656" s="2">
        <v>0</v>
      </c>
      <c r="AN656" s="2"/>
      <c r="AO656" s="2">
        <v>0</v>
      </c>
      <c r="AP656" s="2">
        <v>3572500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4"/>
      <c r="AX656" t="s">
        <v>75</v>
      </c>
      <c r="AZ656" t="s">
        <v>2256</v>
      </c>
      <c r="BA656" t="s">
        <v>67</v>
      </c>
      <c r="BB656" t="s">
        <v>2257</v>
      </c>
      <c r="BC656" t="s">
        <v>237</v>
      </c>
      <c r="BD656" t="s">
        <v>79</v>
      </c>
      <c r="BE656" t="s">
        <v>168</v>
      </c>
      <c r="BF656" s="5">
        <v>46388</v>
      </c>
      <c r="BH656">
        <v>1</v>
      </c>
      <c r="BI656" s="6">
        <v>890000</v>
      </c>
      <c r="BJ656" s="6">
        <v>37</v>
      </c>
      <c r="BK656" s="6">
        <v>329300</v>
      </c>
      <c r="BL656" s="6">
        <v>560700</v>
      </c>
      <c r="BM656" s="2">
        <v>560700</v>
      </c>
      <c r="BN656">
        <f>InvoiceTable[[#This Row],[Giảm giá]]*InvoiceTable[[#This Row],[Số lượng]]</f>
        <v>329300</v>
      </c>
    </row>
    <row r="657" spans="1:66" x14ac:dyDescent="0.25">
      <c r="A657" t="s">
        <v>65</v>
      </c>
      <c r="B657" t="s">
        <v>2253</v>
      </c>
      <c r="F657" s="2"/>
      <c r="G657" s="3">
        <v>46009.553457789349</v>
      </c>
      <c r="H657" s="3">
        <v>46009.553457951391</v>
      </c>
      <c r="I657" s="4" t="s">
        <v>67</v>
      </c>
      <c r="J657" t="s">
        <v>2254</v>
      </c>
      <c r="K657" t="s">
        <v>67</v>
      </c>
      <c r="L657" t="s">
        <v>231</v>
      </c>
      <c r="M657" t="s">
        <v>232</v>
      </c>
      <c r="N657" t="s">
        <v>67</v>
      </c>
      <c r="O657" t="s">
        <v>233</v>
      </c>
      <c r="P657" t="s">
        <v>234</v>
      </c>
      <c r="S657" s="5"/>
      <c r="T657" t="s">
        <v>72</v>
      </c>
      <c r="U657" t="s">
        <v>73</v>
      </c>
      <c r="V657" t="s">
        <v>74</v>
      </c>
      <c r="W657" t="s">
        <v>87</v>
      </c>
      <c r="AE657" s="2"/>
      <c r="AF657" s="2"/>
      <c r="AG657" s="2"/>
      <c r="AH657" s="2"/>
      <c r="AK657" t="s">
        <v>2255</v>
      </c>
      <c r="AL657" s="2">
        <v>3572500</v>
      </c>
      <c r="AM657" s="2">
        <v>0</v>
      </c>
      <c r="AN657" s="2"/>
      <c r="AO657" s="2">
        <v>0</v>
      </c>
      <c r="AP657" s="2">
        <v>3572500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4"/>
      <c r="AX657" t="s">
        <v>75</v>
      </c>
      <c r="AZ657" t="s">
        <v>710</v>
      </c>
      <c r="BA657" t="s">
        <v>67</v>
      </c>
      <c r="BB657" t="s">
        <v>711</v>
      </c>
      <c r="BC657" t="s">
        <v>204</v>
      </c>
      <c r="BD657" t="s">
        <v>79</v>
      </c>
      <c r="BE657" t="s">
        <v>273</v>
      </c>
      <c r="BF657" s="5">
        <v>46266</v>
      </c>
      <c r="BH657">
        <v>1</v>
      </c>
      <c r="BI657" s="6">
        <v>850000</v>
      </c>
      <c r="BJ657" s="6">
        <v>68.239999999999995</v>
      </c>
      <c r="BK657" s="6">
        <v>580000</v>
      </c>
      <c r="BL657" s="6">
        <v>270000</v>
      </c>
      <c r="BM657" s="2">
        <v>270000</v>
      </c>
      <c r="BN657">
        <f>InvoiceTable[[#This Row],[Giảm giá]]*InvoiceTable[[#This Row],[Số lượng]]</f>
        <v>580000</v>
      </c>
    </row>
    <row r="658" spans="1:66" x14ac:dyDescent="0.25">
      <c r="A658" t="s">
        <v>65</v>
      </c>
      <c r="B658" t="s">
        <v>2253</v>
      </c>
      <c r="F658" s="2"/>
      <c r="G658" s="3">
        <v>46009.553457789349</v>
      </c>
      <c r="H658" s="3">
        <v>46009.553457951391</v>
      </c>
      <c r="I658" s="4" t="s">
        <v>67</v>
      </c>
      <c r="J658" t="s">
        <v>2254</v>
      </c>
      <c r="K658" t="s">
        <v>67</v>
      </c>
      <c r="L658" t="s">
        <v>231</v>
      </c>
      <c r="M658" t="s">
        <v>232</v>
      </c>
      <c r="N658" t="s">
        <v>67</v>
      </c>
      <c r="O658" t="s">
        <v>233</v>
      </c>
      <c r="P658" t="s">
        <v>234</v>
      </c>
      <c r="S658" s="5"/>
      <c r="T658" t="s">
        <v>72</v>
      </c>
      <c r="U658" t="s">
        <v>73</v>
      </c>
      <c r="V658" t="s">
        <v>74</v>
      </c>
      <c r="W658" t="s">
        <v>87</v>
      </c>
      <c r="AE658" s="2"/>
      <c r="AF658" s="2"/>
      <c r="AG658" s="2"/>
      <c r="AH658" s="2"/>
      <c r="AK658" t="s">
        <v>2255</v>
      </c>
      <c r="AL658" s="2">
        <v>3572500</v>
      </c>
      <c r="AM658" s="2">
        <v>0</v>
      </c>
      <c r="AN658" s="2"/>
      <c r="AO658" s="2">
        <v>0</v>
      </c>
      <c r="AP658" s="2">
        <v>3572500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4"/>
      <c r="AX658" t="s">
        <v>75</v>
      </c>
      <c r="AZ658" t="s">
        <v>345</v>
      </c>
      <c r="BA658" t="s">
        <v>67</v>
      </c>
      <c r="BB658" t="s">
        <v>346</v>
      </c>
      <c r="BC658" t="s">
        <v>347</v>
      </c>
      <c r="BD658" t="s">
        <v>79</v>
      </c>
      <c r="BE658" t="s">
        <v>348</v>
      </c>
      <c r="BF658" s="5">
        <v>47484</v>
      </c>
      <c r="BG658" t="s">
        <v>67</v>
      </c>
      <c r="BH658">
        <v>1</v>
      </c>
      <c r="BI658" s="6">
        <v>780000</v>
      </c>
      <c r="BJ658" s="6">
        <v>35</v>
      </c>
      <c r="BK658" s="6">
        <v>273000</v>
      </c>
      <c r="BL658" s="6">
        <v>507000</v>
      </c>
      <c r="BM658" s="2">
        <v>507000</v>
      </c>
      <c r="BN658">
        <f>InvoiceTable[[#This Row],[Giảm giá]]*InvoiceTable[[#This Row],[Số lượng]]</f>
        <v>273000</v>
      </c>
    </row>
    <row r="659" spans="1:66" x14ac:dyDescent="0.25">
      <c r="A659" t="s">
        <v>65</v>
      </c>
      <c r="B659" t="s">
        <v>2253</v>
      </c>
      <c r="F659" s="2"/>
      <c r="G659" s="3">
        <v>46009.553457789349</v>
      </c>
      <c r="H659" s="3">
        <v>46009.553457951391</v>
      </c>
      <c r="I659" s="4" t="s">
        <v>67</v>
      </c>
      <c r="J659" t="s">
        <v>2254</v>
      </c>
      <c r="K659" t="s">
        <v>67</v>
      </c>
      <c r="L659" t="s">
        <v>231</v>
      </c>
      <c r="M659" t="s">
        <v>232</v>
      </c>
      <c r="N659" t="s">
        <v>67</v>
      </c>
      <c r="O659" t="s">
        <v>233</v>
      </c>
      <c r="P659" t="s">
        <v>234</v>
      </c>
      <c r="S659" s="5"/>
      <c r="T659" t="s">
        <v>72</v>
      </c>
      <c r="U659" t="s">
        <v>73</v>
      </c>
      <c r="V659" t="s">
        <v>74</v>
      </c>
      <c r="W659" t="s">
        <v>87</v>
      </c>
      <c r="AE659" s="2"/>
      <c r="AF659" s="2"/>
      <c r="AG659" s="2"/>
      <c r="AH659" s="2"/>
      <c r="AK659" t="s">
        <v>2255</v>
      </c>
      <c r="AL659" s="2">
        <v>3572500</v>
      </c>
      <c r="AM659" s="2">
        <v>0</v>
      </c>
      <c r="AN659" s="2"/>
      <c r="AO659" s="2">
        <v>0</v>
      </c>
      <c r="AP659" s="2">
        <v>3572500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4"/>
      <c r="AX659" t="s">
        <v>75</v>
      </c>
      <c r="AZ659" t="s">
        <v>331</v>
      </c>
      <c r="BA659" t="s">
        <v>67</v>
      </c>
      <c r="BB659" t="s">
        <v>332</v>
      </c>
      <c r="BC659" t="s">
        <v>333</v>
      </c>
      <c r="BD659" t="s">
        <v>79</v>
      </c>
      <c r="BE659" t="s">
        <v>334</v>
      </c>
      <c r="BF659" s="5">
        <v>47209</v>
      </c>
      <c r="BH659">
        <v>1</v>
      </c>
      <c r="BI659" s="6">
        <v>890000</v>
      </c>
      <c r="BJ659" s="6">
        <v>40</v>
      </c>
      <c r="BK659" s="6">
        <v>356000</v>
      </c>
      <c r="BL659" s="6">
        <v>534000</v>
      </c>
      <c r="BM659" s="2">
        <v>534000</v>
      </c>
      <c r="BN659">
        <f>InvoiceTable[[#This Row],[Giảm giá]]*InvoiceTable[[#This Row],[Số lượng]]</f>
        <v>356000</v>
      </c>
    </row>
    <row r="660" spans="1:66" x14ac:dyDescent="0.25">
      <c r="A660" t="s">
        <v>65</v>
      </c>
      <c r="B660" t="s">
        <v>2253</v>
      </c>
      <c r="F660" s="2"/>
      <c r="G660" s="3">
        <v>46009.553457789349</v>
      </c>
      <c r="H660" s="3">
        <v>46009.553457951391</v>
      </c>
      <c r="I660" s="4" t="s">
        <v>67</v>
      </c>
      <c r="J660" t="s">
        <v>2254</v>
      </c>
      <c r="K660" t="s">
        <v>67</v>
      </c>
      <c r="L660" t="s">
        <v>231</v>
      </c>
      <c r="M660" t="s">
        <v>232</v>
      </c>
      <c r="N660" t="s">
        <v>67</v>
      </c>
      <c r="O660" t="s">
        <v>233</v>
      </c>
      <c r="P660" t="s">
        <v>234</v>
      </c>
      <c r="S660" s="5"/>
      <c r="T660" t="s">
        <v>72</v>
      </c>
      <c r="U660" t="s">
        <v>73</v>
      </c>
      <c r="V660" t="s">
        <v>74</v>
      </c>
      <c r="W660" t="s">
        <v>87</v>
      </c>
      <c r="AE660" s="2"/>
      <c r="AF660" s="2"/>
      <c r="AG660" s="2"/>
      <c r="AH660" s="2"/>
      <c r="AK660" t="s">
        <v>2255</v>
      </c>
      <c r="AL660" s="2">
        <v>3572500</v>
      </c>
      <c r="AM660" s="2">
        <v>0</v>
      </c>
      <c r="AN660" s="2"/>
      <c r="AO660" s="2">
        <v>0</v>
      </c>
      <c r="AP660" s="2">
        <v>3572500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4"/>
      <c r="AX660" t="s">
        <v>75</v>
      </c>
      <c r="AZ660" t="s">
        <v>1162</v>
      </c>
      <c r="BA660" t="s">
        <v>67</v>
      </c>
      <c r="BB660" t="s">
        <v>1163</v>
      </c>
      <c r="BC660" t="s">
        <v>1164</v>
      </c>
      <c r="BD660" t="s">
        <v>79</v>
      </c>
      <c r="BE660" t="s">
        <v>145</v>
      </c>
      <c r="BF660" s="5">
        <v>46508</v>
      </c>
      <c r="BH660">
        <v>3</v>
      </c>
      <c r="BI660" s="6">
        <v>980000</v>
      </c>
      <c r="BJ660" s="6">
        <v>43</v>
      </c>
      <c r="BK660" s="6">
        <v>421400</v>
      </c>
      <c r="BL660" s="6">
        <v>558600</v>
      </c>
      <c r="BM660" s="2">
        <v>1675800</v>
      </c>
      <c r="BN660">
        <f>InvoiceTable[[#This Row],[Giảm giá]]*InvoiceTable[[#This Row],[Số lượng]]</f>
        <v>1264200</v>
      </c>
    </row>
    <row r="661" spans="1:66" x14ac:dyDescent="0.25">
      <c r="A661" t="s">
        <v>65</v>
      </c>
      <c r="B661" t="s">
        <v>2258</v>
      </c>
      <c r="F661" s="2"/>
      <c r="G661" s="3">
        <v>46009.553132754627</v>
      </c>
      <c r="H661" s="3">
        <v>46009.553132870373</v>
      </c>
      <c r="I661" s="4" t="s">
        <v>67</v>
      </c>
      <c r="J661" t="s">
        <v>2259</v>
      </c>
      <c r="K661" t="s">
        <v>67</v>
      </c>
      <c r="L661" t="s">
        <v>231</v>
      </c>
      <c r="M661" t="s">
        <v>232</v>
      </c>
      <c r="N661" t="s">
        <v>67</v>
      </c>
      <c r="O661" t="s">
        <v>233</v>
      </c>
      <c r="P661" t="s">
        <v>234</v>
      </c>
      <c r="S661" s="5"/>
      <c r="T661" t="s">
        <v>72</v>
      </c>
      <c r="U661" t="s">
        <v>73</v>
      </c>
      <c r="V661" t="s">
        <v>74</v>
      </c>
      <c r="W661" t="s">
        <v>87</v>
      </c>
      <c r="AE661" s="2"/>
      <c r="AF661" s="2"/>
      <c r="AG661" s="2"/>
      <c r="AH661" s="2"/>
      <c r="AK661" t="s">
        <v>709</v>
      </c>
      <c r="AL661" s="2">
        <v>540000</v>
      </c>
      <c r="AM661" s="2">
        <v>0</v>
      </c>
      <c r="AN661" s="2"/>
      <c r="AO661" s="2">
        <v>0</v>
      </c>
      <c r="AP661" s="2">
        <v>540000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4"/>
      <c r="AX661" t="s">
        <v>75</v>
      </c>
      <c r="AZ661" t="s">
        <v>710</v>
      </c>
      <c r="BA661" t="s">
        <v>67</v>
      </c>
      <c r="BB661" t="s">
        <v>711</v>
      </c>
      <c r="BC661" t="s">
        <v>204</v>
      </c>
      <c r="BD661" t="s">
        <v>79</v>
      </c>
      <c r="BE661" t="s">
        <v>273</v>
      </c>
      <c r="BF661" s="5">
        <v>46266</v>
      </c>
      <c r="BH661">
        <v>2</v>
      </c>
      <c r="BI661" s="6">
        <v>850000</v>
      </c>
      <c r="BJ661" s="6">
        <v>0</v>
      </c>
      <c r="BK661" s="6">
        <v>580000</v>
      </c>
      <c r="BL661" s="6">
        <v>270000</v>
      </c>
      <c r="BM661" s="2">
        <v>540000</v>
      </c>
      <c r="BN661">
        <f>InvoiceTable[[#This Row],[Giảm giá]]*InvoiceTable[[#This Row],[Số lượng]]</f>
        <v>1160000</v>
      </c>
    </row>
    <row r="662" spans="1:66" x14ac:dyDescent="0.25">
      <c r="A662" t="s">
        <v>65</v>
      </c>
      <c r="B662" t="s">
        <v>2260</v>
      </c>
      <c r="F662" s="2"/>
      <c r="G662" s="3">
        <v>46009.552473807867</v>
      </c>
      <c r="H662" s="3">
        <v>46009.552381365742</v>
      </c>
      <c r="I662" s="4" t="s">
        <v>96</v>
      </c>
      <c r="J662" t="s">
        <v>2261</v>
      </c>
      <c r="K662" t="s">
        <v>67</v>
      </c>
      <c r="L662" t="s">
        <v>2262</v>
      </c>
      <c r="M662" t="s">
        <v>2263</v>
      </c>
      <c r="N662" t="s">
        <v>2264</v>
      </c>
      <c r="O662" t="s">
        <v>2265</v>
      </c>
      <c r="P662" t="s">
        <v>2266</v>
      </c>
      <c r="S662" s="5"/>
      <c r="T662" t="s">
        <v>72</v>
      </c>
      <c r="U662" t="s">
        <v>73</v>
      </c>
      <c r="V662" t="s">
        <v>74</v>
      </c>
      <c r="W662" t="s">
        <v>87</v>
      </c>
      <c r="AE662" s="2"/>
      <c r="AF662" s="2"/>
      <c r="AG662" s="2"/>
      <c r="AH662" s="2"/>
      <c r="AK662" t="s">
        <v>258</v>
      </c>
      <c r="AL662" s="2">
        <v>3090000</v>
      </c>
      <c r="AM662" s="2">
        <v>0</v>
      </c>
      <c r="AN662" s="2"/>
      <c r="AO662" s="2">
        <v>0</v>
      </c>
      <c r="AP662" s="2">
        <v>3090000</v>
      </c>
      <c r="AQ662" s="2">
        <v>3090000</v>
      </c>
      <c r="AR662" s="2">
        <v>3090000</v>
      </c>
      <c r="AS662" s="2">
        <v>0</v>
      </c>
      <c r="AT662" s="2">
        <v>0</v>
      </c>
      <c r="AU662" s="2">
        <v>0</v>
      </c>
      <c r="AV662" s="2">
        <v>0</v>
      </c>
      <c r="AW662" s="4"/>
      <c r="AX662" t="s">
        <v>75</v>
      </c>
      <c r="AZ662" t="s">
        <v>2267</v>
      </c>
      <c r="BA662" t="s">
        <v>67</v>
      </c>
      <c r="BB662" t="s">
        <v>2268</v>
      </c>
      <c r="BC662" t="s">
        <v>2269</v>
      </c>
      <c r="BD662" t="s">
        <v>79</v>
      </c>
      <c r="BE662" t="s">
        <v>198</v>
      </c>
      <c r="BF662" s="5">
        <v>46753</v>
      </c>
      <c r="BH662">
        <v>4</v>
      </c>
      <c r="BI662" s="6">
        <v>890000</v>
      </c>
      <c r="BJ662" s="6">
        <v>59.55</v>
      </c>
      <c r="BK662" s="6">
        <v>530000</v>
      </c>
      <c r="BL662" s="6">
        <v>360000</v>
      </c>
      <c r="BM662" s="2">
        <v>1440000</v>
      </c>
      <c r="BN662">
        <f>InvoiceTable[[#This Row],[Giảm giá]]*InvoiceTable[[#This Row],[Số lượng]]</f>
        <v>2120000</v>
      </c>
    </row>
    <row r="663" spans="1:66" x14ac:dyDescent="0.25">
      <c r="A663" t="s">
        <v>65</v>
      </c>
      <c r="B663" t="s">
        <v>2260</v>
      </c>
      <c r="F663" s="2"/>
      <c r="G663" s="3">
        <v>46009.552473807867</v>
      </c>
      <c r="H663" s="3">
        <v>46009.552381365742</v>
      </c>
      <c r="I663" s="4" t="s">
        <v>96</v>
      </c>
      <c r="J663" t="s">
        <v>2261</v>
      </c>
      <c r="K663" t="s">
        <v>67</v>
      </c>
      <c r="L663" t="s">
        <v>2262</v>
      </c>
      <c r="M663" t="s">
        <v>2263</v>
      </c>
      <c r="N663" t="s">
        <v>2264</v>
      </c>
      <c r="O663" t="s">
        <v>2265</v>
      </c>
      <c r="P663" t="s">
        <v>2266</v>
      </c>
      <c r="S663" s="5"/>
      <c r="T663" t="s">
        <v>72</v>
      </c>
      <c r="U663" t="s">
        <v>73</v>
      </c>
      <c r="V663" t="s">
        <v>74</v>
      </c>
      <c r="W663" t="s">
        <v>87</v>
      </c>
      <c r="AE663" s="2"/>
      <c r="AF663" s="2"/>
      <c r="AG663" s="2"/>
      <c r="AH663" s="2"/>
      <c r="AK663" t="s">
        <v>258</v>
      </c>
      <c r="AL663" s="2">
        <v>3090000</v>
      </c>
      <c r="AM663" s="2">
        <v>0</v>
      </c>
      <c r="AN663" s="2"/>
      <c r="AO663" s="2">
        <v>0</v>
      </c>
      <c r="AP663" s="2">
        <v>3090000</v>
      </c>
      <c r="AQ663" s="2">
        <v>3090000</v>
      </c>
      <c r="AR663" s="2">
        <v>3090000</v>
      </c>
      <c r="AS663" s="2">
        <v>0</v>
      </c>
      <c r="AT663" s="2">
        <v>0</v>
      </c>
      <c r="AU663" s="2">
        <v>0</v>
      </c>
      <c r="AV663" s="2">
        <v>0</v>
      </c>
      <c r="AW663" s="4"/>
      <c r="AX663" t="s">
        <v>75</v>
      </c>
      <c r="AZ663" t="s">
        <v>604</v>
      </c>
      <c r="BA663" t="s">
        <v>67</v>
      </c>
      <c r="BB663" t="s">
        <v>605</v>
      </c>
      <c r="BC663" t="s">
        <v>606</v>
      </c>
      <c r="BD663" t="s">
        <v>79</v>
      </c>
      <c r="BE663" t="s">
        <v>168</v>
      </c>
      <c r="BF663" s="5">
        <v>46388</v>
      </c>
      <c r="BH663">
        <v>3</v>
      </c>
      <c r="BI663" s="6">
        <v>1100000</v>
      </c>
      <c r="BJ663" s="6">
        <v>50</v>
      </c>
      <c r="BK663" s="6">
        <v>550000</v>
      </c>
      <c r="BL663" s="6">
        <v>550000</v>
      </c>
      <c r="BM663" s="2">
        <v>1650000</v>
      </c>
      <c r="BN663">
        <f>InvoiceTable[[#This Row],[Giảm giá]]*InvoiceTable[[#This Row],[Số lượng]]</f>
        <v>1650000</v>
      </c>
    </row>
    <row r="664" spans="1:66" x14ac:dyDescent="0.25">
      <c r="A664" t="s">
        <v>65</v>
      </c>
      <c r="B664" t="s">
        <v>2270</v>
      </c>
      <c r="F664" s="2"/>
      <c r="G664" s="3">
        <v>46009.552193784722</v>
      </c>
      <c r="H664" s="3">
        <v>46009.552147604169</v>
      </c>
      <c r="I664" s="4" t="s">
        <v>1511</v>
      </c>
      <c r="J664" t="s">
        <v>2271</v>
      </c>
      <c r="K664" t="s">
        <v>67</v>
      </c>
      <c r="L664" t="s">
        <v>2101</v>
      </c>
      <c r="M664" t="s">
        <v>2102</v>
      </c>
      <c r="N664" t="s">
        <v>67</v>
      </c>
      <c r="O664" t="s">
        <v>2103</v>
      </c>
      <c r="P664" t="s">
        <v>2104</v>
      </c>
      <c r="S664" s="5"/>
      <c r="T664" t="s">
        <v>72</v>
      </c>
      <c r="U664" t="s">
        <v>73</v>
      </c>
      <c r="V664" t="s">
        <v>74</v>
      </c>
      <c r="W664" t="s">
        <v>87</v>
      </c>
      <c r="AE664" s="2"/>
      <c r="AF664" s="2"/>
      <c r="AG664" s="2"/>
      <c r="AH664" s="2"/>
      <c r="AK664" t="s">
        <v>386</v>
      </c>
      <c r="AL664" s="2">
        <v>1900000</v>
      </c>
      <c r="AM664" s="2">
        <v>0</v>
      </c>
      <c r="AN664" s="2"/>
      <c r="AO664" s="2">
        <v>0</v>
      </c>
      <c r="AP664" s="2">
        <v>1900000</v>
      </c>
      <c r="AQ664" s="2">
        <v>1900000</v>
      </c>
      <c r="AR664" s="2">
        <v>1900000</v>
      </c>
      <c r="AS664" s="2">
        <v>0</v>
      </c>
      <c r="AT664" s="2">
        <v>0</v>
      </c>
      <c r="AU664" s="2">
        <v>0</v>
      </c>
      <c r="AV664" s="2">
        <v>0</v>
      </c>
      <c r="AW664" s="4"/>
      <c r="AX664" t="s">
        <v>75</v>
      </c>
      <c r="AZ664" t="s">
        <v>480</v>
      </c>
      <c r="BA664" t="s">
        <v>67</v>
      </c>
      <c r="BB664" t="s">
        <v>481</v>
      </c>
      <c r="BC664" t="s">
        <v>90</v>
      </c>
      <c r="BD664" t="s">
        <v>79</v>
      </c>
      <c r="BE664" t="s">
        <v>482</v>
      </c>
      <c r="BF664" s="5">
        <v>46773</v>
      </c>
      <c r="BG664" t="s">
        <v>67</v>
      </c>
      <c r="BH664">
        <v>2</v>
      </c>
      <c r="BI664" s="6">
        <v>1800000</v>
      </c>
      <c r="BJ664" s="6">
        <v>0</v>
      </c>
      <c r="BK664" s="6">
        <v>850000</v>
      </c>
      <c r="BL664" s="6">
        <v>950000</v>
      </c>
      <c r="BM664" s="2">
        <v>1900000</v>
      </c>
      <c r="BN664">
        <f>InvoiceTable[[#This Row],[Giảm giá]]*InvoiceTable[[#This Row],[Số lượng]]</f>
        <v>1700000</v>
      </c>
    </row>
    <row r="665" spans="1:66" x14ac:dyDescent="0.25">
      <c r="A665" t="s">
        <v>65</v>
      </c>
      <c r="B665" t="s">
        <v>2272</v>
      </c>
      <c r="F665" s="2"/>
      <c r="G665" s="3">
        <v>46009.551727118058</v>
      </c>
      <c r="H665" s="3">
        <v>46009.551680983794</v>
      </c>
      <c r="I665" s="4" t="s">
        <v>1515</v>
      </c>
      <c r="J665" t="s">
        <v>2273</v>
      </c>
      <c r="K665" t="s">
        <v>67</v>
      </c>
      <c r="L665" t="s">
        <v>2274</v>
      </c>
      <c r="M665" t="s">
        <v>2275</v>
      </c>
      <c r="N665" t="s">
        <v>67</v>
      </c>
      <c r="O665" t="s">
        <v>2276</v>
      </c>
      <c r="P665" t="s">
        <v>2277</v>
      </c>
      <c r="S665" s="5"/>
      <c r="T665" t="s">
        <v>72</v>
      </c>
      <c r="U665" t="s">
        <v>102</v>
      </c>
      <c r="V665" t="s">
        <v>74</v>
      </c>
      <c r="W665" t="s">
        <v>87</v>
      </c>
      <c r="AE665" s="2"/>
      <c r="AF665" s="2"/>
      <c r="AG665" s="2"/>
      <c r="AH665" s="2"/>
      <c r="AL665" s="2">
        <v>29238200</v>
      </c>
      <c r="AM665" s="2">
        <v>0</v>
      </c>
      <c r="AN665" s="2"/>
      <c r="AO665" s="2">
        <v>0</v>
      </c>
      <c r="AP665" s="2">
        <v>29238200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4"/>
      <c r="AX665" t="s">
        <v>75</v>
      </c>
      <c r="AZ665" t="s">
        <v>2278</v>
      </c>
      <c r="BA665" t="s">
        <v>67</v>
      </c>
      <c r="BB665" t="s">
        <v>2279</v>
      </c>
      <c r="BC665" t="s">
        <v>1292</v>
      </c>
      <c r="BD665" t="s">
        <v>79</v>
      </c>
      <c r="BE665" t="s">
        <v>715</v>
      </c>
      <c r="BF665" s="5">
        <v>46631</v>
      </c>
      <c r="BG665" t="s">
        <v>67</v>
      </c>
      <c r="BH665">
        <v>1</v>
      </c>
      <c r="BI665" s="6">
        <v>1790000</v>
      </c>
      <c r="BJ665" s="6">
        <v>42</v>
      </c>
      <c r="BK665" s="6">
        <v>751800</v>
      </c>
      <c r="BL665" s="6">
        <v>1038200</v>
      </c>
      <c r="BM665" s="2">
        <v>1038200</v>
      </c>
      <c r="BN665">
        <f>InvoiceTable[[#This Row],[Giảm giá]]*InvoiceTable[[#This Row],[Số lượng]]</f>
        <v>751800</v>
      </c>
    </row>
    <row r="666" spans="1:66" x14ac:dyDescent="0.25">
      <c r="A666" t="s">
        <v>65</v>
      </c>
      <c r="B666" t="s">
        <v>2272</v>
      </c>
      <c r="F666" s="2"/>
      <c r="G666" s="3">
        <v>46009.551727118058</v>
      </c>
      <c r="H666" s="3">
        <v>46009.551680983794</v>
      </c>
      <c r="I666" s="4" t="s">
        <v>1515</v>
      </c>
      <c r="J666" t="s">
        <v>2273</v>
      </c>
      <c r="K666" t="s">
        <v>67</v>
      </c>
      <c r="L666" t="s">
        <v>2274</v>
      </c>
      <c r="M666" t="s">
        <v>2275</v>
      </c>
      <c r="N666" t="s">
        <v>67</v>
      </c>
      <c r="O666" t="s">
        <v>2276</v>
      </c>
      <c r="P666" t="s">
        <v>2277</v>
      </c>
      <c r="S666" s="5"/>
      <c r="T666" t="s">
        <v>72</v>
      </c>
      <c r="U666" t="s">
        <v>102</v>
      </c>
      <c r="V666" t="s">
        <v>74</v>
      </c>
      <c r="W666" t="s">
        <v>87</v>
      </c>
      <c r="AE666" s="2"/>
      <c r="AF666" s="2"/>
      <c r="AG666" s="2"/>
      <c r="AH666" s="2"/>
      <c r="AL666" s="2">
        <v>29238200</v>
      </c>
      <c r="AM666" s="2">
        <v>0</v>
      </c>
      <c r="AN666" s="2"/>
      <c r="AO666" s="2">
        <v>0</v>
      </c>
      <c r="AP666" s="2">
        <v>29238200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4"/>
      <c r="AX666" t="s">
        <v>75</v>
      </c>
      <c r="AZ666" t="s">
        <v>1476</v>
      </c>
      <c r="BB666" t="s">
        <v>1477</v>
      </c>
      <c r="BC666" t="s">
        <v>126</v>
      </c>
      <c r="BD666" t="s">
        <v>79</v>
      </c>
      <c r="BE666" t="s">
        <v>139</v>
      </c>
      <c r="BF666" s="5">
        <v>46447</v>
      </c>
      <c r="BG666" t="s">
        <v>67</v>
      </c>
      <c r="BH666">
        <v>20</v>
      </c>
      <c r="BI666" s="6">
        <v>2500000</v>
      </c>
      <c r="BJ666" s="6">
        <v>0</v>
      </c>
      <c r="BK666" s="6">
        <v>1090000</v>
      </c>
      <c r="BL666" s="6">
        <v>1410000</v>
      </c>
      <c r="BM666" s="2">
        <v>28200000</v>
      </c>
      <c r="BN666">
        <f>InvoiceTable[[#This Row],[Giảm giá]]*InvoiceTable[[#This Row],[Số lượng]]</f>
        <v>21800000</v>
      </c>
    </row>
    <row r="667" spans="1:66" x14ac:dyDescent="0.25">
      <c r="A667" t="s">
        <v>65</v>
      </c>
      <c r="B667" t="s">
        <v>2280</v>
      </c>
      <c r="F667" s="2"/>
      <c r="G667" s="3">
        <v>46009.544490659726</v>
      </c>
      <c r="H667" s="3">
        <v>46009.544490775465</v>
      </c>
      <c r="I667" s="4" t="s">
        <v>67</v>
      </c>
      <c r="J667" t="s">
        <v>67</v>
      </c>
      <c r="K667" t="s">
        <v>67</v>
      </c>
      <c r="L667" t="s">
        <v>1530</v>
      </c>
      <c r="M667" t="s">
        <v>1531</v>
      </c>
      <c r="N667" t="s">
        <v>67</v>
      </c>
      <c r="O667" t="s">
        <v>1532</v>
      </c>
      <c r="P667" t="s">
        <v>1533</v>
      </c>
      <c r="S667" s="5"/>
      <c r="T667" t="s">
        <v>72</v>
      </c>
      <c r="U667" t="s">
        <v>87</v>
      </c>
      <c r="V667" t="s">
        <v>74</v>
      </c>
      <c r="W667" t="s">
        <v>87</v>
      </c>
      <c r="AE667" s="2"/>
      <c r="AF667" s="2"/>
      <c r="AG667" s="2"/>
      <c r="AH667" s="2"/>
      <c r="AL667" s="2">
        <v>330000</v>
      </c>
      <c r="AM667" s="2">
        <v>0</v>
      </c>
      <c r="AN667" s="2"/>
      <c r="AO667" s="2">
        <v>0</v>
      </c>
      <c r="AP667" s="2">
        <v>330000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4"/>
      <c r="AX667" t="s">
        <v>75</v>
      </c>
      <c r="AZ667" t="s">
        <v>2267</v>
      </c>
      <c r="BA667" t="s">
        <v>67</v>
      </c>
      <c r="BB667" t="s">
        <v>2268</v>
      </c>
      <c r="BC667" t="s">
        <v>2269</v>
      </c>
      <c r="BD667" t="s">
        <v>79</v>
      </c>
      <c r="BE667" t="s">
        <v>198</v>
      </c>
      <c r="BF667" s="5">
        <v>46753</v>
      </c>
      <c r="BH667">
        <v>1</v>
      </c>
      <c r="BI667" s="6">
        <v>890000</v>
      </c>
      <c r="BJ667" s="6">
        <v>0</v>
      </c>
      <c r="BK667" s="6">
        <v>560000</v>
      </c>
      <c r="BL667" s="6">
        <v>330000</v>
      </c>
      <c r="BM667" s="2">
        <v>330000</v>
      </c>
      <c r="BN667">
        <f>InvoiceTable[[#This Row],[Giảm giá]]*InvoiceTable[[#This Row],[Số lượng]]</f>
        <v>560000</v>
      </c>
    </row>
    <row r="668" spans="1:66" x14ac:dyDescent="0.25">
      <c r="A668" t="s">
        <v>65</v>
      </c>
      <c r="B668" t="s">
        <v>2281</v>
      </c>
      <c r="F668" s="2"/>
      <c r="G668" s="3">
        <v>46009.544020983798</v>
      </c>
      <c r="H668" s="3">
        <v>46012.536751967593</v>
      </c>
      <c r="I668" s="4" t="s">
        <v>67</v>
      </c>
      <c r="J668" t="s">
        <v>2282</v>
      </c>
      <c r="K668" t="s">
        <v>67</v>
      </c>
      <c r="L668" t="s">
        <v>2237</v>
      </c>
      <c r="M668" t="s">
        <v>2238</v>
      </c>
      <c r="N668" t="s">
        <v>67</v>
      </c>
      <c r="O668" t="s">
        <v>2239</v>
      </c>
      <c r="P668" t="s">
        <v>2240</v>
      </c>
      <c r="S668" s="5"/>
      <c r="T668" t="s">
        <v>72</v>
      </c>
      <c r="U668" t="s">
        <v>102</v>
      </c>
      <c r="V668" t="s">
        <v>74</v>
      </c>
      <c r="W668" t="s">
        <v>102</v>
      </c>
      <c r="AE668" s="2"/>
      <c r="AF668" s="2"/>
      <c r="AG668" s="2"/>
      <c r="AH668" s="2"/>
      <c r="AK668" t="s">
        <v>1003</v>
      </c>
      <c r="AL668" s="2">
        <v>4320000</v>
      </c>
      <c r="AM668" s="2">
        <v>0</v>
      </c>
      <c r="AN668" s="2"/>
      <c r="AO668" s="2">
        <v>0</v>
      </c>
      <c r="AP668" s="2">
        <v>4320000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4"/>
      <c r="AX668" t="s">
        <v>75</v>
      </c>
      <c r="AZ668" t="s">
        <v>1019</v>
      </c>
      <c r="BA668" t="s">
        <v>67</v>
      </c>
      <c r="BB668" t="s">
        <v>1020</v>
      </c>
      <c r="BC668" t="s">
        <v>676</v>
      </c>
      <c r="BD668" t="s">
        <v>79</v>
      </c>
      <c r="BE668" t="s">
        <v>131</v>
      </c>
      <c r="BF668" s="5">
        <v>46874</v>
      </c>
      <c r="BH668">
        <v>4</v>
      </c>
      <c r="BI668" s="6">
        <v>1690000</v>
      </c>
      <c r="BJ668" s="6">
        <v>0</v>
      </c>
      <c r="BK668" s="6">
        <v>610000</v>
      </c>
      <c r="BL668" s="6">
        <v>1080000</v>
      </c>
      <c r="BM668" s="2">
        <v>4320000</v>
      </c>
      <c r="BN668">
        <f>InvoiceTable[[#This Row],[Giảm giá]]*InvoiceTable[[#This Row],[Số lượng]]</f>
        <v>2440000</v>
      </c>
    </row>
    <row r="669" spans="1:66" x14ac:dyDescent="0.25">
      <c r="A669" t="s">
        <v>65</v>
      </c>
      <c r="B669" t="s">
        <v>2283</v>
      </c>
      <c r="F669" s="2"/>
      <c r="G669" s="3">
        <v>46009.543398032409</v>
      </c>
      <c r="H669" s="3">
        <v>46009.543305555555</v>
      </c>
      <c r="I669" s="4" t="s">
        <v>96</v>
      </c>
      <c r="J669" t="s">
        <v>2284</v>
      </c>
      <c r="K669" t="s">
        <v>67</v>
      </c>
      <c r="L669" t="s">
        <v>231</v>
      </c>
      <c r="M669" t="s">
        <v>232</v>
      </c>
      <c r="N669" t="s">
        <v>67</v>
      </c>
      <c r="O669" t="s">
        <v>233</v>
      </c>
      <c r="P669" t="s">
        <v>234</v>
      </c>
      <c r="S669" s="5"/>
      <c r="T669" t="s">
        <v>72</v>
      </c>
      <c r="U669" t="s">
        <v>73</v>
      </c>
      <c r="V669" t="s">
        <v>74</v>
      </c>
      <c r="W669" t="s">
        <v>87</v>
      </c>
      <c r="AE669" s="2"/>
      <c r="AF669" s="2"/>
      <c r="AG669" s="2"/>
      <c r="AH669" s="2"/>
      <c r="AK669" t="s">
        <v>2285</v>
      </c>
      <c r="AL669" s="2">
        <v>464000</v>
      </c>
      <c r="AM669" s="2">
        <v>0</v>
      </c>
      <c r="AN669" s="2"/>
      <c r="AO669" s="2">
        <v>0</v>
      </c>
      <c r="AP669" s="2">
        <v>464000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4"/>
      <c r="AX669" t="s">
        <v>75</v>
      </c>
      <c r="AZ669" t="s">
        <v>663</v>
      </c>
      <c r="BA669" t="s">
        <v>67</v>
      </c>
      <c r="BB669" t="s">
        <v>664</v>
      </c>
      <c r="BC669" t="s">
        <v>665</v>
      </c>
      <c r="BD669" t="s">
        <v>79</v>
      </c>
      <c r="BE669" t="s">
        <v>195</v>
      </c>
      <c r="BF669" s="5">
        <v>46419</v>
      </c>
      <c r="BH669">
        <v>1</v>
      </c>
      <c r="BI669" s="6">
        <v>380000</v>
      </c>
      <c r="BJ669" s="6">
        <v>0</v>
      </c>
      <c r="BK669" s="6">
        <v>210000</v>
      </c>
      <c r="BL669" s="6">
        <v>170000</v>
      </c>
      <c r="BM669" s="2">
        <v>170000</v>
      </c>
      <c r="BN669">
        <f>InvoiceTable[[#This Row],[Giảm giá]]*InvoiceTable[[#This Row],[Số lượng]]</f>
        <v>210000</v>
      </c>
    </row>
    <row r="670" spans="1:66" x14ac:dyDescent="0.25">
      <c r="A670" t="s">
        <v>65</v>
      </c>
      <c r="B670" t="s">
        <v>2283</v>
      </c>
      <c r="F670" s="2"/>
      <c r="G670" s="3">
        <v>46009.543398032409</v>
      </c>
      <c r="H670" s="3">
        <v>46009.543305555555</v>
      </c>
      <c r="I670" s="4" t="s">
        <v>96</v>
      </c>
      <c r="J670" t="s">
        <v>2284</v>
      </c>
      <c r="K670" t="s">
        <v>67</v>
      </c>
      <c r="L670" t="s">
        <v>231</v>
      </c>
      <c r="M670" t="s">
        <v>232</v>
      </c>
      <c r="N670" t="s">
        <v>67</v>
      </c>
      <c r="O670" t="s">
        <v>233</v>
      </c>
      <c r="P670" t="s">
        <v>234</v>
      </c>
      <c r="S670" s="5"/>
      <c r="T670" t="s">
        <v>72</v>
      </c>
      <c r="U670" t="s">
        <v>73</v>
      </c>
      <c r="V670" t="s">
        <v>74</v>
      </c>
      <c r="W670" t="s">
        <v>87</v>
      </c>
      <c r="AE670" s="2"/>
      <c r="AF670" s="2"/>
      <c r="AG670" s="2"/>
      <c r="AH670" s="2"/>
      <c r="AK670" t="s">
        <v>2285</v>
      </c>
      <c r="AL670" s="2">
        <v>464000</v>
      </c>
      <c r="AM670" s="2">
        <v>0</v>
      </c>
      <c r="AN670" s="2"/>
      <c r="AO670" s="2">
        <v>0</v>
      </c>
      <c r="AP670" s="2">
        <v>464000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4"/>
      <c r="AX670" t="s">
        <v>75</v>
      </c>
      <c r="AZ670" t="s">
        <v>2286</v>
      </c>
      <c r="BA670" t="s">
        <v>67</v>
      </c>
      <c r="BB670" t="s">
        <v>2287</v>
      </c>
      <c r="BC670" t="s">
        <v>2288</v>
      </c>
      <c r="BD670" t="s">
        <v>79</v>
      </c>
      <c r="BE670" t="s">
        <v>216</v>
      </c>
      <c r="BF670" s="5">
        <v>46784</v>
      </c>
      <c r="BH670">
        <v>1</v>
      </c>
      <c r="BI670" s="6">
        <v>420000</v>
      </c>
      <c r="BJ670" s="6">
        <v>30</v>
      </c>
      <c r="BK670" s="6">
        <v>126000</v>
      </c>
      <c r="BL670" s="6">
        <v>294000</v>
      </c>
      <c r="BM670" s="2">
        <v>294000</v>
      </c>
      <c r="BN670">
        <f>InvoiceTable[[#This Row],[Giảm giá]]*InvoiceTable[[#This Row],[Số lượng]]</f>
        <v>126000</v>
      </c>
    </row>
    <row r="671" spans="1:66" x14ac:dyDescent="0.25">
      <c r="A671" t="s">
        <v>65</v>
      </c>
      <c r="B671" t="s">
        <v>2289</v>
      </c>
      <c r="F671" s="2"/>
      <c r="G671" s="3">
        <v>46009.483508993057</v>
      </c>
      <c r="H671" s="3">
        <v>46009.483497488429</v>
      </c>
      <c r="I671" s="4" t="s">
        <v>2290</v>
      </c>
      <c r="J671" t="s">
        <v>67</v>
      </c>
      <c r="K671" t="s">
        <v>67</v>
      </c>
      <c r="L671" t="s">
        <v>672</v>
      </c>
      <c r="M671" t="s">
        <v>673</v>
      </c>
      <c r="N671" t="s">
        <v>67</v>
      </c>
      <c r="Q671" t="s">
        <v>67</v>
      </c>
      <c r="R671" t="s">
        <v>67</v>
      </c>
      <c r="S671" s="5"/>
      <c r="T671" t="s">
        <v>72</v>
      </c>
      <c r="U671" t="s">
        <v>87</v>
      </c>
      <c r="V671" t="s">
        <v>74</v>
      </c>
      <c r="W671" t="s">
        <v>87</v>
      </c>
      <c r="AE671" s="2"/>
      <c r="AF671" s="2"/>
      <c r="AG671" s="2"/>
      <c r="AH671" s="2"/>
      <c r="AL671" s="2">
        <v>23980000</v>
      </c>
      <c r="AM671" s="2">
        <v>0</v>
      </c>
      <c r="AN671" s="2"/>
      <c r="AO671" s="2">
        <v>0</v>
      </c>
      <c r="AP671" s="2">
        <v>23980000</v>
      </c>
      <c r="AQ671" s="2">
        <v>18530000</v>
      </c>
      <c r="AR671" s="2">
        <v>0</v>
      </c>
      <c r="AS671" s="2">
        <v>0</v>
      </c>
      <c r="AT671" s="2">
        <v>0</v>
      </c>
      <c r="AU671" s="2">
        <v>18530000</v>
      </c>
      <c r="AV671" s="2">
        <v>0</v>
      </c>
      <c r="AW671" s="4"/>
      <c r="AX671" t="s">
        <v>75</v>
      </c>
      <c r="AZ671" t="s">
        <v>1494</v>
      </c>
      <c r="BA671" t="s">
        <v>67</v>
      </c>
      <c r="BB671" t="s">
        <v>1495</v>
      </c>
      <c r="BC671" t="s">
        <v>676</v>
      </c>
      <c r="BD671" t="s">
        <v>79</v>
      </c>
      <c r="BE671" t="s">
        <v>482</v>
      </c>
      <c r="BF671" s="5">
        <v>46773</v>
      </c>
      <c r="BH671">
        <v>17</v>
      </c>
      <c r="BI671" s="6">
        <v>1690000</v>
      </c>
      <c r="BJ671" s="6">
        <v>0</v>
      </c>
      <c r="BK671" s="6">
        <v>600000</v>
      </c>
      <c r="BL671" s="6">
        <v>1090000</v>
      </c>
      <c r="BM671" s="2">
        <v>18530000</v>
      </c>
      <c r="BN671">
        <f>InvoiceTable[[#This Row],[Giảm giá]]*InvoiceTable[[#This Row],[Số lượng]]</f>
        <v>10200000</v>
      </c>
    </row>
    <row r="672" spans="1:66" x14ac:dyDescent="0.25">
      <c r="A672" t="s">
        <v>65</v>
      </c>
      <c r="B672" t="s">
        <v>2289</v>
      </c>
      <c r="F672" s="2"/>
      <c r="G672" s="3">
        <v>46009.483508993057</v>
      </c>
      <c r="H672" s="3">
        <v>46009.483497488429</v>
      </c>
      <c r="I672" s="4" t="s">
        <v>2290</v>
      </c>
      <c r="J672" t="s">
        <v>67</v>
      </c>
      <c r="K672" t="s">
        <v>67</v>
      </c>
      <c r="L672" t="s">
        <v>672</v>
      </c>
      <c r="M672" t="s">
        <v>673</v>
      </c>
      <c r="N672" t="s">
        <v>67</v>
      </c>
      <c r="Q672" t="s">
        <v>67</v>
      </c>
      <c r="R672" t="s">
        <v>67</v>
      </c>
      <c r="S672" s="5"/>
      <c r="T672" t="s">
        <v>72</v>
      </c>
      <c r="U672" t="s">
        <v>87</v>
      </c>
      <c r="V672" t="s">
        <v>74</v>
      </c>
      <c r="W672" t="s">
        <v>87</v>
      </c>
      <c r="AE672" s="2"/>
      <c r="AF672" s="2"/>
      <c r="AG672" s="2"/>
      <c r="AH672" s="2"/>
      <c r="AL672" s="2">
        <v>23980000</v>
      </c>
      <c r="AM672" s="2">
        <v>0</v>
      </c>
      <c r="AN672" s="2"/>
      <c r="AO672" s="2">
        <v>0</v>
      </c>
      <c r="AP672" s="2">
        <v>23980000</v>
      </c>
      <c r="AQ672" s="2">
        <v>18530000</v>
      </c>
      <c r="AR672" s="2">
        <v>0</v>
      </c>
      <c r="AS672" s="2">
        <v>0</v>
      </c>
      <c r="AT672" s="2">
        <v>0</v>
      </c>
      <c r="AU672" s="2">
        <v>18530000</v>
      </c>
      <c r="AV672" s="2">
        <v>0</v>
      </c>
      <c r="AW672" s="4"/>
      <c r="AX672" t="s">
        <v>75</v>
      </c>
      <c r="AZ672" t="s">
        <v>1019</v>
      </c>
      <c r="BA672" t="s">
        <v>67</v>
      </c>
      <c r="BB672" t="s">
        <v>1020</v>
      </c>
      <c r="BC672" t="s">
        <v>676</v>
      </c>
      <c r="BD672" t="s">
        <v>79</v>
      </c>
      <c r="BE672" t="s">
        <v>131</v>
      </c>
      <c r="BF672" s="5">
        <v>46874</v>
      </c>
      <c r="BH672">
        <v>5</v>
      </c>
      <c r="BI672" s="6">
        <v>1690000</v>
      </c>
      <c r="BJ672" s="6">
        <v>0</v>
      </c>
      <c r="BK672" s="6">
        <v>600000</v>
      </c>
      <c r="BL672" s="6">
        <v>1090000</v>
      </c>
      <c r="BM672" s="2">
        <v>5450000</v>
      </c>
      <c r="BN672">
        <f>InvoiceTable[[#This Row],[Giảm giá]]*InvoiceTable[[#This Row],[Số lượng]]</f>
        <v>3000000</v>
      </c>
    </row>
    <row r="673" spans="1:66" x14ac:dyDescent="0.25">
      <c r="A673" t="s">
        <v>65</v>
      </c>
      <c r="B673" t="s">
        <v>2291</v>
      </c>
      <c r="F673" s="2"/>
      <c r="G673" s="3">
        <v>46009.482563807869</v>
      </c>
      <c r="H673" s="3">
        <v>46009.482529398148</v>
      </c>
      <c r="I673" s="4" t="s">
        <v>1682</v>
      </c>
      <c r="J673" t="s">
        <v>67</v>
      </c>
      <c r="K673" t="s">
        <v>67</v>
      </c>
      <c r="L673" t="s">
        <v>845</v>
      </c>
      <c r="M673" t="s">
        <v>846</v>
      </c>
      <c r="N673" t="s">
        <v>67</v>
      </c>
      <c r="O673" t="s">
        <v>847</v>
      </c>
      <c r="P673" t="s">
        <v>848</v>
      </c>
      <c r="S673" s="5"/>
      <c r="T673" t="s">
        <v>72</v>
      </c>
      <c r="U673" t="s">
        <v>87</v>
      </c>
      <c r="V673" t="s">
        <v>74</v>
      </c>
      <c r="W673" t="s">
        <v>87</v>
      </c>
      <c r="AE673" s="2"/>
      <c r="AF673" s="2"/>
      <c r="AG673" s="2"/>
      <c r="AH673" s="2"/>
      <c r="AL673" s="2">
        <v>1170000</v>
      </c>
      <c r="AM673" s="2">
        <v>0</v>
      </c>
      <c r="AN673" s="2"/>
      <c r="AO673" s="2">
        <v>0</v>
      </c>
      <c r="AP673" s="2">
        <v>1170000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4"/>
      <c r="AX673" t="s">
        <v>75</v>
      </c>
      <c r="AZ673" t="s">
        <v>1603</v>
      </c>
      <c r="BA673" t="s">
        <v>67</v>
      </c>
      <c r="BB673" t="s">
        <v>1604</v>
      </c>
      <c r="BC673" t="s">
        <v>90</v>
      </c>
      <c r="BD673" t="s">
        <v>79</v>
      </c>
      <c r="BE673" t="s">
        <v>1605</v>
      </c>
      <c r="BF673" s="5">
        <v>46470</v>
      </c>
      <c r="BH673">
        <v>6</v>
      </c>
      <c r="BI673" s="6">
        <v>400000</v>
      </c>
      <c r="BJ673" s="6">
        <v>0</v>
      </c>
      <c r="BK673" s="6">
        <v>205000</v>
      </c>
      <c r="BL673" s="6">
        <v>195000</v>
      </c>
      <c r="BM673" s="2">
        <v>1170000</v>
      </c>
      <c r="BN673">
        <f>InvoiceTable[[#This Row],[Giảm giá]]*InvoiceTable[[#This Row],[Số lượng]]</f>
        <v>1230000</v>
      </c>
    </row>
    <row r="674" spans="1:66" x14ac:dyDescent="0.25">
      <c r="A674" t="s">
        <v>65</v>
      </c>
      <c r="B674" t="s">
        <v>2292</v>
      </c>
      <c r="F674" s="2"/>
      <c r="G674" s="3">
        <v>46009.481954629628</v>
      </c>
      <c r="H674" s="3">
        <v>46009.481954745374</v>
      </c>
      <c r="I674" s="4" t="s">
        <v>67</v>
      </c>
      <c r="J674" t="s">
        <v>67</v>
      </c>
      <c r="K674" t="s">
        <v>67</v>
      </c>
      <c r="L674" t="s">
        <v>845</v>
      </c>
      <c r="M674" t="s">
        <v>846</v>
      </c>
      <c r="N674" t="s">
        <v>67</v>
      </c>
      <c r="O674" t="s">
        <v>847</v>
      </c>
      <c r="P674" t="s">
        <v>848</v>
      </c>
      <c r="S674" s="5"/>
      <c r="T674" t="s">
        <v>72</v>
      </c>
      <c r="U674" t="s">
        <v>87</v>
      </c>
      <c r="V674" t="s">
        <v>74</v>
      </c>
      <c r="W674" t="s">
        <v>87</v>
      </c>
      <c r="AE674" s="2"/>
      <c r="AF674" s="2"/>
      <c r="AG674" s="2"/>
      <c r="AH674" s="2"/>
      <c r="AL674" s="2">
        <v>842000</v>
      </c>
      <c r="AM674" s="2">
        <v>0</v>
      </c>
      <c r="AN674" s="2"/>
      <c r="AO674" s="2">
        <v>0</v>
      </c>
      <c r="AP674" s="2">
        <v>842000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4"/>
      <c r="AX674" t="s">
        <v>75</v>
      </c>
      <c r="AZ674" t="s">
        <v>88</v>
      </c>
      <c r="BB674" t="s">
        <v>89</v>
      </c>
      <c r="BC674" t="s">
        <v>90</v>
      </c>
      <c r="BF674" s="5"/>
      <c r="BG674" t="s">
        <v>67</v>
      </c>
      <c r="BH674">
        <v>1</v>
      </c>
      <c r="BI674" s="6">
        <v>50000</v>
      </c>
      <c r="BJ674" s="6">
        <v>0</v>
      </c>
      <c r="BK674" s="6">
        <v>0</v>
      </c>
      <c r="BL674" s="6">
        <v>50000</v>
      </c>
      <c r="BM674" s="2">
        <v>50000</v>
      </c>
      <c r="BN674">
        <f>InvoiceTable[[#This Row],[Giảm giá]]*InvoiceTable[[#This Row],[Số lượng]]</f>
        <v>0</v>
      </c>
    </row>
    <row r="675" spans="1:66" x14ac:dyDescent="0.25">
      <c r="A675" t="s">
        <v>65</v>
      </c>
      <c r="B675" t="s">
        <v>2292</v>
      </c>
      <c r="F675" s="2"/>
      <c r="G675" s="3">
        <v>46009.481954629628</v>
      </c>
      <c r="H675" s="3">
        <v>46009.481954745374</v>
      </c>
      <c r="I675" s="4" t="s">
        <v>67</v>
      </c>
      <c r="J675" t="s">
        <v>67</v>
      </c>
      <c r="K675" t="s">
        <v>67</v>
      </c>
      <c r="L675" t="s">
        <v>845</v>
      </c>
      <c r="M675" t="s">
        <v>846</v>
      </c>
      <c r="N675" t="s">
        <v>67</v>
      </c>
      <c r="O675" t="s">
        <v>847</v>
      </c>
      <c r="P675" t="s">
        <v>848</v>
      </c>
      <c r="S675" s="5"/>
      <c r="T675" t="s">
        <v>72</v>
      </c>
      <c r="U675" t="s">
        <v>87</v>
      </c>
      <c r="V675" t="s">
        <v>74</v>
      </c>
      <c r="W675" t="s">
        <v>87</v>
      </c>
      <c r="AE675" s="2"/>
      <c r="AF675" s="2"/>
      <c r="AG675" s="2"/>
      <c r="AH675" s="2"/>
      <c r="AL675" s="2">
        <v>842000</v>
      </c>
      <c r="AM675" s="2">
        <v>0</v>
      </c>
      <c r="AN675" s="2"/>
      <c r="AO675" s="2">
        <v>0</v>
      </c>
      <c r="AP675" s="2">
        <v>842000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4"/>
      <c r="AX675" t="s">
        <v>75</v>
      </c>
      <c r="AZ675" t="s">
        <v>1470</v>
      </c>
      <c r="BA675" t="s">
        <v>67</v>
      </c>
      <c r="BB675" t="s">
        <v>1471</v>
      </c>
      <c r="BC675" t="s">
        <v>204</v>
      </c>
      <c r="BD675" t="s">
        <v>79</v>
      </c>
      <c r="BE675" t="s">
        <v>139</v>
      </c>
      <c r="BF675" s="5">
        <v>46447</v>
      </c>
      <c r="BH675">
        <v>4</v>
      </c>
      <c r="BI675" s="6">
        <v>330000</v>
      </c>
      <c r="BJ675" s="6">
        <v>40</v>
      </c>
      <c r="BK675" s="6">
        <v>132000</v>
      </c>
      <c r="BL675" s="6">
        <v>198000</v>
      </c>
      <c r="BM675" s="2">
        <v>792000</v>
      </c>
      <c r="BN675">
        <f>InvoiceTable[[#This Row],[Giảm giá]]*InvoiceTable[[#This Row],[Số lượng]]</f>
        <v>528000</v>
      </c>
    </row>
    <row r="676" spans="1:66" x14ac:dyDescent="0.25">
      <c r="A676" t="s">
        <v>65</v>
      </c>
      <c r="B676" t="s">
        <v>2293</v>
      </c>
      <c r="F676" s="2"/>
      <c r="G676" s="3">
        <v>46009.47986172454</v>
      </c>
      <c r="H676" s="3">
        <v>46009.479862002314</v>
      </c>
      <c r="I676" s="4" t="s">
        <v>67</v>
      </c>
      <c r="J676" t="s">
        <v>2294</v>
      </c>
      <c r="K676" t="s">
        <v>67</v>
      </c>
      <c r="L676" t="s">
        <v>474</v>
      </c>
      <c r="M676" t="s">
        <v>475</v>
      </c>
      <c r="N676" t="s">
        <v>476</v>
      </c>
      <c r="O676" t="s">
        <v>477</v>
      </c>
      <c r="P676" t="s">
        <v>478</v>
      </c>
      <c r="S676" s="5"/>
      <c r="T676" t="s">
        <v>72</v>
      </c>
      <c r="U676" t="s">
        <v>102</v>
      </c>
      <c r="V676" t="s">
        <v>74</v>
      </c>
      <c r="W676" t="s">
        <v>87</v>
      </c>
      <c r="AE676" s="2"/>
      <c r="AF676" s="2"/>
      <c r="AG676" s="2"/>
      <c r="AH676" s="2"/>
      <c r="AK676" t="s">
        <v>2295</v>
      </c>
      <c r="AL676" s="2">
        <v>637820</v>
      </c>
      <c r="AM676" s="2">
        <v>0</v>
      </c>
      <c r="AN676" s="2"/>
      <c r="AO676" s="2">
        <v>0</v>
      </c>
      <c r="AP676" s="2">
        <v>637820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4"/>
      <c r="AX676" t="s">
        <v>75</v>
      </c>
      <c r="AZ676" t="s">
        <v>355</v>
      </c>
      <c r="BB676" t="s">
        <v>356</v>
      </c>
      <c r="BC676" t="s">
        <v>357</v>
      </c>
      <c r="BD676" t="s">
        <v>79</v>
      </c>
      <c r="BE676" t="s">
        <v>317</v>
      </c>
      <c r="BF676" s="5">
        <v>46935</v>
      </c>
      <c r="BG676" t="s">
        <v>67</v>
      </c>
      <c r="BH676">
        <v>1</v>
      </c>
      <c r="BI676" s="6">
        <v>454000</v>
      </c>
      <c r="BJ676" s="6">
        <v>42</v>
      </c>
      <c r="BK676" s="6">
        <v>190680</v>
      </c>
      <c r="BL676" s="6">
        <v>263320</v>
      </c>
      <c r="BM676" s="2">
        <v>263320</v>
      </c>
      <c r="BN676">
        <f>InvoiceTable[[#This Row],[Giảm giá]]*InvoiceTable[[#This Row],[Số lượng]]</f>
        <v>190680</v>
      </c>
    </row>
    <row r="677" spans="1:66" x14ac:dyDescent="0.25">
      <c r="A677" t="s">
        <v>65</v>
      </c>
      <c r="B677" t="s">
        <v>2293</v>
      </c>
      <c r="F677" s="2"/>
      <c r="G677" s="3">
        <v>46009.47986172454</v>
      </c>
      <c r="H677" s="3">
        <v>46009.479862002314</v>
      </c>
      <c r="I677" s="4" t="s">
        <v>67</v>
      </c>
      <c r="J677" t="s">
        <v>2294</v>
      </c>
      <c r="K677" t="s">
        <v>67</v>
      </c>
      <c r="L677" t="s">
        <v>474</v>
      </c>
      <c r="M677" t="s">
        <v>475</v>
      </c>
      <c r="N677" t="s">
        <v>476</v>
      </c>
      <c r="O677" t="s">
        <v>477</v>
      </c>
      <c r="P677" t="s">
        <v>478</v>
      </c>
      <c r="S677" s="5"/>
      <c r="T677" t="s">
        <v>72</v>
      </c>
      <c r="U677" t="s">
        <v>102</v>
      </c>
      <c r="V677" t="s">
        <v>74</v>
      </c>
      <c r="W677" t="s">
        <v>87</v>
      </c>
      <c r="AE677" s="2"/>
      <c r="AF677" s="2"/>
      <c r="AG677" s="2"/>
      <c r="AH677" s="2"/>
      <c r="AK677" t="s">
        <v>2295</v>
      </c>
      <c r="AL677" s="2">
        <v>637820</v>
      </c>
      <c r="AM677" s="2">
        <v>0</v>
      </c>
      <c r="AN677" s="2"/>
      <c r="AO677" s="2">
        <v>0</v>
      </c>
      <c r="AP677" s="2">
        <v>637820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4"/>
      <c r="AX677" t="s">
        <v>75</v>
      </c>
      <c r="AZ677" t="s">
        <v>1665</v>
      </c>
      <c r="BA677" t="s">
        <v>67</v>
      </c>
      <c r="BB677" t="s">
        <v>1666</v>
      </c>
      <c r="BC677" t="s">
        <v>367</v>
      </c>
      <c r="BD677" t="s">
        <v>79</v>
      </c>
      <c r="BE677" t="s">
        <v>228</v>
      </c>
      <c r="BF677" s="5">
        <v>46813</v>
      </c>
      <c r="BH677">
        <v>1</v>
      </c>
      <c r="BI677" s="6">
        <v>535000</v>
      </c>
      <c r="BJ677" s="6">
        <v>30</v>
      </c>
      <c r="BK677" s="6">
        <v>160500</v>
      </c>
      <c r="BL677" s="6">
        <v>374500</v>
      </c>
      <c r="BM677" s="2">
        <v>374500</v>
      </c>
      <c r="BN677">
        <f>InvoiceTable[[#This Row],[Giảm giá]]*InvoiceTable[[#This Row],[Số lượng]]</f>
        <v>160500</v>
      </c>
    </row>
    <row r="678" spans="1:66" x14ac:dyDescent="0.25">
      <c r="A678" t="s">
        <v>65</v>
      </c>
      <c r="B678" t="s">
        <v>2296</v>
      </c>
      <c r="F678" s="2"/>
      <c r="G678" s="3">
        <v>46009.462166168982</v>
      </c>
      <c r="H678" s="3">
        <v>46009.462073726849</v>
      </c>
      <c r="I678" s="4" t="s">
        <v>96</v>
      </c>
      <c r="J678" t="s">
        <v>67</v>
      </c>
      <c r="K678" t="s">
        <v>67</v>
      </c>
      <c r="L678" t="s">
        <v>2297</v>
      </c>
      <c r="M678" t="s">
        <v>2298</v>
      </c>
      <c r="N678" t="s">
        <v>67</v>
      </c>
      <c r="O678" t="s">
        <v>2299</v>
      </c>
      <c r="P678" t="s">
        <v>2300</v>
      </c>
      <c r="S678" s="5"/>
      <c r="T678" t="s">
        <v>72</v>
      </c>
      <c r="U678" t="s">
        <v>87</v>
      </c>
      <c r="V678" t="s">
        <v>74</v>
      </c>
      <c r="W678" t="s">
        <v>87</v>
      </c>
      <c r="AE678" s="2"/>
      <c r="AF678" s="2"/>
      <c r="AG678" s="2"/>
      <c r="AH678" s="2"/>
      <c r="AL678" s="2">
        <v>6193200</v>
      </c>
      <c r="AM678" s="2">
        <v>0</v>
      </c>
      <c r="AN678" s="2"/>
      <c r="AO678" s="2">
        <v>0</v>
      </c>
      <c r="AP678" s="2">
        <v>6193200</v>
      </c>
      <c r="AQ678" s="2">
        <v>6193200</v>
      </c>
      <c r="AR678" s="2">
        <v>6193200</v>
      </c>
      <c r="AS678" s="2">
        <v>0</v>
      </c>
      <c r="AT678" s="2">
        <v>0</v>
      </c>
      <c r="AU678" s="2">
        <v>0</v>
      </c>
      <c r="AV678" s="2">
        <v>0</v>
      </c>
      <c r="AW678" s="4"/>
      <c r="AX678" t="s">
        <v>75</v>
      </c>
      <c r="AZ678" t="s">
        <v>2301</v>
      </c>
      <c r="BA678" t="s">
        <v>67</v>
      </c>
      <c r="BB678" t="s">
        <v>2302</v>
      </c>
      <c r="BC678" t="s">
        <v>587</v>
      </c>
      <c r="BD678" t="s">
        <v>79</v>
      </c>
      <c r="BE678" t="s">
        <v>434</v>
      </c>
      <c r="BF678" s="5">
        <v>46661</v>
      </c>
      <c r="BH678">
        <v>2</v>
      </c>
      <c r="BI678" s="6">
        <v>3970000</v>
      </c>
      <c r="BJ678" s="6">
        <v>22</v>
      </c>
      <c r="BK678" s="6">
        <v>873400</v>
      </c>
      <c r="BL678" s="6">
        <v>3096600</v>
      </c>
      <c r="BM678" s="2">
        <v>6193200</v>
      </c>
      <c r="BN678">
        <f>InvoiceTable[[#This Row],[Giảm giá]]*InvoiceTable[[#This Row],[Số lượng]]</f>
        <v>1746800</v>
      </c>
    </row>
    <row r="679" spans="1:66" x14ac:dyDescent="0.25">
      <c r="A679" t="s">
        <v>65</v>
      </c>
      <c r="B679" t="s">
        <v>2303</v>
      </c>
      <c r="F679" s="2"/>
      <c r="G679" s="3">
        <v>46009.452199571759</v>
      </c>
      <c r="H679" s="3">
        <v>46009.452199803243</v>
      </c>
      <c r="I679" s="4" t="s">
        <v>67</v>
      </c>
      <c r="J679" t="s">
        <v>67</v>
      </c>
      <c r="K679" t="s">
        <v>67</v>
      </c>
      <c r="L679" t="s">
        <v>1393</v>
      </c>
      <c r="M679" t="s">
        <v>1394</v>
      </c>
      <c r="N679" t="s">
        <v>67</v>
      </c>
      <c r="O679" t="s">
        <v>1395</v>
      </c>
      <c r="P679" t="s">
        <v>1396</v>
      </c>
      <c r="S679" s="5"/>
      <c r="T679" t="s">
        <v>72</v>
      </c>
      <c r="U679" t="s">
        <v>87</v>
      </c>
      <c r="V679" t="s">
        <v>74</v>
      </c>
      <c r="W679" t="s">
        <v>87</v>
      </c>
      <c r="AE679" s="2"/>
      <c r="AF679" s="2"/>
      <c r="AG679" s="2"/>
      <c r="AH679" s="2"/>
      <c r="AL679" s="2">
        <v>6450000</v>
      </c>
      <c r="AM679" s="2">
        <v>0</v>
      </c>
      <c r="AN679" s="2"/>
      <c r="AO679" s="2">
        <v>0</v>
      </c>
      <c r="AP679" s="2">
        <v>6450000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4"/>
      <c r="AX679" t="s">
        <v>75</v>
      </c>
      <c r="AZ679" t="s">
        <v>2304</v>
      </c>
      <c r="BA679" t="s">
        <v>67</v>
      </c>
      <c r="BB679" t="s">
        <v>2305</v>
      </c>
      <c r="BC679" t="s">
        <v>90</v>
      </c>
      <c r="BD679" t="s">
        <v>79</v>
      </c>
      <c r="BE679" t="s">
        <v>2306</v>
      </c>
      <c r="BF679" s="5">
        <v>46893</v>
      </c>
      <c r="BG679" t="s">
        <v>67</v>
      </c>
      <c r="BH679">
        <v>3</v>
      </c>
      <c r="BI679" s="6">
        <v>2651000</v>
      </c>
      <c r="BJ679" s="6">
        <v>0</v>
      </c>
      <c r="BK679" s="6">
        <v>501000</v>
      </c>
      <c r="BL679" s="6">
        <v>2150000</v>
      </c>
      <c r="BM679" s="2">
        <v>6450000</v>
      </c>
      <c r="BN679">
        <f>InvoiceTable[[#This Row],[Giảm giá]]*InvoiceTable[[#This Row],[Số lượng]]</f>
        <v>1503000</v>
      </c>
    </row>
    <row r="680" spans="1:66" x14ac:dyDescent="0.25">
      <c r="A680" t="s">
        <v>65</v>
      </c>
      <c r="B680" t="s">
        <v>2307</v>
      </c>
      <c r="F680" s="2"/>
      <c r="G680" s="3">
        <v>46009.451881099536</v>
      </c>
      <c r="H680" s="3">
        <v>46009.451881446759</v>
      </c>
      <c r="I680" s="4" t="s">
        <v>67</v>
      </c>
      <c r="J680" t="s">
        <v>67</v>
      </c>
      <c r="K680" t="s">
        <v>67</v>
      </c>
      <c r="L680" t="s">
        <v>531</v>
      </c>
      <c r="M680" t="s">
        <v>532</v>
      </c>
      <c r="N680" t="s">
        <v>533</v>
      </c>
      <c r="O680" t="s">
        <v>534</v>
      </c>
      <c r="P680" t="s">
        <v>535</v>
      </c>
      <c r="S680" s="5"/>
      <c r="T680" t="s">
        <v>72</v>
      </c>
      <c r="U680" t="s">
        <v>87</v>
      </c>
      <c r="V680" t="s">
        <v>74</v>
      </c>
      <c r="W680" t="s">
        <v>87</v>
      </c>
      <c r="AE680" s="2"/>
      <c r="AF680" s="2"/>
      <c r="AG680" s="2"/>
      <c r="AH680" s="2"/>
      <c r="AL680" s="2">
        <v>4229000</v>
      </c>
      <c r="AM680" s="2">
        <v>0</v>
      </c>
      <c r="AN680" s="2"/>
      <c r="AO680" s="2">
        <v>0</v>
      </c>
      <c r="AP680" s="2">
        <v>4229000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4"/>
      <c r="AX680" t="s">
        <v>75</v>
      </c>
      <c r="AZ680" t="s">
        <v>573</v>
      </c>
      <c r="BA680" t="s">
        <v>67</v>
      </c>
      <c r="BB680" t="s">
        <v>89</v>
      </c>
      <c r="BC680" t="s">
        <v>90</v>
      </c>
      <c r="BF680" s="5"/>
      <c r="BG680" t="s">
        <v>67</v>
      </c>
      <c r="BH680">
        <v>1</v>
      </c>
      <c r="BI680" s="6">
        <v>29000</v>
      </c>
      <c r="BJ680" s="6">
        <v>0</v>
      </c>
      <c r="BK680" s="6">
        <v>0</v>
      </c>
      <c r="BL680" s="6">
        <v>29000</v>
      </c>
      <c r="BM680" s="2">
        <v>29000</v>
      </c>
      <c r="BN680">
        <f>InvoiceTable[[#This Row],[Giảm giá]]*InvoiceTable[[#This Row],[Số lượng]]</f>
        <v>0</v>
      </c>
    </row>
    <row r="681" spans="1:66" x14ac:dyDescent="0.25">
      <c r="A681" t="s">
        <v>65</v>
      </c>
      <c r="B681" t="s">
        <v>2307</v>
      </c>
      <c r="F681" s="2"/>
      <c r="G681" s="3">
        <v>46009.451881099536</v>
      </c>
      <c r="H681" s="3">
        <v>46009.451881446759</v>
      </c>
      <c r="I681" s="4" t="s">
        <v>67</v>
      </c>
      <c r="J681" t="s">
        <v>67</v>
      </c>
      <c r="K681" t="s">
        <v>67</v>
      </c>
      <c r="L681" t="s">
        <v>531</v>
      </c>
      <c r="M681" t="s">
        <v>532</v>
      </c>
      <c r="N681" t="s">
        <v>533</v>
      </c>
      <c r="O681" t="s">
        <v>534</v>
      </c>
      <c r="P681" t="s">
        <v>535</v>
      </c>
      <c r="S681" s="5"/>
      <c r="T681" t="s">
        <v>72</v>
      </c>
      <c r="U681" t="s">
        <v>87</v>
      </c>
      <c r="V681" t="s">
        <v>74</v>
      </c>
      <c r="W681" t="s">
        <v>87</v>
      </c>
      <c r="AE681" s="2"/>
      <c r="AF681" s="2"/>
      <c r="AG681" s="2"/>
      <c r="AH681" s="2"/>
      <c r="AL681" s="2">
        <v>4229000</v>
      </c>
      <c r="AM681" s="2">
        <v>0</v>
      </c>
      <c r="AN681" s="2"/>
      <c r="AO681" s="2">
        <v>0</v>
      </c>
      <c r="AP681" s="2">
        <v>4229000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4"/>
      <c r="AX681" t="s">
        <v>75</v>
      </c>
      <c r="AZ681" t="s">
        <v>103</v>
      </c>
      <c r="BB681" t="s">
        <v>104</v>
      </c>
      <c r="BC681" t="s">
        <v>105</v>
      </c>
      <c r="BD681" t="s">
        <v>79</v>
      </c>
      <c r="BE681" t="s">
        <v>106</v>
      </c>
      <c r="BF681" s="5">
        <v>46327</v>
      </c>
      <c r="BH681">
        <v>1</v>
      </c>
      <c r="BI681" s="6">
        <v>6930000</v>
      </c>
      <c r="BJ681" s="6">
        <v>0</v>
      </c>
      <c r="BK681" s="6">
        <v>2730000</v>
      </c>
      <c r="BL681" s="6">
        <v>4200000</v>
      </c>
      <c r="BM681" s="2">
        <v>4200000</v>
      </c>
      <c r="BN681">
        <f>InvoiceTable[[#This Row],[Giảm giá]]*InvoiceTable[[#This Row],[Số lượng]]</f>
        <v>2730000</v>
      </c>
    </row>
    <row r="682" spans="1:66" x14ac:dyDescent="0.25">
      <c r="A682" t="s">
        <v>65</v>
      </c>
      <c r="B682" t="s">
        <v>2308</v>
      </c>
      <c r="F682" s="2"/>
      <c r="G682" s="3">
        <v>46009.435825497683</v>
      </c>
      <c r="H682" s="3">
        <v>46009.435825578701</v>
      </c>
      <c r="I682" s="4" t="s">
        <v>67</v>
      </c>
      <c r="J682" t="s">
        <v>2309</v>
      </c>
      <c r="K682" t="s">
        <v>67</v>
      </c>
      <c r="L682" t="s">
        <v>2310</v>
      </c>
      <c r="M682" t="s">
        <v>2311</v>
      </c>
      <c r="N682" t="s">
        <v>67</v>
      </c>
      <c r="O682" t="s">
        <v>2312</v>
      </c>
      <c r="P682" t="s">
        <v>2313</v>
      </c>
      <c r="Q682" t="s">
        <v>67</v>
      </c>
      <c r="R682" t="s">
        <v>67</v>
      </c>
      <c r="S682" s="5"/>
      <c r="T682" t="s">
        <v>72</v>
      </c>
      <c r="U682" t="s">
        <v>102</v>
      </c>
      <c r="V682" t="s">
        <v>74</v>
      </c>
      <c r="W682" t="s">
        <v>87</v>
      </c>
      <c r="AE682" s="2"/>
      <c r="AF682" s="2"/>
      <c r="AG682" s="2"/>
      <c r="AH682" s="2"/>
      <c r="AK682" t="s">
        <v>2314</v>
      </c>
      <c r="AL682" s="2">
        <v>630000</v>
      </c>
      <c r="AM682" s="2">
        <v>0</v>
      </c>
      <c r="AN682" s="2"/>
      <c r="AO682" s="2">
        <v>0</v>
      </c>
      <c r="AP682" s="2">
        <v>630000</v>
      </c>
      <c r="AQ682" s="2">
        <v>0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4"/>
      <c r="AX682" t="s">
        <v>75</v>
      </c>
      <c r="AZ682" t="s">
        <v>2315</v>
      </c>
      <c r="BA682" t="s">
        <v>67</v>
      </c>
      <c r="BB682" t="s">
        <v>2316</v>
      </c>
      <c r="BC682" t="s">
        <v>344</v>
      </c>
      <c r="BD682" t="s">
        <v>79</v>
      </c>
      <c r="BE682" t="s">
        <v>188</v>
      </c>
      <c r="BF682" s="5">
        <v>46905</v>
      </c>
      <c r="BH682">
        <v>1</v>
      </c>
      <c r="BI682" s="6">
        <v>1050000</v>
      </c>
      <c r="BJ682" s="6">
        <v>40</v>
      </c>
      <c r="BK682" s="6">
        <v>420000</v>
      </c>
      <c r="BL682" s="6">
        <v>630000</v>
      </c>
      <c r="BM682" s="2">
        <v>630000</v>
      </c>
      <c r="BN682">
        <f>InvoiceTable[[#This Row],[Giảm giá]]*InvoiceTable[[#This Row],[Số lượng]]</f>
        <v>420000</v>
      </c>
    </row>
    <row r="683" spans="1:66" x14ac:dyDescent="0.25">
      <c r="A683" t="s">
        <v>65</v>
      </c>
      <c r="B683" t="s">
        <v>2317</v>
      </c>
      <c r="F683" s="2"/>
      <c r="G683" s="3">
        <v>46009.435324918981</v>
      </c>
      <c r="H683" s="3">
        <v>46009.435325034719</v>
      </c>
      <c r="I683" s="4" t="s">
        <v>67</v>
      </c>
      <c r="J683" t="s">
        <v>2318</v>
      </c>
      <c r="K683" t="s">
        <v>67</v>
      </c>
      <c r="L683" t="s">
        <v>2319</v>
      </c>
      <c r="M683" t="s">
        <v>2320</v>
      </c>
      <c r="N683" t="s">
        <v>67</v>
      </c>
      <c r="O683" t="s">
        <v>2321</v>
      </c>
      <c r="P683" t="s">
        <v>2322</v>
      </c>
      <c r="Q683" t="s">
        <v>67</v>
      </c>
      <c r="R683" t="s">
        <v>67</v>
      </c>
      <c r="S683" s="5"/>
      <c r="T683" t="s">
        <v>72</v>
      </c>
      <c r="U683" t="s">
        <v>73</v>
      </c>
      <c r="V683" t="s">
        <v>74</v>
      </c>
      <c r="W683" t="s">
        <v>87</v>
      </c>
      <c r="AE683" s="2"/>
      <c r="AF683" s="2"/>
      <c r="AG683" s="2"/>
      <c r="AH683" s="2"/>
      <c r="AK683" t="s">
        <v>2323</v>
      </c>
      <c r="AL683" s="2">
        <v>337900</v>
      </c>
      <c r="AM683" s="2">
        <v>0</v>
      </c>
      <c r="AN683" s="2"/>
      <c r="AO683" s="2">
        <v>0</v>
      </c>
      <c r="AP683" s="2">
        <v>337900</v>
      </c>
      <c r="AQ683" s="2">
        <v>337900</v>
      </c>
      <c r="AR683" s="2">
        <v>337900</v>
      </c>
      <c r="AS683" s="2">
        <v>0</v>
      </c>
      <c r="AT683" s="2">
        <v>0</v>
      </c>
      <c r="AU683" s="2">
        <v>0</v>
      </c>
      <c r="AV683" s="2">
        <v>0</v>
      </c>
      <c r="AW683" s="4"/>
      <c r="AX683" t="s">
        <v>75</v>
      </c>
      <c r="AZ683" t="s">
        <v>1712</v>
      </c>
      <c r="BA683" t="s">
        <v>67</v>
      </c>
      <c r="BB683" t="s">
        <v>1713</v>
      </c>
      <c r="BC683" t="s">
        <v>1714</v>
      </c>
      <c r="BD683" t="s">
        <v>79</v>
      </c>
      <c r="BE683" t="s">
        <v>317</v>
      </c>
      <c r="BF683" s="5">
        <v>46935</v>
      </c>
      <c r="BG683" t="s">
        <v>67</v>
      </c>
      <c r="BH683">
        <v>1</v>
      </c>
      <c r="BI683" s="6">
        <v>545000</v>
      </c>
      <c r="BJ683" s="6">
        <v>38</v>
      </c>
      <c r="BK683" s="6">
        <v>207100</v>
      </c>
      <c r="BL683" s="6">
        <v>337900</v>
      </c>
      <c r="BM683" s="2">
        <v>337900</v>
      </c>
      <c r="BN683">
        <f>InvoiceTable[[#This Row],[Giảm giá]]*InvoiceTable[[#This Row],[Số lượng]]</f>
        <v>207100</v>
      </c>
    </row>
    <row r="684" spans="1:66" x14ac:dyDescent="0.25">
      <c r="A684" t="s">
        <v>65</v>
      </c>
      <c r="B684" t="s">
        <v>2324</v>
      </c>
      <c r="F684" s="2"/>
      <c r="G684" s="3">
        <v>46009.424416666669</v>
      </c>
      <c r="H684" s="3">
        <v>46009.424358946759</v>
      </c>
      <c r="I684" s="4" t="s">
        <v>1392</v>
      </c>
      <c r="J684" t="s">
        <v>67</v>
      </c>
      <c r="K684" t="s">
        <v>67</v>
      </c>
      <c r="L684" t="s">
        <v>2325</v>
      </c>
      <c r="M684" t="s">
        <v>2326</v>
      </c>
      <c r="N684" t="s">
        <v>67</v>
      </c>
      <c r="O684" t="s">
        <v>2327</v>
      </c>
      <c r="P684" t="s">
        <v>2328</v>
      </c>
      <c r="Q684" t="s">
        <v>67</v>
      </c>
      <c r="R684" t="s">
        <v>67</v>
      </c>
      <c r="S684" s="5"/>
      <c r="T684" t="s">
        <v>72</v>
      </c>
      <c r="U684" t="s">
        <v>87</v>
      </c>
      <c r="V684" t="s">
        <v>74</v>
      </c>
      <c r="W684" t="s">
        <v>87</v>
      </c>
      <c r="AE684" s="2"/>
      <c r="AF684" s="2"/>
      <c r="AG684" s="2"/>
      <c r="AH684" s="2"/>
      <c r="AL684" s="2">
        <v>1990000</v>
      </c>
      <c r="AM684" s="2">
        <v>1990000</v>
      </c>
      <c r="AN684" s="2"/>
      <c r="AO684" s="2">
        <v>0</v>
      </c>
      <c r="AP684" s="2">
        <v>0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4"/>
      <c r="AX684" t="s">
        <v>75</v>
      </c>
      <c r="AZ684" t="s">
        <v>1554</v>
      </c>
      <c r="BB684" t="s">
        <v>1555</v>
      </c>
      <c r="BC684" t="s">
        <v>1556</v>
      </c>
      <c r="BD684" t="s">
        <v>79</v>
      </c>
      <c r="BE684" t="s">
        <v>1557</v>
      </c>
      <c r="BF684" s="5">
        <v>46332</v>
      </c>
      <c r="BH684">
        <v>1</v>
      </c>
      <c r="BI684" s="6">
        <v>790000</v>
      </c>
      <c r="BJ684" s="6">
        <v>0</v>
      </c>
      <c r="BK684" s="6">
        <v>0</v>
      </c>
      <c r="BL684" s="6">
        <v>790000</v>
      </c>
      <c r="BM684" s="2">
        <v>790000</v>
      </c>
      <c r="BN684">
        <f>InvoiceTable[[#This Row],[Giảm giá]]*InvoiceTable[[#This Row],[Số lượng]]</f>
        <v>0</v>
      </c>
    </row>
    <row r="685" spans="1:66" x14ac:dyDescent="0.25">
      <c r="A685" t="s">
        <v>65</v>
      </c>
      <c r="B685" t="s">
        <v>2324</v>
      </c>
      <c r="F685" s="2"/>
      <c r="G685" s="3">
        <v>46009.424416666669</v>
      </c>
      <c r="H685" s="3">
        <v>46009.424358946759</v>
      </c>
      <c r="I685" s="4" t="s">
        <v>1392</v>
      </c>
      <c r="J685" t="s">
        <v>67</v>
      </c>
      <c r="K685" t="s">
        <v>67</v>
      </c>
      <c r="L685" t="s">
        <v>2325</v>
      </c>
      <c r="M685" t="s">
        <v>2326</v>
      </c>
      <c r="N685" t="s">
        <v>67</v>
      </c>
      <c r="O685" t="s">
        <v>2327</v>
      </c>
      <c r="P685" t="s">
        <v>2328</v>
      </c>
      <c r="Q685" t="s">
        <v>67</v>
      </c>
      <c r="R685" t="s">
        <v>67</v>
      </c>
      <c r="S685" s="5"/>
      <c r="T685" t="s">
        <v>72</v>
      </c>
      <c r="U685" t="s">
        <v>87</v>
      </c>
      <c r="V685" t="s">
        <v>74</v>
      </c>
      <c r="W685" t="s">
        <v>87</v>
      </c>
      <c r="AE685" s="2"/>
      <c r="AF685" s="2"/>
      <c r="AG685" s="2"/>
      <c r="AH685" s="2"/>
      <c r="AL685" s="2">
        <v>1990000</v>
      </c>
      <c r="AM685" s="2">
        <v>1990000</v>
      </c>
      <c r="AN685" s="2"/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4"/>
      <c r="AX685" t="s">
        <v>75</v>
      </c>
      <c r="AZ685" t="s">
        <v>994</v>
      </c>
      <c r="BA685" t="s">
        <v>67</v>
      </c>
      <c r="BB685" t="s">
        <v>995</v>
      </c>
      <c r="BC685" t="s">
        <v>105</v>
      </c>
      <c r="BD685" t="s">
        <v>79</v>
      </c>
      <c r="BE685" t="s">
        <v>996</v>
      </c>
      <c r="BF685" s="5">
        <v>46143</v>
      </c>
      <c r="BH685">
        <v>1</v>
      </c>
      <c r="BI685" s="6">
        <v>1200000</v>
      </c>
      <c r="BJ685" s="6">
        <v>0</v>
      </c>
      <c r="BK685" s="6">
        <v>0</v>
      </c>
      <c r="BL685" s="6">
        <v>1200000</v>
      </c>
      <c r="BM685" s="2">
        <v>1200000</v>
      </c>
      <c r="BN685">
        <f>InvoiceTable[[#This Row],[Giảm giá]]*InvoiceTable[[#This Row],[Số lượng]]</f>
        <v>0</v>
      </c>
    </row>
    <row r="686" spans="1:66" x14ac:dyDescent="0.25">
      <c r="A686" t="s">
        <v>65</v>
      </c>
      <c r="B686" t="s">
        <v>2329</v>
      </c>
      <c r="F686" s="2"/>
      <c r="G686" s="3">
        <v>46009.423675659724</v>
      </c>
      <c r="H686" s="3">
        <v>46009.423675775462</v>
      </c>
      <c r="I686" s="4" t="s">
        <v>67</v>
      </c>
      <c r="J686" t="s">
        <v>2330</v>
      </c>
      <c r="K686" t="s">
        <v>67</v>
      </c>
      <c r="L686" t="s">
        <v>2325</v>
      </c>
      <c r="M686" t="s">
        <v>2326</v>
      </c>
      <c r="N686" t="s">
        <v>67</v>
      </c>
      <c r="O686" t="s">
        <v>2327</v>
      </c>
      <c r="P686" t="s">
        <v>2328</v>
      </c>
      <c r="Q686" t="s">
        <v>67</v>
      </c>
      <c r="R686" t="s">
        <v>67</v>
      </c>
      <c r="S686" s="5"/>
      <c r="T686" t="s">
        <v>72</v>
      </c>
      <c r="U686" t="s">
        <v>1031</v>
      </c>
      <c r="V686" t="s">
        <v>74</v>
      </c>
      <c r="W686" t="s">
        <v>87</v>
      </c>
      <c r="AE686" s="2"/>
      <c r="AF686" s="2"/>
      <c r="AG686" s="2"/>
      <c r="AH686" s="2"/>
      <c r="AK686" t="s">
        <v>2331</v>
      </c>
      <c r="AL686" s="2">
        <v>528000</v>
      </c>
      <c r="AM686" s="2">
        <v>0</v>
      </c>
      <c r="AN686" s="2"/>
      <c r="AO686" s="2">
        <v>0</v>
      </c>
      <c r="AP686" s="2">
        <v>528000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4"/>
      <c r="AX686" t="s">
        <v>75</v>
      </c>
      <c r="AZ686" t="s">
        <v>710</v>
      </c>
      <c r="BA686" t="s">
        <v>67</v>
      </c>
      <c r="BB686" t="s">
        <v>711</v>
      </c>
      <c r="BC686" t="s">
        <v>204</v>
      </c>
      <c r="BD686" t="s">
        <v>79</v>
      </c>
      <c r="BE686" t="s">
        <v>273</v>
      </c>
      <c r="BF686" s="5">
        <v>46266</v>
      </c>
      <c r="BG686" t="s">
        <v>67</v>
      </c>
      <c r="BH686">
        <v>1</v>
      </c>
      <c r="BI686" s="6">
        <v>850000</v>
      </c>
      <c r="BJ686" s="6">
        <v>0</v>
      </c>
      <c r="BK686" s="6">
        <v>850000</v>
      </c>
      <c r="BL686" s="6">
        <v>0</v>
      </c>
      <c r="BM686" s="2">
        <v>0</v>
      </c>
      <c r="BN686">
        <f>InvoiceTable[[#This Row],[Giảm giá]]*InvoiceTable[[#This Row],[Số lượng]]</f>
        <v>850000</v>
      </c>
    </row>
    <row r="687" spans="1:66" x14ac:dyDescent="0.25">
      <c r="A687" t="s">
        <v>65</v>
      </c>
      <c r="B687" t="s">
        <v>2329</v>
      </c>
      <c r="F687" s="2"/>
      <c r="G687" s="3">
        <v>46009.423675659724</v>
      </c>
      <c r="H687" s="3">
        <v>46009.423675775462</v>
      </c>
      <c r="I687" s="4" t="s">
        <v>67</v>
      </c>
      <c r="J687" t="s">
        <v>2330</v>
      </c>
      <c r="K687" t="s">
        <v>67</v>
      </c>
      <c r="L687" t="s">
        <v>2325</v>
      </c>
      <c r="M687" t="s">
        <v>2326</v>
      </c>
      <c r="N687" t="s">
        <v>67</v>
      </c>
      <c r="O687" t="s">
        <v>2327</v>
      </c>
      <c r="P687" t="s">
        <v>2328</v>
      </c>
      <c r="Q687" t="s">
        <v>67</v>
      </c>
      <c r="R687" t="s">
        <v>67</v>
      </c>
      <c r="S687" s="5"/>
      <c r="T687" t="s">
        <v>72</v>
      </c>
      <c r="U687" t="s">
        <v>1031</v>
      </c>
      <c r="V687" t="s">
        <v>74</v>
      </c>
      <c r="W687" t="s">
        <v>87</v>
      </c>
      <c r="AE687" s="2"/>
      <c r="AF687" s="2"/>
      <c r="AG687" s="2"/>
      <c r="AH687" s="2"/>
      <c r="AK687" t="s">
        <v>2331</v>
      </c>
      <c r="AL687" s="2">
        <v>528000</v>
      </c>
      <c r="AM687" s="2">
        <v>0</v>
      </c>
      <c r="AN687" s="2"/>
      <c r="AO687" s="2">
        <v>0</v>
      </c>
      <c r="AP687" s="2">
        <v>528000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4"/>
      <c r="AX687" t="s">
        <v>75</v>
      </c>
      <c r="AZ687" t="s">
        <v>2332</v>
      </c>
      <c r="BA687" t="s">
        <v>67</v>
      </c>
      <c r="BB687" t="s">
        <v>2333</v>
      </c>
      <c r="BC687" t="s">
        <v>204</v>
      </c>
      <c r="BD687" t="s">
        <v>79</v>
      </c>
      <c r="BE687" t="s">
        <v>324</v>
      </c>
      <c r="BF687" s="5">
        <v>47058</v>
      </c>
      <c r="BG687" t="s">
        <v>67</v>
      </c>
      <c r="BH687">
        <v>1</v>
      </c>
      <c r="BI687" s="6">
        <v>1260000</v>
      </c>
      <c r="BJ687" s="6">
        <v>0</v>
      </c>
      <c r="BK687" s="6">
        <v>1260000</v>
      </c>
      <c r="BL687" s="6">
        <v>0</v>
      </c>
      <c r="BM687" s="2">
        <v>0</v>
      </c>
      <c r="BN687">
        <f>InvoiceTable[[#This Row],[Giảm giá]]*InvoiceTable[[#This Row],[Số lượng]]</f>
        <v>1260000</v>
      </c>
    </row>
    <row r="688" spans="1:66" x14ac:dyDescent="0.25">
      <c r="A688" t="s">
        <v>65</v>
      </c>
      <c r="B688" t="s">
        <v>2329</v>
      </c>
      <c r="F688" s="2"/>
      <c r="G688" s="3">
        <v>46009.423675659724</v>
      </c>
      <c r="H688" s="3">
        <v>46009.423675775462</v>
      </c>
      <c r="I688" s="4" t="s">
        <v>67</v>
      </c>
      <c r="J688" t="s">
        <v>2330</v>
      </c>
      <c r="K688" t="s">
        <v>67</v>
      </c>
      <c r="L688" t="s">
        <v>2325</v>
      </c>
      <c r="M688" t="s">
        <v>2326</v>
      </c>
      <c r="N688" t="s">
        <v>67</v>
      </c>
      <c r="O688" t="s">
        <v>2327</v>
      </c>
      <c r="P688" t="s">
        <v>2328</v>
      </c>
      <c r="Q688" t="s">
        <v>67</v>
      </c>
      <c r="R688" t="s">
        <v>67</v>
      </c>
      <c r="S688" s="5"/>
      <c r="T688" t="s">
        <v>72</v>
      </c>
      <c r="U688" t="s">
        <v>1031</v>
      </c>
      <c r="V688" t="s">
        <v>74</v>
      </c>
      <c r="W688" t="s">
        <v>87</v>
      </c>
      <c r="AE688" s="2"/>
      <c r="AF688" s="2"/>
      <c r="AG688" s="2"/>
      <c r="AH688" s="2"/>
      <c r="AK688" t="s">
        <v>2331</v>
      </c>
      <c r="AL688" s="2">
        <v>528000</v>
      </c>
      <c r="AM688" s="2">
        <v>0</v>
      </c>
      <c r="AN688" s="2"/>
      <c r="AO688" s="2">
        <v>0</v>
      </c>
      <c r="AP688" s="2">
        <v>528000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4"/>
      <c r="AX688" t="s">
        <v>75</v>
      </c>
      <c r="AZ688" t="s">
        <v>2334</v>
      </c>
      <c r="BA688" t="s">
        <v>67</v>
      </c>
      <c r="BB688" t="s">
        <v>2335</v>
      </c>
      <c r="BC688" t="s">
        <v>2336</v>
      </c>
      <c r="BD688" t="s">
        <v>79</v>
      </c>
      <c r="BE688" t="s">
        <v>434</v>
      </c>
      <c r="BF688" s="5">
        <v>46661</v>
      </c>
      <c r="BG688" t="s">
        <v>67</v>
      </c>
      <c r="BH688">
        <v>5</v>
      </c>
      <c r="BI688" s="6">
        <v>27000</v>
      </c>
      <c r="BJ688" s="6">
        <v>0</v>
      </c>
      <c r="BK688" s="6">
        <v>12000</v>
      </c>
      <c r="BL688" s="6">
        <v>15000</v>
      </c>
      <c r="BM688" s="2">
        <v>75000</v>
      </c>
      <c r="BN688">
        <f>InvoiceTable[[#This Row],[Giảm giá]]*InvoiceTable[[#This Row],[Số lượng]]</f>
        <v>60000</v>
      </c>
    </row>
    <row r="689" spans="1:66" x14ac:dyDescent="0.25">
      <c r="A689" t="s">
        <v>65</v>
      </c>
      <c r="B689" t="s">
        <v>2329</v>
      </c>
      <c r="F689" s="2"/>
      <c r="G689" s="3">
        <v>46009.423675659724</v>
      </c>
      <c r="H689" s="3">
        <v>46009.423675775462</v>
      </c>
      <c r="I689" s="4" t="s">
        <v>67</v>
      </c>
      <c r="J689" t="s">
        <v>2330</v>
      </c>
      <c r="K689" t="s">
        <v>67</v>
      </c>
      <c r="L689" t="s">
        <v>2325</v>
      </c>
      <c r="M689" t="s">
        <v>2326</v>
      </c>
      <c r="N689" t="s">
        <v>67</v>
      </c>
      <c r="O689" t="s">
        <v>2327</v>
      </c>
      <c r="P689" t="s">
        <v>2328</v>
      </c>
      <c r="Q689" t="s">
        <v>67</v>
      </c>
      <c r="R689" t="s">
        <v>67</v>
      </c>
      <c r="S689" s="5"/>
      <c r="T689" t="s">
        <v>72</v>
      </c>
      <c r="U689" t="s">
        <v>1031</v>
      </c>
      <c r="V689" t="s">
        <v>74</v>
      </c>
      <c r="W689" t="s">
        <v>87</v>
      </c>
      <c r="AE689" s="2"/>
      <c r="AF689" s="2"/>
      <c r="AG689" s="2"/>
      <c r="AH689" s="2"/>
      <c r="AK689" t="s">
        <v>2331</v>
      </c>
      <c r="AL689" s="2">
        <v>528000</v>
      </c>
      <c r="AM689" s="2">
        <v>0</v>
      </c>
      <c r="AN689" s="2"/>
      <c r="AO689" s="2">
        <v>0</v>
      </c>
      <c r="AP689" s="2">
        <v>528000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4"/>
      <c r="AX689" t="s">
        <v>75</v>
      </c>
      <c r="AZ689" t="s">
        <v>321</v>
      </c>
      <c r="BA689" t="s">
        <v>67</v>
      </c>
      <c r="BB689" t="s">
        <v>322</v>
      </c>
      <c r="BC689" t="s">
        <v>323</v>
      </c>
      <c r="BD689" t="s">
        <v>79</v>
      </c>
      <c r="BE689" t="s">
        <v>324</v>
      </c>
      <c r="BF689" s="5">
        <v>47058</v>
      </c>
      <c r="BG689" t="s">
        <v>67</v>
      </c>
      <c r="BH689">
        <v>5</v>
      </c>
      <c r="BI689" s="6">
        <v>25000</v>
      </c>
      <c r="BJ689" s="6">
        <v>0</v>
      </c>
      <c r="BK689" s="6">
        <v>10000</v>
      </c>
      <c r="BL689" s="6">
        <v>15000</v>
      </c>
      <c r="BM689" s="2">
        <v>75000</v>
      </c>
      <c r="BN689">
        <f>InvoiceTable[[#This Row],[Giảm giá]]*InvoiceTable[[#This Row],[Số lượng]]</f>
        <v>50000</v>
      </c>
    </row>
    <row r="690" spans="1:66" x14ac:dyDescent="0.25">
      <c r="A690" t="s">
        <v>65</v>
      </c>
      <c r="B690" t="s">
        <v>2329</v>
      </c>
      <c r="F690" s="2"/>
      <c r="G690" s="3">
        <v>46009.423675659724</v>
      </c>
      <c r="H690" s="3">
        <v>46009.423675775462</v>
      </c>
      <c r="I690" s="4" t="s">
        <v>67</v>
      </c>
      <c r="J690" t="s">
        <v>2330</v>
      </c>
      <c r="K690" t="s">
        <v>67</v>
      </c>
      <c r="L690" t="s">
        <v>2325</v>
      </c>
      <c r="M690" t="s">
        <v>2326</v>
      </c>
      <c r="N690" t="s">
        <v>67</v>
      </c>
      <c r="O690" t="s">
        <v>2327</v>
      </c>
      <c r="P690" t="s">
        <v>2328</v>
      </c>
      <c r="Q690" t="s">
        <v>67</v>
      </c>
      <c r="R690" t="s">
        <v>67</v>
      </c>
      <c r="S690" s="5"/>
      <c r="T690" t="s">
        <v>72</v>
      </c>
      <c r="U690" t="s">
        <v>1031</v>
      </c>
      <c r="V690" t="s">
        <v>74</v>
      </c>
      <c r="W690" t="s">
        <v>87</v>
      </c>
      <c r="AE690" s="2"/>
      <c r="AF690" s="2"/>
      <c r="AG690" s="2"/>
      <c r="AH690" s="2"/>
      <c r="AK690" t="s">
        <v>2331</v>
      </c>
      <c r="AL690" s="2">
        <v>528000</v>
      </c>
      <c r="AM690" s="2">
        <v>0</v>
      </c>
      <c r="AN690" s="2"/>
      <c r="AO690" s="2">
        <v>0</v>
      </c>
      <c r="AP690" s="2">
        <v>528000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4"/>
      <c r="AX690" t="s">
        <v>75</v>
      </c>
      <c r="AZ690" t="s">
        <v>1777</v>
      </c>
      <c r="BA690" t="s">
        <v>67</v>
      </c>
      <c r="BB690" t="s">
        <v>1778</v>
      </c>
      <c r="BC690" t="s">
        <v>1779</v>
      </c>
      <c r="BD690" t="s">
        <v>79</v>
      </c>
      <c r="BE690" t="s">
        <v>1780</v>
      </c>
      <c r="BF690" s="5">
        <v>46956</v>
      </c>
      <c r="BG690" t="s">
        <v>67</v>
      </c>
      <c r="BH690">
        <v>1</v>
      </c>
      <c r="BI690" s="6">
        <v>380000</v>
      </c>
      <c r="BJ690" s="6">
        <v>40</v>
      </c>
      <c r="BK690" s="6">
        <v>152000</v>
      </c>
      <c r="BL690" s="6">
        <v>228000</v>
      </c>
      <c r="BM690" s="2">
        <v>228000</v>
      </c>
      <c r="BN690">
        <f>InvoiceTable[[#This Row],[Giảm giá]]*InvoiceTable[[#This Row],[Số lượng]]</f>
        <v>152000</v>
      </c>
    </row>
    <row r="691" spans="1:66" x14ac:dyDescent="0.25">
      <c r="A691" t="s">
        <v>65</v>
      </c>
      <c r="B691" t="s">
        <v>2329</v>
      </c>
      <c r="F691" s="2"/>
      <c r="G691" s="3">
        <v>46009.423675659724</v>
      </c>
      <c r="H691" s="3">
        <v>46009.423675775462</v>
      </c>
      <c r="I691" s="4" t="s">
        <v>67</v>
      </c>
      <c r="J691" t="s">
        <v>2330</v>
      </c>
      <c r="K691" t="s">
        <v>67</v>
      </c>
      <c r="L691" t="s">
        <v>2325</v>
      </c>
      <c r="M691" t="s">
        <v>2326</v>
      </c>
      <c r="N691" t="s">
        <v>67</v>
      </c>
      <c r="O691" t="s">
        <v>2327</v>
      </c>
      <c r="P691" t="s">
        <v>2328</v>
      </c>
      <c r="Q691" t="s">
        <v>67</v>
      </c>
      <c r="R691" t="s">
        <v>67</v>
      </c>
      <c r="S691" s="5"/>
      <c r="T691" t="s">
        <v>72</v>
      </c>
      <c r="U691" t="s">
        <v>1031</v>
      </c>
      <c r="V691" t="s">
        <v>74</v>
      </c>
      <c r="W691" t="s">
        <v>87</v>
      </c>
      <c r="AE691" s="2"/>
      <c r="AF691" s="2"/>
      <c r="AG691" s="2"/>
      <c r="AH691" s="2"/>
      <c r="AK691" t="s">
        <v>2331</v>
      </c>
      <c r="AL691" s="2">
        <v>528000</v>
      </c>
      <c r="AM691" s="2">
        <v>0</v>
      </c>
      <c r="AN691" s="2"/>
      <c r="AO691" s="2">
        <v>0</v>
      </c>
      <c r="AP691" s="2">
        <v>528000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4"/>
      <c r="AX691" t="s">
        <v>75</v>
      </c>
      <c r="AZ691" t="s">
        <v>192</v>
      </c>
      <c r="BA691" t="s">
        <v>67</v>
      </c>
      <c r="BB691" t="s">
        <v>193</v>
      </c>
      <c r="BC691" t="s">
        <v>194</v>
      </c>
      <c r="BD691" t="s">
        <v>79</v>
      </c>
      <c r="BE691" t="s">
        <v>195</v>
      </c>
      <c r="BF691" s="5">
        <v>46419</v>
      </c>
      <c r="BG691" t="s">
        <v>67</v>
      </c>
      <c r="BH691">
        <v>1</v>
      </c>
      <c r="BI691" s="6">
        <v>250000</v>
      </c>
      <c r="BJ691" s="6">
        <v>0</v>
      </c>
      <c r="BK691" s="6">
        <v>100000</v>
      </c>
      <c r="BL691" s="6">
        <v>150000</v>
      </c>
      <c r="BM691" s="2">
        <v>150000</v>
      </c>
      <c r="BN691">
        <f>InvoiceTable[[#This Row],[Giảm giá]]*InvoiceTable[[#This Row],[Số lượng]]</f>
        <v>100000</v>
      </c>
    </row>
    <row r="692" spans="1:66" x14ac:dyDescent="0.25">
      <c r="A692" t="s">
        <v>65</v>
      </c>
      <c r="B692" t="s">
        <v>2337</v>
      </c>
      <c r="F692" s="2"/>
      <c r="G692" s="3">
        <v>46009.419437731478</v>
      </c>
      <c r="H692" s="3">
        <v>46009.419437881945</v>
      </c>
      <c r="I692" s="4" t="s">
        <v>67</v>
      </c>
      <c r="J692" t="s">
        <v>2338</v>
      </c>
      <c r="K692" t="s">
        <v>67</v>
      </c>
      <c r="L692" t="s">
        <v>1353</v>
      </c>
      <c r="M692" t="s">
        <v>1354</v>
      </c>
      <c r="N692" t="s">
        <v>1355</v>
      </c>
      <c r="O692" t="s">
        <v>1356</v>
      </c>
      <c r="P692" t="s">
        <v>1357</v>
      </c>
      <c r="S692" s="5"/>
      <c r="T692" t="s">
        <v>72</v>
      </c>
      <c r="U692" t="s">
        <v>102</v>
      </c>
      <c r="V692" t="s">
        <v>74</v>
      </c>
      <c r="W692" t="s">
        <v>102</v>
      </c>
      <c r="AE692" s="2"/>
      <c r="AF692" s="2"/>
      <c r="AG692" s="2"/>
      <c r="AH692" s="2"/>
      <c r="AK692" t="s">
        <v>2339</v>
      </c>
      <c r="AL692" s="2">
        <v>6318200</v>
      </c>
      <c r="AM692" s="2">
        <v>0</v>
      </c>
      <c r="AN692" s="2"/>
      <c r="AO692" s="2">
        <v>0</v>
      </c>
      <c r="AP692" s="2">
        <v>6318200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4"/>
      <c r="AX692" t="s">
        <v>75</v>
      </c>
      <c r="AZ692" t="s">
        <v>1989</v>
      </c>
      <c r="BA692" t="s">
        <v>67</v>
      </c>
      <c r="BB692" t="s">
        <v>1990</v>
      </c>
      <c r="BC692" t="s">
        <v>1991</v>
      </c>
      <c r="BD692" t="s">
        <v>79</v>
      </c>
      <c r="BE692" t="s">
        <v>94</v>
      </c>
      <c r="BF692" s="5">
        <v>46692</v>
      </c>
      <c r="BH692">
        <v>100</v>
      </c>
      <c r="BI692" s="6">
        <v>84000</v>
      </c>
      <c r="BJ692" s="6">
        <v>38</v>
      </c>
      <c r="BK692" s="6">
        <v>31920</v>
      </c>
      <c r="BL692" s="6">
        <v>52080</v>
      </c>
      <c r="BM692" s="2">
        <v>5208000</v>
      </c>
      <c r="BN692">
        <f>InvoiceTable[[#This Row],[Giảm giá]]*InvoiceTable[[#This Row],[Số lượng]]</f>
        <v>3192000</v>
      </c>
    </row>
    <row r="693" spans="1:66" x14ac:dyDescent="0.25">
      <c r="A693" t="s">
        <v>65</v>
      </c>
      <c r="B693" t="s">
        <v>2337</v>
      </c>
      <c r="F693" s="2"/>
      <c r="G693" s="3">
        <v>46009.419437731478</v>
      </c>
      <c r="H693" s="3">
        <v>46009.419437881945</v>
      </c>
      <c r="I693" s="4" t="s">
        <v>67</v>
      </c>
      <c r="J693" t="s">
        <v>2338</v>
      </c>
      <c r="K693" t="s">
        <v>67</v>
      </c>
      <c r="L693" t="s">
        <v>1353</v>
      </c>
      <c r="M693" t="s">
        <v>1354</v>
      </c>
      <c r="N693" t="s">
        <v>1355</v>
      </c>
      <c r="O693" t="s">
        <v>1356</v>
      </c>
      <c r="P693" t="s">
        <v>1357</v>
      </c>
      <c r="S693" s="5"/>
      <c r="T693" t="s">
        <v>72</v>
      </c>
      <c r="U693" t="s">
        <v>102</v>
      </c>
      <c r="V693" t="s">
        <v>74</v>
      </c>
      <c r="W693" t="s">
        <v>102</v>
      </c>
      <c r="AE693" s="2"/>
      <c r="AF693" s="2"/>
      <c r="AG693" s="2"/>
      <c r="AH693" s="2"/>
      <c r="AK693" t="s">
        <v>2339</v>
      </c>
      <c r="AL693" s="2">
        <v>6318200</v>
      </c>
      <c r="AM693" s="2">
        <v>0</v>
      </c>
      <c r="AN693" s="2"/>
      <c r="AO693" s="2">
        <v>0</v>
      </c>
      <c r="AP693" s="2">
        <v>6318200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4"/>
      <c r="AX693" t="s">
        <v>75</v>
      </c>
      <c r="AZ693" t="s">
        <v>2340</v>
      </c>
      <c r="BA693" t="s">
        <v>67</v>
      </c>
      <c r="BB693" t="s">
        <v>2341</v>
      </c>
      <c r="BC693" t="s">
        <v>93</v>
      </c>
      <c r="BD693" t="s">
        <v>79</v>
      </c>
      <c r="BE693" t="s">
        <v>198</v>
      </c>
      <c r="BF693" s="5">
        <v>46753</v>
      </c>
      <c r="BH693">
        <v>2</v>
      </c>
      <c r="BI693" s="6">
        <v>383000</v>
      </c>
      <c r="BJ693" s="6">
        <v>35</v>
      </c>
      <c r="BK693" s="6">
        <v>134050</v>
      </c>
      <c r="BL693" s="6">
        <v>248950</v>
      </c>
      <c r="BM693" s="2">
        <v>497900</v>
      </c>
      <c r="BN693">
        <f>InvoiceTable[[#This Row],[Giảm giá]]*InvoiceTable[[#This Row],[Số lượng]]</f>
        <v>268100</v>
      </c>
    </row>
    <row r="694" spans="1:66" x14ac:dyDescent="0.25">
      <c r="A694" t="s">
        <v>65</v>
      </c>
      <c r="B694" t="s">
        <v>2337</v>
      </c>
      <c r="F694" s="2"/>
      <c r="G694" s="3">
        <v>46009.419437731478</v>
      </c>
      <c r="H694" s="3">
        <v>46009.419437881945</v>
      </c>
      <c r="I694" s="4" t="s">
        <v>67</v>
      </c>
      <c r="J694" t="s">
        <v>2338</v>
      </c>
      <c r="K694" t="s">
        <v>67</v>
      </c>
      <c r="L694" t="s">
        <v>1353</v>
      </c>
      <c r="M694" t="s">
        <v>1354</v>
      </c>
      <c r="N694" t="s">
        <v>1355</v>
      </c>
      <c r="O694" t="s">
        <v>1356</v>
      </c>
      <c r="P694" t="s">
        <v>1357</v>
      </c>
      <c r="S694" s="5"/>
      <c r="T694" t="s">
        <v>72</v>
      </c>
      <c r="U694" t="s">
        <v>102</v>
      </c>
      <c r="V694" t="s">
        <v>74</v>
      </c>
      <c r="W694" t="s">
        <v>102</v>
      </c>
      <c r="AE694" s="2"/>
      <c r="AF694" s="2"/>
      <c r="AG694" s="2"/>
      <c r="AH694" s="2"/>
      <c r="AK694" t="s">
        <v>2339</v>
      </c>
      <c r="AL694" s="2">
        <v>6318200</v>
      </c>
      <c r="AM694" s="2">
        <v>0</v>
      </c>
      <c r="AN694" s="2"/>
      <c r="AO694" s="2">
        <v>0</v>
      </c>
      <c r="AP694" s="2">
        <v>6318200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4"/>
      <c r="AX694" t="s">
        <v>75</v>
      </c>
      <c r="AZ694" t="s">
        <v>1871</v>
      </c>
      <c r="BA694" t="s">
        <v>67</v>
      </c>
      <c r="BB694" t="s">
        <v>1872</v>
      </c>
      <c r="BC694" t="s">
        <v>93</v>
      </c>
      <c r="BD694" t="s">
        <v>79</v>
      </c>
      <c r="BE694" t="s">
        <v>810</v>
      </c>
      <c r="BF694" s="5">
        <v>46539</v>
      </c>
      <c r="BH694">
        <v>3</v>
      </c>
      <c r="BI694" s="6">
        <v>314000</v>
      </c>
      <c r="BJ694" s="6">
        <v>35</v>
      </c>
      <c r="BK694" s="6">
        <v>109900</v>
      </c>
      <c r="BL694" s="6">
        <v>204100</v>
      </c>
      <c r="BM694" s="2">
        <v>612300</v>
      </c>
      <c r="BN694">
        <f>InvoiceTable[[#This Row],[Giảm giá]]*InvoiceTable[[#This Row],[Số lượng]]</f>
        <v>329700</v>
      </c>
    </row>
    <row r="695" spans="1:66" x14ac:dyDescent="0.25">
      <c r="A695" t="s">
        <v>65</v>
      </c>
      <c r="B695" t="s">
        <v>2342</v>
      </c>
      <c r="F695" s="2"/>
      <c r="G695" s="3">
        <v>46009.40269505787</v>
      </c>
      <c r="H695" s="3">
        <v>46009.402695173609</v>
      </c>
      <c r="I695" s="4" t="s">
        <v>67</v>
      </c>
      <c r="J695" t="s">
        <v>67</v>
      </c>
      <c r="K695" t="s">
        <v>67</v>
      </c>
      <c r="L695" t="s">
        <v>814</v>
      </c>
      <c r="M695" t="s">
        <v>815</v>
      </c>
      <c r="N695" t="s">
        <v>67</v>
      </c>
      <c r="O695" t="s">
        <v>816</v>
      </c>
      <c r="Q695" t="s">
        <v>67</v>
      </c>
      <c r="R695" t="s">
        <v>67</v>
      </c>
      <c r="S695" s="5"/>
      <c r="T695" t="s">
        <v>72</v>
      </c>
      <c r="U695" t="s">
        <v>87</v>
      </c>
      <c r="V695" t="s">
        <v>74</v>
      </c>
      <c r="W695" t="s">
        <v>87</v>
      </c>
      <c r="AE695" s="2"/>
      <c r="AF695" s="2"/>
      <c r="AG695" s="2"/>
      <c r="AH695" s="2"/>
      <c r="AL695" s="2">
        <v>5602100</v>
      </c>
      <c r="AM695" s="2">
        <v>0</v>
      </c>
      <c r="AN695" s="2"/>
      <c r="AO695" s="2">
        <v>0</v>
      </c>
      <c r="AP695" s="2">
        <v>5602100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4"/>
      <c r="AX695" t="s">
        <v>75</v>
      </c>
      <c r="AZ695" t="s">
        <v>1730</v>
      </c>
      <c r="BB695" t="s">
        <v>1731</v>
      </c>
      <c r="BC695" t="s">
        <v>1732</v>
      </c>
      <c r="BD695" t="s">
        <v>79</v>
      </c>
      <c r="BE695" t="s">
        <v>690</v>
      </c>
      <c r="BF695" s="5">
        <v>46807</v>
      </c>
      <c r="BG695" t="s">
        <v>67</v>
      </c>
      <c r="BH695">
        <v>3</v>
      </c>
      <c r="BI695" s="6">
        <v>1590000</v>
      </c>
      <c r="BJ695" s="6">
        <v>37</v>
      </c>
      <c r="BK695" s="6">
        <v>588300</v>
      </c>
      <c r="BL695" s="6">
        <v>1001700</v>
      </c>
      <c r="BM695" s="2">
        <v>3005100</v>
      </c>
      <c r="BN695">
        <f>InvoiceTable[[#This Row],[Giảm giá]]*InvoiceTable[[#This Row],[Số lượng]]</f>
        <v>1764900</v>
      </c>
    </row>
    <row r="696" spans="1:66" x14ac:dyDescent="0.25">
      <c r="A696" t="s">
        <v>65</v>
      </c>
      <c r="B696" t="s">
        <v>2342</v>
      </c>
      <c r="F696" s="2"/>
      <c r="G696" s="3">
        <v>46009.40269505787</v>
      </c>
      <c r="H696" s="3">
        <v>46009.402695173609</v>
      </c>
      <c r="I696" s="4" t="s">
        <v>67</v>
      </c>
      <c r="J696" t="s">
        <v>67</v>
      </c>
      <c r="K696" t="s">
        <v>67</v>
      </c>
      <c r="L696" t="s">
        <v>814</v>
      </c>
      <c r="M696" t="s">
        <v>815</v>
      </c>
      <c r="N696" t="s">
        <v>67</v>
      </c>
      <c r="O696" t="s">
        <v>816</v>
      </c>
      <c r="Q696" t="s">
        <v>67</v>
      </c>
      <c r="R696" t="s">
        <v>67</v>
      </c>
      <c r="S696" s="5"/>
      <c r="T696" t="s">
        <v>72</v>
      </c>
      <c r="U696" t="s">
        <v>87</v>
      </c>
      <c r="V696" t="s">
        <v>74</v>
      </c>
      <c r="W696" t="s">
        <v>87</v>
      </c>
      <c r="AE696" s="2"/>
      <c r="AF696" s="2"/>
      <c r="AG696" s="2"/>
      <c r="AH696" s="2"/>
      <c r="AL696" s="2">
        <v>5602100</v>
      </c>
      <c r="AM696" s="2">
        <v>0</v>
      </c>
      <c r="AN696" s="2"/>
      <c r="AO696" s="2">
        <v>0</v>
      </c>
      <c r="AP696" s="2">
        <v>5602100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4"/>
      <c r="AX696" t="s">
        <v>75</v>
      </c>
      <c r="AZ696" t="s">
        <v>2343</v>
      </c>
      <c r="BA696" t="s">
        <v>67</v>
      </c>
      <c r="BB696" t="s">
        <v>2344</v>
      </c>
      <c r="BC696" t="s">
        <v>706</v>
      </c>
      <c r="BD696" t="s">
        <v>79</v>
      </c>
      <c r="BE696" t="s">
        <v>317</v>
      </c>
      <c r="BF696" s="5">
        <v>46935</v>
      </c>
      <c r="BG696" t="s">
        <v>67</v>
      </c>
      <c r="BH696">
        <v>5</v>
      </c>
      <c r="BI696" s="6">
        <v>980000</v>
      </c>
      <c r="BJ696" s="6">
        <v>47</v>
      </c>
      <c r="BK696" s="6">
        <v>460600</v>
      </c>
      <c r="BL696" s="6">
        <v>519400</v>
      </c>
      <c r="BM696" s="2">
        <v>2597000</v>
      </c>
      <c r="BN696">
        <f>InvoiceTable[[#This Row],[Giảm giá]]*InvoiceTable[[#This Row],[Số lượng]]</f>
        <v>2303000</v>
      </c>
    </row>
    <row r="697" spans="1:66" x14ac:dyDescent="0.25">
      <c r="A697" t="s">
        <v>65</v>
      </c>
      <c r="B697" t="s">
        <v>2345</v>
      </c>
      <c r="F697" s="2"/>
      <c r="G697" s="3">
        <v>46008.741666898146</v>
      </c>
      <c r="H697" s="3">
        <v>46008.741562812502</v>
      </c>
      <c r="I697" s="4" t="s">
        <v>96</v>
      </c>
      <c r="J697" t="s">
        <v>67</v>
      </c>
      <c r="K697" t="s">
        <v>67</v>
      </c>
      <c r="L697" t="s">
        <v>2346</v>
      </c>
      <c r="M697" t="s">
        <v>2347</v>
      </c>
      <c r="N697" t="s">
        <v>2348</v>
      </c>
      <c r="O697" t="s">
        <v>2349</v>
      </c>
      <c r="P697" t="s">
        <v>2350</v>
      </c>
      <c r="S697" s="5"/>
      <c r="T697" t="s">
        <v>72</v>
      </c>
      <c r="U697" t="s">
        <v>87</v>
      </c>
      <c r="V697" t="s">
        <v>74</v>
      </c>
      <c r="W697" t="s">
        <v>87</v>
      </c>
      <c r="AE697" s="2"/>
      <c r="AF697" s="2"/>
      <c r="AG697" s="2"/>
      <c r="AH697" s="2"/>
      <c r="AK697" t="s">
        <v>2351</v>
      </c>
      <c r="AL697" s="2">
        <v>821640</v>
      </c>
      <c r="AM697" s="2">
        <v>0</v>
      </c>
      <c r="AN697" s="2"/>
      <c r="AO697" s="2">
        <v>0</v>
      </c>
      <c r="AP697" s="2">
        <v>821640</v>
      </c>
      <c r="AQ697" s="2">
        <v>765620</v>
      </c>
      <c r="AR697" s="2">
        <v>0</v>
      </c>
      <c r="AS697" s="2">
        <v>0</v>
      </c>
      <c r="AT697" s="2">
        <v>0</v>
      </c>
      <c r="AU697" s="2">
        <v>765620</v>
      </c>
      <c r="AV697" s="2">
        <v>0</v>
      </c>
      <c r="AW697" s="4"/>
      <c r="AX697" t="s">
        <v>75</v>
      </c>
      <c r="AZ697" t="s">
        <v>2352</v>
      </c>
      <c r="BA697" t="s">
        <v>67</v>
      </c>
      <c r="BB697" t="s">
        <v>2353</v>
      </c>
      <c r="BC697" t="s">
        <v>1616</v>
      </c>
      <c r="BD697" t="s">
        <v>79</v>
      </c>
      <c r="BE697" t="s">
        <v>139</v>
      </c>
      <c r="BF697" s="5">
        <v>46447</v>
      </c>
      <c r="BH697">
        <v>2</v>
      </c>
      <c r="BI697" s="6">
        <v>501000</v>
      </c>
      <c r="BJ697" s="6">
        <v>18</v>
      </c>
      <c r="BK697" s="6">
        <v>90180</v>
      </c>
      <c r="BL697" s="6">
        <v>410820</v>
      </c>
      <c r="BM697" s="2">
        <v>821640</v>
      </c>
      <c r="BN697">
        <f>InvoiceTable[[#This Row],[Giảm giá]]*InvoiceTable[[#This Row],[Số lượng]]</f>
        <v>180360</v>
      </c>
    </row>
    <row r="698" spans="1:66" x14ac:dyDescent="0.25">
      <c r="A698" t="s">
        <v>65</v>
      </c>
      <c r="B698" t="s">
        <v>2354</v>
      </c>
      <c r="F698" s="2"/>
      <c r="G698" s="3">
        <v>46008.739416550925</v>
      </c>
      <c r="H698" s="3">
        <v>46008.739416932869</v>
      </c>
      <c r="I698" s="4" t="s">
        <v>67</v>
      </c>
      <c r="J698" t="s">
        <v>2355</v>
      </c>
      <c r="K698" t="s">
        <v>67</v>
      </c>
      <c r="L698" t="s">
        <v>963</v>
      </c>
      <c r="M698" t="s">
        <v>964</v>
      </c>
      <c r="N698" t="s">
        <v>67</v>
      </c>
      <c r="O698" t="s">
        <v>965</v>
      </c>
      <c r="P698" t="s">
        <v>966</v>
      </c>
      <c r="Q698" t="s">
        <v>67</v>
      </c>
      <c r="R698" t="s">
        <v>67</v>
      </c>
      <c r="S698" s="5"/>
      <c r="T698" t="s">
        <v>72</v>
      </c>
      <c r="U698" t="s">
        <v>102</v>
      </c>
      <c r="V698" t="s">
        <v>74</v>
      </c>
      <c r="W698" t="s">
        <v>87</v>
      </c>
      <c r="AE698" s="2"/>
      <c r="AF698" s="2"/>
      <c r="AG698" s="2"/>
      <c r="AH698" s="2"/>
      <c r="AK698" t="s">
        <v>2356</v>
      </c>
      <c r="AL698" s="2">
        <v>1450000</v>
      </c>
      <c r="AM698" s="2">
        <v>0</v>
      </c>
      <c r="AN698" s="2"/>
      <c r="AO698" s="2">
        <v>0</v>
      </c>
      <c r="AP698" s="2">
        <v>1450000</v>
      </c>
      <c r="AQ698" s="2">
        <v>1450000</v>
      </c>
      <c r="AR698" s="2">
        <v>1450000</v>
      </c>
      <c r="AS698" s="2">
        <v>0</v>
      </c>
      <c r="AT698" s="2">
        <v>0</v>
      </c>
      <c r="AU698" s="2">
        <v>0</v>
      </c>
      <c r="AV698" s="2">
        <v>0</v>
      </c>
      <c r="AW698" s="4"/>
      <c r="AX698" t="s">
        <v>75</v>
      </c>
      <c r="AZ698" t="s">
        <v>2357</v>
      </c>
      <c r="BA698" t="s">
        <v>67</v>
      </c>
      <c r="BB698" t="s">
        <v>2358</v>
      </c>
      <c r="BC698" t="s">
        <v>2359</v>
      </c>
      <c r="BD698" t="s">
        <v>79</v>
      </c>
      <c r="BE698" t="s">
        <v>168</v>
      </c>
      <c r="BF698" s="5">
        <v>46419</v>
      </c>
      <c r="BG698" t="s">
        <v>67</v>
      </c>
      <c r="BH698">
        <v>1</v>
      </c>
      <c r="BI698" s="6">
        <v>2400000</v>
      </c>
      <c r="BJ698" s="6">
        <v>0</v>
      </c>
      <c r="BK698" s="6">
        <v>950000</v>
      </c>
      <c r="BL698" s="6">
        <v>1450000</v>
      </c>
      <c r="BM698" s="2">
        <v>1450000</v>
      </c>
      <c r="BN698">
        <f>InvoiceTable[[#This Row],[Giảm giá]]*InvoiceTable[[#This Row],[Số lượng]]</f>
        <v>950000</v>
      </c>
    </row>
    <row r="699" spans="1:66" x14ac:dyDescent="0.25">
      <c r="A699" t="s">
        <v>65</v>
      </c>
      <c r="B699" t="s">
        <v>2360</v>
      </c>
      <c r="F699" s="2"/>
      <c r="G699" s="3">
        <v>46008.738571759262</v>
      </c>
      <c r="H699" s="3">
        <v>46008.73857184028</v>
      </c>
      <c r="I699" s="4" t="s">
        <v>67</v>
      </c>
      <c r="J699" t="s">
        <v>67</v>
      </c>
      <c r="K699" t="s">
        <v>67</v>
      </c>
      <c r="L699" t="s">
        <v>2361</v>
      </c>
      <c r="M699" t="s">
        <v>2362</v>
      </c>
      <c r="N699" t="s">
        <v>67</v>
      </c>
      <c r="O699" t="s">
        <v>2363</v>
      </c>
      <c r="P699" t="s">
        <v>2364</v>
      </c>
      <c r="Q699" t="s">
        <v>67</v>
      </c>
      <c r="R699" t="s">
        <v>67</v>
      </c>
      <c r="S699" s="5"/>
      <c r="T699" t="s">
        <v>72</v>
      </c>
      <c r="U699" t="s">
        <v>87</v>
      </c>
      <c r="V699" t="s">
        <v>74</v>
      </c>
      <c r="W699" t="s">
        <v>87</v>
      </c>
      <c r="AE699" s="2"/>
      <c r="AF699" s="2"/>
      <c r="AG699" s="2"/>
      <c r="AH699" s="2"/>
      <c r="AL699" s="2">
        <v>26850000</v>
      </c>
      <c r="AM699" s="2">
        <v>12888000</v>
      </c>
      <c r="AN699" s="2"/>
      <c r="AO699" s="2">
        <v>0</v>
      </c>
      <c r="AP699" s="2">
        <v>13962000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4"/>
      <c r="AX699" t="s">
        <v>75</v>
      </c>
      <c r="AZ699" t="s">
        <v>1268</v>
      </c>
      <c r="BA699" t="s">
        <v>67</v>
      </c>
      <c r="BB699" t="s">
        <v>1269</v>
      </c>
      <c r="BC699" t="s">
        <v>770</v>
      </c>
      <c r="BD699" t="s">
        <v>79</v>
      </c>
      <c r="BE699" t="s">
        <v>715</v>
      </c>
      <c r="BF699" s="5">
        <v>46631</v>
      </c>
      <c r="BH699">
        <v>10</v>
      </c>
      <c r="BI699" s="6">
        <v>690000</v>
      </c>
      <c r="BJ699" s="6">
        <v>0</v>
      </c>
      <c r="BK699" s="6">
        <v>0</v>
      </c>
      <c r="BL699" s="6">
        <v>690000</v>
      </c>
      <c r="BM699" s="2">
        <v>6900000</v>
      </c>
      <c r="BN699">
        <f>InvoiceTable[[#This Row],[Giảm giá]]*InvoiceTable[[#This Row],[Số lượng]]</f>
        <v>0</v>
      </c>
    </row>
    <row r="700" spans="1:66" x14ac:dyDescent="0.25">
      <c r="A700" t="s">
        <v>65</v>
      </c>
      <c r="B700" t="s">
        <v>2360</v>
      </c>
      <c r="F700" s="2"/>
      <c r="G700" s="3">
        <v>46008.738571759262</v>
      </c>
      <c r="H700" s="3">
        <v>46008.73857184028</v>
      </c>
      <c r="I700" s="4" t="s">
        <v>67</v>
      </c>
      <c r="J700" t="s">
        <v>67</v>
      </c>
      <c r="K700" t="s">
        <v>67</v>
      </c>
      <c r="L700" t="s">
        <v>2361</v>
      </c>
      <c r="M700" t="s">
        <v>2362</v>
      </c>
      <c r="N700" t="s">
        <v>67</v>
      </c>
      <c r="O700" t="s">
        <v>2363</v>
      </c>
      <c r="P700" t="s">
        <v>2364</v>
      </c>
      <c r="Q700" t="s">
        <v>67</v>
      </c>
      <c r="R700" t="s">
        <v>67</v>
      </c>
      <c r="S700" s="5"/>
      <c r="T700" t="s">
        <v>72</v>
      </c>
      <c r="U700" t="s">
        <v>87</v>
      </c>
      <c r="V700" t="s">
        <v>74</v>
      </c>
      <c r="W700" t="s">
        <v>87</v>
      </c>
      <c r="AE700" s="2"/>
      <c r="AF700" s="2"/>
      <c r="AG700" s="2"/>
      <c r="AH700" s="2"/>
      <c r="AL700" s="2">
        <v>26850000</v>
      </c>
      <c r="AM700" s="2">
        <v>12888000</v>
      </c>
      <c r="AN700" s="2"/>
      <c r="AO700" s="2">
        <v>0</v>
      </c>
      <c r="AP700" s="2">
        <v>13962000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4"/>
      <c r="AX700" t="s">
        <v>75</v>
      </c>
      <c r="AZ700" t="s">
        <v>771</v>
      </c>
      <c r="BA700" t="s">
        <v>67</v>
      </c>
      <c r="BB700" t="s">
        <v>772</v>
      </c>
      <c r="BC700" t="s">
        <v>770</v>
      </c>
      <c r="BD700" t="s">
        <v>79</v>
      </c>
      <c r="BE700" t="s">
        <v>177</v>
      </c>
      <c r="BF700" s="5">
        <v>47027</v>
      </c>
      <c r="BH700">
        <v>50</v>
      </c>
      <c r="BI700" s="6">
        <v>399000</v>
      </c>
      <c r="BJ700" s="6">
        <v>0</v>
      </c>
      <c r="BK700" s="6">
        <v>0</v>
      </c>
      <c r="BL700" s="6">
        <v>399000</v>
      </c>
      <c r="BM700" s="2">
        <v>19950000</v>
      </c>
      <c r="BN700">
        <f>InvoiceTable[[#This Row],[Giảm giá]]*InvoiceTable[[#This Row],[Số lượng]]</f>
        <v>0</v>
      </c>
    </row>
    <row r="701" spans="1:66" x14ac:dyDescent="0.25">
      <c r="A701" t="s">
        <v>65</v>
      </c>
      <c r="B701" t="s">
        <v>2365</v>
      </c>
      <c r="F701" s="2"/>
      <c r="G701" s="3">
        <v>46008.736882442128</v>
      </c>
      <c r="H701" s="3">
        <v>46008.736882604164</v>
      </c>
      <c r="I701" s="4" t="s">
        <v>67</v>
      </c>
      <c r="J701" t="s">
        <v>67</v>
      </c>
      <c r="K701" t="s">
        <v>67</v>
      </c>
      <c r="L701" t="s">
        <v>2366</v>
      </c>
      <c r="M701" t="s">
        <v>2367</v>
      </c>
      <c r="N701" t="s">
        <v>67</v>
      </c>
      <c r="S701" s="5"/>
      <c r="T701" t="s">
        <v>72</v>
      </c>
      <c r="U701" t="s">
        <v>87</v>
      </c>
      <c r="V701" t="s">
        <v>74</v>
      </c>
      <c r="W701" t="s">
        <v>87</v>
      </c>
      <c r="AE701" s="2"/>
      <c r="AF701" s="2"/>
      <c r="AG701" s="2"/>
      <c r="AH701" s="2"/>
      <c r="AL701" s="2">
        <v>5164640</v>
      </c>
      <c r="AM701" s="2">
        <v>0</v>
      </c>
      <c r="AN701" s="2"/>
      <c r="AO701" s="2">
        <v>0</v>
      </c>
      <c r="AP701" s="2">
        <v>5164640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4"/>
      <c r="AX701" t="s">
        <v>75</v>
      </c>
      <c r="AZ701" t="s">
        <v>1268</v>
      </c>
      <c r="BA701" t="s">
        <v>67</v>
      </c>
      <c r="BB701" t="s">
        <v>1269</v>
      </c>
      <c r="BC701" t="s">
        <v>770</v>
      </c>
      <c r="BD701" t="s">
        <v>79</v>
      </c>
      <c r="BE701" t="s">
        <v>715</v>
      </c>
      <c r="BF701" s="5">
        <v>46631</v>
      </c>
      <c r="BH701">
        <v>5</v>
      </c>
      <c r="BI701" s="6">
        <v>690000</v>
      </c>
      <c r="BJ701" s="6">
        <v>48</v>
      </c>
      <c r="BK701" s="6">
        <v>331200</v>
      </c>
      <c r="BL701" s="6">
        <v>358800</v>
      </c>
      <c r="BM701" s="2">
        <v>1794000</v>
      </c>
      <c r="BN701">
        <f>InvoiceTable[[#This Row],[Giảm giá]]*InvoiceTable[[#This Row],[Số lượng]]</f>
        <v>1656000</v>
      </c>
    </row>
    <row r="702" spans="1:66" x14ac:dyDescent="0.25">
      <c r="A702" t="s">
        <v>65</v>
      </c>
      <c r="B702" t="s">
        <v>2365</v>
      </c>
      <c r="F702" s="2"/>
      <c r="G702" s="3">
        <v>46008.736882442128</v>
      </c>
      <c r="H702" s="3">
        <v>46008.736882604164</v>
      </c>
      <c r="I702" s="4" t="s">
        <v>67</v>
      </c>
      <c r="J702" t="s">
        <v>67</v>
      </c>
      <c r="K702" t="s">
        <v>67</v>
      </c>
      <c r="L702" t="s">
        <v>2366</v>
      </c>
      <c r="M702" t="s">
        <v>2367</v>
      </c>
      <c r="N702" t="s">
        <v>67</v>
      </c>
      <c r="S702" s="5"/>
      <c r="T702" t="s">
        <v>72</v>
      </c>
      <c r="U702" t="s">
        <v>87</v>
      </c>
      <c r="V702" t="s">
        <v>74</v>
      </c>
      <c r="W702" t="s">
        <v>87</v>
      </c>
      <c r="AE702" s="2"/>
      <c r="AF702" s="2"/>
      <c r="AG702" s="2"/>
      <c r="AH702" s="2"/>
      <c r="AL702" s="2">
        <v>5164640</v>
      </c>
      <c r="AM702" s="2">
        <v>0</v>
      </c>
      <c r="AN702" s="2"/>
      <c r="AO702" s="2">
        <v>0</v>
      </c>
      <c r="AP702" s="2">
        <v>5164640</v>
      </c>
      <c r="AQ702" s="2">
        <v>0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4"/>
      <c r="AX702" t="s">
        <v>75</v>
      </c>
      <c r="AZ702" t="s">
        <v>1215</v>
      </c>
      <c r="BA702" t="s">
        <v>67</v>
      </c>
      <c r="BB702" t="s">
        <v>1216</v>
      </c>
      <c r="BC702" t="s">
        <v>770</v>
      </c>
      <c r="BD702" t="s">
        <v>79</v>
      </c>
      <c r="BE702" t="s">
        <v>198</v>
      </c>
      <c r="BF702" s="5">
        <v>46753</v>
      </c>
      <c r="BH702">
        <v>8</v>
      </c>
      <c r="BI702" s="6">
        <v>250000</v>
      </c>
      <c r="BJ702" s="6">
        <v>48</v>
      </c>
      <c r="BK702" s="6">
        <v>120000</v>
      </c>
      <c r="BL702" s="6">
        <v>130000</v>
      </c>
      <c r="BM702" s="2">
        <v>1040000</v>
      </c>
      <c r="BN702">
        <f>InvoiceTable[[#This Row],[Giảm giá]]*InvoiceTable[[#This Row],[Số lượng]]</f>
        <v>960000</v>
      </c>
    </row>
    <row r="703" spans="1:66" x14ac:dyDescent="0.25">
      <c r="A703" t="s">
        <v>65</v>
      </c>
      <c r="B703" t="s">
        <v>2365</v>
      </c>
      <c r="F703" s="2"/>
      <c r="G703" s="3">
        <v>46008.736882442128</v>
      </c>
      <c r="H703" s="3">
        <v>46008.736882604164</v>
      </c>
      <c r="I703" s="4" t="s">
        <v>67</v>
      </c>
      <c r="J703" t="s">
        <v>67</v>
      </c>
      <c r="K703" t="s">
        <v>67</v>
      </c>
      <c r="L703" t="s">
        <v>2366</v>
      </c>
      <c r="M703" t="s">
        <v>2367</v>
      </c>
      <c r="N703" t="s">
        <v>67</v>
      </c>
      <c r="S703" s="5"/>
      <c r="T703" t="s">
        <v>72</v>
      </c>
      <c r="U703" t="s">
        <v>87</v>
      </c>
      <c r="V703" t="s">
        <v>74</v>
      </c>
      <c r="W703" t="s">
        <v>87</v>
      </c>
      <c r="AE703" s="2"/>
      <c r="AF703" s="2"/>
      <c r="AG703" s="2"/>
      <c r="AH703" s="2"/>
      <c r="AL703" s="2">
        <v>5164640</v>
      </c>
      <c r="AM703" s="2">
        <v>0</v>
      </c>
      <c r="AN703" s="2"/>
      <c r="AO703" s="2">
        <v>0</v>
      </c>
      <c r="AP703" s="2">
        <v>5164640</v>
      </c>
      <c r="AQ703" s="2">
        <v>0</v>
      </c>
      <c r="AR703" s="2">
        <v>0</v>
      </c>
      <c r="AS703" s="2">
        <v>0</v>
      </c>
      <c r="AT703" s="2">
        <v>0</v>
      </c>
      <c r="AU703" s="2">
        <v>0</v>
      </c>
      <c r="AV703" s="2">
        <v>0</v>
      </c>
      <c r="AW703" s="4"/>
      <c r="AX703" t="s">
        <v>75</v>
      </c>
      <c r="AZ703" t="s">
        <v>2368</v>
      </c>
      <c r="BA703" t="s">
        <v>67</v>
      </c>
      <c r="BB703" t="s">
        <v>2369</v>
      </c>
      <c r="BC703" t="s">
        <v>770</v>
      </c>
      <c r="BD703" t="s">
        <v>79</v>
      </c>
      <c r="BE703" t="s">
        <v>810</v>
      </c>
      <c r="BF703" s="5">
        <v>46539</v>
      </c>
      <c r="BG703" t="s">
        <v>67</v>
      </c>
      <c r="BH703">
        <v>1</v>
      </c>
      <c r="BI703" s="6">
        <v>950000</v>
      </c>
      <c r="BJ703" s="6">
        <v>48</v>
      </c>
      <c r="BK703" s="6">
        <v>456000</v>
      </c>
      <c r="BL703" s="6">
        <v>494000</v>
      </c>
      <c r="BM703" s="2">
        <v>494000</v>
      </c>
      <c r="BN703">
        <f>InvoiceTable[[#This Row],[Giảm giá]]*InvoiceTable[[#This Row],[Số lượng]]</f>
        <v>456000</v>
      </c>
    </row>
    <row r="704" spans="1:66" x14ac:dyDescent="0.25">
      <c r="A704" t="s">
        <v>65</v>
      </c>
      <c r="B704" t="s">
        <v>2365</v>
      </c>
      <c r="F704" s="2"/>
      <c r="G704" s="3">
        <v>46008.736882442128</v>
      </c>
      <c r="H704" s="3">
        <v>46008.736882604164</v>
      </c>
      <c r="I704" s="4" t="s">
        <v>67</v>
      </c>
      <c r="J704" t="s">
        <v>67</v>
      </c>
      <c r="K704" t="s">
        <v>67</v>
      </c>
      <c r="L704" t="s">
        <v>2366</v>
      </c>
      <c r="M704" t="s">
        <v>2367</v>
      </c>
      <c r="N704" t="s">
        <v>67</v>
      </c>
      <c r="S704" s="5"/>
      <c r="T704" t="s">
        <v>72</v>
      </c>
      <c r="U704" t="s">
        <v>87</v>
      </c>
      <c r="V704" t="s">
        <v>74</v>
      </c>
      <c r="W704" t="s">
        <v>87</v>
      </c>
      <c r="AE704" s="2"/>
      <c r="AF704" s="2"/>
      <c r="AG704" s="2"/>
      <c r="AH704" s="2"/>
      <c r="AL704" s="2">
        <v>5164640</v>
      </c>
      <c r="AM704" s="2">
        <v>0</v>
      </c>
      <c r="AN704" s="2"/>
      <c r="AO704" s="2">
        <v>0</v>
      </c>
      <c r="AP704" s="2">
        <v>5164640</v>
      </c>
      <c r="AQ704" s="2">
        <v>0</v>
      </c>
      <c r="AR704" s="2">
        <v>0</v>
      </c>
      <c r="AS704" s="2">
        <v>0</v>
      </c>
      <c r="AT704" s="2">
        <v>0</v>
      </c>
      <c r="AU704" s="2">
        <v>0</v>
      </c>
      <c r="AV704" s="2">
        <v>0</v>
      </c>
      <c r="AW704" s="4"/>
      <c r="AX704" t="s">
        <v>75</v>
      </c>
      <c r="AZ704" t="s">
        <v>2370</v>
      </c>
      <c r="BA704" t="s">
        <v>67</v>
      </c>
      <c r="BB704" t="s">
        <v>2371</v>
      </c>
      <c r="BC704" t="s">
        <v>770</v>
      </c>
      <c r="BD704" t="s">
        <v>79</v>
      </c>
      <c r="BE704" t="s">
        <v>177</v>
      </c>
      <c r="BF704" s="5">
        <v>47027</v>
      </c>
      <c r="BH704">
        <v>3</v>
      </c>
      <c r="BI704" s="6">
        <v>644000</v>
      </c>
      <c r="BJ704" s="6">
        <v>48</v>
      </c>
      <c r="BK704" s="6">
        <v>309120</v>
      </c>
      <c r="BL704" s="6">
        <v>334880</v>
      </c>
      <c r="BM704" s="2">
        <v>1004640</v>
      </c>
      <c r="BN704">
        <f>InvoiceTable[[#This Row],[Giảm giá]]*InvoiceTable[[#This Row],[Số lượng]]</f>
        <v>927360</v>
      </c>
    </row>
    <row r="705" spans="1:66" x14ac:dyDescent="0.25">
      <c r="A705" t="s">
        <v>65</v>
      </c>
      <c r="B705" t="s">
        <v>2365</v>
      </c>
      <c r="F705" s="2"/>
      <c r="G705" s="3">
        <v>46008.736882442128</v>
      </c>
      <c r="H705" s="3">
        <v>46008.736882604164</v>
      </c>
      <c r="I705" s="4" t="s">
        <v>67</v>
      </c>
      <c r="J705" t="s">
        <v>67</v>
      </c>
      <c r="K705" t="s">
        <v>67</v>
      </c>
      <c r="L705" t="s">
        <v>2366</v>
      </c>
      <c r="M705" t="s">
        <v>2367</v>
      </c>
      <c r="N705" t="s">
        <v>67</v>
      </c>
      <c r="S705" s="5"/>
      <c r="T705" t="s">
        <v>72</v>
      </c>
      <c r="U705" t="s">
        <v>87</v>
      </c>
      <c r="V705" t="s">
        <v>74</v>
      </c>
      <c r="W705" t="s">
        <v>87</v>
      </c>
      <c r="AE705" s="2"/>
      <c r="AF705" s="2"/>
      <c r="AG705" s="2"/>
      <c r="AH705" s="2"/>
      <c r="AL705" s="2">
        <v>5164640</v>
      </c>
      <c r="AM705" s="2">
        <v>0</v>
      </c>
      <c r="AN705" s="2"/>
      <c r="AO705" s="2">
        <v>0</v>
      </c>
      <c r="AP705" s="2">
        <v>5164640</v>
      </c>
      <c r="AQ705" s="2">
        <v>0</v>
      </c>
      <c r="AR705" s="2">
        <v>0</v>
      </c>
      <c r="AS705" s="2">
        <v>0</v>
      </c>
      <c r="AT705" s="2">
        <v>0</v>
      </c>
      <c r="AU705" s="2">
        <v>0</v>
      </c>
      <c r="AV705" s="2">
        <v>0</v>
      </c>
      <c r="AW705" s="4"/>
      <c r="AX705" t="s">
        <v>75</v>
      </c>
      <c r="AZ705" t="s">
        <v>1212</v>
      </c>
      <c r="BA705" t="s">
        <v>67</v>
      </c>
      <c r="BB705" t="s">
        <v>1213</v>
      </c>
      <c r="BC705" t="s">
        <v>770</v>
      </c>
      <c r="BD705" t="s">
        <v>79</v>
      </c>
      <c r="BE705" t="s">
        <v>1214</v>
      </c>
      <c r="BF705" s="5">
        <v>47696</v>
      </c>
      <c r="BH705">
        <v>4</v>
      </c>
      <c r="BI705" s="6">
        <v>320000</v>
      </c>
      <c r="BJ705" s="6">
        <v>35</v>
      </c>
      <c r="BK705" s="6">
        <v>112000</v>
      </c>
      <c r="BL705" s="6">
        <v>208000</v>
      </c>
      <c r="BM705" s="2">
        <v>832000</v>
      </c>
      <c r="BN705">
        <f>InvoiceTable[[#This Row],[Giảm giá]]*InvoiceTable[[#This Row],[Số lượng]]</f>
        <v>448000</v>
      </c>
    </row>
    <row r="706" spans="1:66" x14ac:dyDescent="0.25">
      <c r="A706" t="s">
        <v>65</v>
      </c>
      <c r="B706" t="s">
        <v>2372</v>
      </c>
      <c r="F706" s="2"/>
      <c r="G706" s="3">
        <v>46008.735754363428</v>
      </c>
      <c r="H706" s="3">
        <v>46008.735754479167</v>
      </c>
      <c r="I706" s="4" t="s">
        <v>67</v>
      </c>
      <c r="J706" t="s">
        <v>67</v>
      </c>
      <c r="K706" t="s">
        <v>67</v>
      </c>
      <c r="L706" t="s">
        <v>647</v>
      </c>
      <c r="M706" t="s">
        <v>648</v>
      </c>
      <c r="N706" t="s">
        <v>67</v>
      </c>
      <c r="O706" t="s">
        <v>649</v>
      </c>
      <c r="P706" t="s">
        <v>650</v>
      </c>
      <c r="S706" s="5"/>
      <c r="T706" t="s">
        <v>72</v>
      </c>
      <c r="U706" t="s">
        <v>87</v>
      </c>
      <c r="V706" t="s">
        <v>74</v>
      </c>
      <c r="W706" t="s">
        <v>87</v>
      </c>
      <c r="AE706" s="2"/>
      <c r="AF706" s="2"/>
      <c r="AG706" s="2"/>
      <c r="AH706" s="2"/>
      <c r="AL706" s="2">
        <v>22400000</v>
      </c>
      <c r="AM706" s="2">
        <v>11200000</v>
      </c>
      <c r="AN706" s="2"/>
      <c r="AO706" s="2">
        <v>0</v>
      </c>
      <c r="AP706" s="2">
        <v>11200000</v>
      </c>
      <c r="AQ706" s="2">
        <v>0</v>
      </c>
      <c r="AR706" s="2">
        <v>0</v>
      </c>
      <c r="AS706" s="2">
        <v>0</v>
      </c>
      <c r="AT706" s="2">
        <v>0</v>
      </c>
      <c r="AU706" s="2">
        <v>0</v>
      </c>
      <c r="AV706" s="2">
        <v>0</v>
      </c>
      <c r="AW706" s="4"/>
      <c r="AX706" t="s">
        <v>75</v>
      </c>
      <c r="AZ706" t="s">
        <v>1634</v>
      </c>
      <c r="BA706" t="s">
        <v>67</v>
      </c>
      <c r="BB706" t="s">
        <v>1635</v>
      </c>
      <c r="BC706" t="s">
        <v>78</v>
      </c>
      <c r="BD706" t="s">
        <v>79</v>
      </c>
      <c r="BE706" t="s">
        <v>142</v>
      </c>
      <c r="BF706" s="5">
        <v>46844</v>
      </c>
      <c r="BH706">
        <v>60</v>
      </c>
      <c r="BI706" s="6">
        <v>80000</v>
      </c>
      <c r="BJ706" s="6">
        <v>0</v>
      </c>
      <c r="BK706" s="6">
        <v>0</v>
      </c>
      <c r="BL706" s="6">
        <v>80000</v>
      </c>
      <c r="BM706" s="2">
        <v>4800000</v>
      </c>
      <c r="BN706">
        <f>InvoiceTable[[#This Row],[Giảm giá]]*InvoiceTable[[#This Row],[Số lượng]]</f>
        <v>0</v>
      </c>
    </row>
    <row r="707" spans="1:66" x14ac:dyDescent="0.25">
      <c r="A707" t="s">
        <v>65</v>
      </c>
      <c r="B707" t="s">
        <v>2372</v>
      </c>
      <c r="F707" s="2"/>
      <c r="G707" s="3">
        <v>46008.735754363428</v>
      </c>
      <c r="H707" s="3">
        <v>46008.735754479167</v>
      </c>
      <c r="I707" s="4" t="s">
        <v>67</v>
      </c>
      <c r="J707" t="s">
        <v>67</v>
      </c>
      <c r="K707" t="s">
        <v>67</v>
      </c>
      <c r="L707" t="s">
        <v>647</v>
      </c>
      <c r="M707" t="s">
        <v>648</v>
      </c>
      <c r="N707" t="s">
        <v>67</v>
      </c>
      <c r="O707" t="s">
        <v>649</v>
      </c>
      <c r="P707" t="s">
        <v>650</v>
      </c>
      <c r="S707" s="5"/>
      <c r="T707" t="s">
        <v>72</v>
      </c>
      <c r="U707" t="s">
        <v>87</v>
      </c>
      <c r="V707" t="s">
        <v>74</v>
      </c>
      <c r="W707" t="s">
        <v>87</v>
      </c>
      <c r="AE707" s="2"/>
      <c r="AF707" s="2"/>
      <c r="AG707" s="2"/>
      <c r="AH707" s="2"/>
      <c r="AL707" s="2">
        <v>22400000</v>
      </c>
      <c r="AM707" s="2">
        <v>11200000</v>
      </c>
      <c r="AN707" s="2"/>
      <c r="AO707" s="2">
        <v>0</v>
      </c>
      <c r="AP707" s="2">
        <v>11200000</v>
      </c>
      <c r="AQ707" s="2">
        <v>0</v>
      </c>
      <c r="AR707" s="2">
        <v>0</v>
      </c>
      <c r="AS707" s="2">
        <v>0</v>
      </c>
      <c r="AT707" s="2">
        <v>0</v>
      </c>
      <c r="AU707" s="2">
        <v>0</v>
      </c>
      <c r="AV707" s="2">
        <v>0</v>
      </c>
      <c r="AW707" s="4"/>
      <c r="AX707" t="s">
        <v>75</v>
      </c>
      <c r="AZ707" t="s">
        <v>806</v>
      </c>
      <c r="BA707" t="s">
        <v>67</v>
      </c>
      <c r="BB707" t="s">
        <v>807</v>
      </c>
      <c r="BC707" t="s">
        <v>78</v>
      </c>
      <c r="BD707" t="s">
        <v>79</v>
      </c>
      <c r="BE707" t="s">
        <v>188</v>
      </c>
      <c r="BF707" s="5">
        <v>46905</v>
      </c>
      <c r="BH707">
        <v>2</v>
      </c>
      <c r="BI707" s="6">
        <v>5300000</v>
      </c>
      <c r="BJ707" s="6">
        <v>0</v>
      </c>
      <c r="BK707" s="6">
        <v>0</v>
      </c>
      <c r="BL707" s="6">
        <v>5300000</v>
      </c>
      <c r="BM707" s="2">
        <v>10600000</v>
      </c>
      <c r="BN707">
        <f>InvoiceTable[[#This Row],[Giảm giá]]*InvoiceTable[[#This Row],[Số lượng]]</f>
        <v>0</v>
      </c>
    </row>
    <row r="708" spans="1:66" x14ac:dyDescent="0.25">
      <c r="A708" t="s">
        <v>65</v>
      </c>
      <c r="B708" t="s">
        <v>2372</v>
      </c>
      <c r="F708" s="2"/>
      <c r="G708" s="3">
        <v>46008.735754363428</v>
      </c>
      <c r="H708" s="3">
        <v>46008.735754479167</v>
      </c>
      <c r="I708" s="4" t="s">
        <v>67</v>
      </c>
      <c r="J708" t="s">
        <v>67</v>
      </c>
      <c r="K708" t="s">
        <v>67</v>
      </c>
      <c r="L708" t="s">
        <v>647</v>
      </c>
      <c r="M708" t="s">
        <v>648</v>
      </c>
      <c r="N708" t="s">
        <v>67</v>
      </c>
      <c r="O708" t="s">
        <v>649</v>
      </c>
      <c r="P708" t="s">
        <v>650</v>
      </c>
      <c r="S708" s="5"/>
      <c r="T708" t="s">
        <v>72</v>
      </c>
      <c r="U708" t="s">
        <v>87</v>
      </c>
      <c r="V708" t="s">
        <v>74</v>
      </c>
      <c r="W708" t="s">
        <v>87</v>
      </c>
      <c r="AE708" s="2"/>
      <c r="AF708" s="2"/>
      <c r="AG708" s="2"/>
      <c r="AH708" s="2"/>
      <c r="AL708" s="2">
        <v>22400000</v>
      </c>
      <c r="AM708" s="2">
        <v>11200000</v>
      </c>
      <c r="AN708" s="2"/>
      <c r="AO708" s="2">
        <v>0</v>
      </c>
      <c r="AP708" s="2">
        <v>11200000</v>
      </c>
      <c r="AQ708" s="2">
        <v>0</v>
      </c>
      <c r="AR708" s="2">
        <v>0</v>
      </c>
      <c r="AS708" s="2">
        <v>0</v>
      </c>
      <c r="AT708" s="2">
        <v>0</v>
      </c>
      <c r="AU708" s="2">
        <v>0</v>
      </c>
      <c r="AV708" s="2">
        <v>0</v>
      </c>
      <c r="AW708" s="4"/>
      <c r="AX708" t="s">
        <v>75</v>
      </c>
      <c r="AZ708" t="s">
        <v>518</v>
      </c>
      <c r="BA708" t="s">
        <v>67</v>
      </c>
      <c r="BB708" t="s">
        <v>519</v>
      </c>
      <c r="BC708" t="s">
        <v>78</v>
      </c>
      <c r="BD708" t="s">
        <v>79</v>
      </c>
      <c r="BE708" t="s">
        <v>80</v>
      </c>
      <c r="BF708" s="5">
        <v>47300</v>
      </c>
      <c r="BH708">
        <v>2</v>
      </c>
      <c r="BI708" s="6">
        <v>3500000</v>
      </c>
      <c r="BJ708" s="6">
        <v>0</v>
      </c>
      <c r="BK708" s="6">
        <v>0</v>
      </c>
      <c r="BL708" s="6">
        <v>3500000</v>
      </c>
      <c r="BM708" s="2">
        <v>7000000</v>
      </c>
      <c r="BN708">
        <f>InvoiceTable[[#This Row],[Giảm giá]]*InvoiceTable[[#This Row],[Số lượng]]</f>
        <v>0</v>
      </c>
    </row>
    <row r="709" spans="1:66" x14ac:dyDescent="0.25">
      <c r="A709" t="s">
        <v>65</v>
      </c>
      <c r="B709" t="s">
        <v>2373</v>
      </c>
      <c r="F709" s="2"/>
      <c r="G709" s="3">
        <v>46008.735483877317</v>
      </c>
      <c r="H709" s="3">
        <v>46008.735483993056</v>
      </c>
      <c r="I709" s="4" t="s">
        <v>67</v>
      </c>
      <c r="J709" t="s">
        <v>67</v>
      </c>
      <c r="K709" t="s">
        <v>67</v>
      </c>
      <c r="L709" t="s">
        <v>1952</v>
      </c>
      <c r="M709" t="s">
        <v>1953</v>
      </c>
      <c r="N709" t="s">
        <v>67</v>
      </c>
      <c r="Q709" t="s">
        <v>67</v>
      </c>
      <c r="R709" t="s">
        <v>67</v>
      </c>
      <c r="S709" s="5"/>
      <c r="T709" t="s">
        <v>72</v>
      </c>
      <c r="U709" t="s">
        <v>87</v>
      </c>
      <c r="V709" t="s">
        <v>74</v>
      </c>
      <c r="W709" t="s">
        <v>87</v>
      </c>
      <c r="AE709" s="2"/>
      <c r="AF709" s="2"/>
      <c r="AG709" s="2"/>
      <c r="AH709" s="2"/>
      <c r="AK709" t="s">
        <v>354</v>
      </c>
      <c r="AL709" s="2">
        <v>6100000</v>
      </c>
      <c r="AM709" s="2">
        <v>0</v>
      </c>
      <c r="AN709" s="2"/>
      <c r="AO709" s="2">
        <v>0</v>
      </c>
      <c r="AP709" s="2">
        <v>6100000</v>
      </c>
      <c r="AQ709" s="2">
        <v>0</v>
      </c>
      <c r="AR709" s="2">
        <v>0</v>
      </c>
      <c r="AS709" s="2">
        <v>0</v>
      </c>
      <c r="AT709" s="2">
        <v>0</v>
      </c>
      <c r="AU709" s="2">
        <v>0</v>
      </c>
      <c r="AV709" s="2">
        <v>0</v>
      </c>
      <c r="AW709" s="4"/>
      <c r="AX709" t="s">
        <v>75</v>
      </c>
      <c r="AZ709" t="s">
        <v>129</v>
      </c>
      <c r="BA709" t="s">
        <v>67</v>
      </c>
      <c r="BB709" t="s">
        <v>130</v>
      </c>
      <c r="BC709" t="s">
        <v>78</v>
      </c>
      <c r="BD709" t="s">
        <v>79</v>
      </c>
      <c r="BE709" t="s">
        <v>131</v>
      </c>
      <c r="BF709" s="5">
        <v>46874</v>
      </c>
      <c r="BG709" t="s">
        <v>67</v>
      </c>
      <c r="BH709">
        <v>4</v>
      </c>
      <c r="BI709" s="6">
        <v>3050000</v>
      </c>
      <c r="BJ709" s="6">
        <v>50</v>
      </c>
      <c r="BK709" s="6">
        <v>1525000</v>
      </c>
      <c r="BL709" s="6">
        <v>1525000</v>
      </c>
      <c r="BM709" s="2">
        <v>6100000</v>
      </c>
      <c r="BN709">
        <f>InvoiceTable[[#This Row],[Giảm giá]]*InvoiceTable[[#This Row],[Số lượng]]</f>
        <v>6100000</v>
      </c>
    </row>
    <row r="710" spans="1:66" x14ac:dyDescent="0.25">
      <c r="A710" t="s">
        <v>65</v>
      </c>
      <c r="B710" t="s">
        <v>2374</v>
      </c>
      <c r="F710" s="2"/>
      <c r="G710" s="3">
        <v>46008.73504201389</v>
      </c>
      <c r="H710" s="3">
        <v>46009.429257870368</v>
      </c>
      <c r="I710" s="4" t="s">
        <v>67</v>
      </c>
      <c r="J710" t="s">
        <v>67</v>
      </c>
      <c r="K710" t="s">
        <v>67</v>
      </c>
      <c r="L710" t="s">
        <v>111</v>
      </c>
      <c r="M710" t="s">
        <v>112</v>
      </c>
      <c r="N710" t="s">
        <v>67</v>
      </c>
      <c r="O710" t="s">
        <v>113</v>
      </c>
      <c r="P710" t="s">
        <v>114</v>
      </c>
      <c r="Q710" t="s">
        <v>67</v>
      </c>
      <c r="R710" t="s">
        <v>67</v>
      </c>
      <c r="S710" s="5"/>
      <c r="T710" t="s">
        <v>72</v>
      </c>
      <c r="U710" t="s">
        <v>87</v>
      </c>
      <c r="V710" t="s">
        <v>74</v>
      </c>
      <c r="W710" t="s">
        <v>87</v>
      </c>
      <c r="AE710" s="2"/>
      <c r="AF710" s="2"/>
      <c r="AG710" s="2"/>
      <c r="AH710" s="2"/>
      <c r="AL710" s="2">
        <v>16350000</v>
      </c>
      <c r="AM710" s="2">
        <v>8175000</v>
      </c>
      <c r="AN710" s="2"/>
      <c r="AO710" s="2">
        <v>0</v>
      </c>
      <c r="AP710" s="2">
        <v>8175000</v>
      </c>
      <c r="AQ710" s="2">
        <v>0</v>
      </c>
      <c r="AR710" s="2">
        <v>0</v>
      </c>
      <c r="AS710" s="2">
        <v>0</v>
      </c>
      <c r="AT710" s="2">
        <v>0</v>
      </c>
      <c r="AU710" s="2">
        <v>0</v>
      </c>
      <c r="AV710" s="2">
        <v>0</v>
      </c>
      <c r="AW710" s="4"/>
      <c r="AX710" t="s">
        <v>75</v>
      </c>
      <c r="AZ710" t="s">
        <v>1412</v>
      </c>
      <c r="BA710" t="s">
        <v>67</v>
      </c>
      <c r="BB710" t="s">
        <v>1413</v>
      </c>
      <c r="BC710" t="s">
        <v>78</v>
      </c>
      <c r="BD710" t="s">
        <v>79</v>
      </c>
      <c r="BE710" t="s">
        <v>159</v>
      </c>
      <c r="BF710" s="5">
        <v>46478</v>
      </c>
      <c r="BG710" t="s">
        <v>67</v>
      </c>
      <c r="BH710">
        <v>2</v>
      </c>
      <c r="BI710" s="6">
        <v>4800000</v>
      </c>
      <c r="BJ710" s="6">
        <v>0</v>
      </c>
      <c r="BK710" s="6">
        <v>0</v>
      </c>
      <c r="BL710" s="6">
        <v>4800000</v>
      </c>
      <c r="BM710" s="2">
        <v>9600000</v>
      </c>
      <c r="BN710">
        <f>InvoiceTable[[#This Row],[Giảm giá]]*InvoiceTable[[#This Row],[Số lượng]]</f>
        <v>0</v>
      </c>
    </row>
    <row r="711" spans="1:66" x14ac:dyDescent="0.25">
      <c r="A711" t="s">
        <v>65</v>
      </c>
      <c r="B711" t="s">
        <v>2374</v>
      </c>
      <c r="F711" s="2"/>
      <c r="G711" s="3">
        <v>46008.73504201389</v>
      </c>
      <c r="H711" s="3">
        <v>46009.429257870368</v>
      </c>
      <c r="I711" s="4" t="s">
        <v>67</v>
      </c>
      <c r="J711" t="s">
        <v>67</v>
      </c>
      <c r="K711" t="s">
        <v>67</v>
      </c>
      <c r="L711" t="s">
        <v>111</v>
      </c>
      <c r="M711" t="s">
        <v>112</v>
      </c>
      <c r="N711" t="s">
        <v>67</v>
      </c>
      <c r="O711" t="s">
        <v>113</v>
      </c>
      <c r="P711" t="s">
        <v>114</v>
      </c>
      <c r="Q711" t="s">
        <v>67</v>
      </c>
      <c r="R711" t="s">
        <v>67</v>
      </c>
      <c r="S711" s="5"/>
      <c r="T711" t="s">
        <v>72</v>
      </c>
      <c r="U711" t="s">
        <v>87</v>
      </c>
      <c r="V711" t="s">
        <v>74</v>
      </c>
      <c r="W711" t="s">
        <v>87</v>
      </c>
      <c r="AE711" s="2"/>
      <c r="AF711" s="2"/>
      <c r="AG711" s="2"/>
      <c r="AH711" s="2"/>
      <c r="AL711" s="2">
        <v>16350000</v>
      </c>
      <c r="AM711" s="2">
        <v>8175000</v>
      </c>
      <c r="AN711" s="2"/>
      <c r="AO711" s="2">
        <v>0</v>
      </c>
      <c r="AP711" s="2">
        <v>8175000</v>
      </c>
      <c r="AQ711" s="2">
        <v>0</v>
      </c>
      <c r="AR711" s="2">
        <v>0</v>
      </c>
      <c r="AS711" s="2">
        <v>0</v>
      </c>
      <c r="AT711" s="2">
        <v>0</v>
      </c>
      <c r="AU711" s="2">
        <v>0</v>
      </c>
      <c r="AV711" s="2">
        <v>0</v>
      </c>
      <c r="AW711" s="4"/>
      <c r="AX711" t="s">
        <v>75</v>
      </c>
      <c r="AZ711" t="s">
        <v>1402</v>
      </c>
      <c r="BA711" t="s">
        <v>67</v>
      </c>
      <c r="BB711" t="s">
        <v>1403</v>
      </c>
      <c r="BC711" t="s">
        <v>138</v>
      </c>
      <c r="BD711" t="s">
        <v>79</v>
      </c>
      <c r="BE711" t="s">
        <v>434</v>
      </c>
      <c r="BF711" s="5">
        <v>46661</v>
      </c>
      <c r="BH711">
        <v>1</v>
      </c>
      <c r="BI711" s="6">
        <v>1350000</v>
      </c>
      <c r="BJ711" s="6">
        <v>0</v>
      </c>
      <c r="BK711" s="6">
        <v>0</v>
      </c>
      <c r="BL711" s="6">
        <v>1350000</v>
      </c>
      <c r="BM711" s="2">
        <v>1350000</v>
      </c>
      <c r="BN711">
        <f>InvoiceTable[[#This Row],[Giảm giá]]*InvoiceTable[[#This Row],[Số lượng]]</f>
        <v>0</v>
      </c>
    </row>
    <row r="712" spans="1:66" x14ac:dyDescent="0.25">
      <c r="A712" t="s">
        <v>65</v>
      </c>
      <c r="B712" t="s">
        <v>2374</v>
      </c>
      <c r="F712" s="2"/>
      <c r="G712" s="3">
        <v>46008.73504201389</v>
      </c>
      <c r="H712" s="3">
        <v>46009.429257870368</v>
      </c>
      <c r="I712" s="4" t="s">
        <v>67</v>
      </c>
      <c r="J712" t="s">
        <v>67</v>
      </c>
      <c r="K712" t="s">
        <v>67</v>
      </c>
      <c r="L712" t="s">
        <v>111</v>
      </c>
      <c r="M712" t="s">
        <v>112</v>
      </c>
      <c r="N712" t="s">
        <v>67</v>
      </c>
      <c r="O712" t="s">
        <v>113</v>
      </c>
      <c r="P712" t="s">
        <v>114</v>
      </c>
      <c r="Q712" t="s">
        <v>67</v>
      </c>
      <c r="R712" t="s">
        <v>67</v>
      </c>
      <c r="S712" s="5"/>
      <c r="T712" t="s">
        <v>72</v>
      </c>
      <c r="U712" t="s">
        <v>87</v>
      </c>
      <c r="V712" t="s">
        <v>74</v>
      </c>
      <c r="W712" t="s">
        <v>87</v>
      </c>
      <c r="AE712" s="2"/>
      <c r="AF712" s="2"/>
      <c r="AG712" s="2"/>
      <c r="AH712" s="2"/>
      <c r="AL712" s="2">
        <v>16350000</v>
      </c>
      <c r="AM712" s="2">
        <v>8175000</v>
      </c>
      <c r="AN712" s="2"/>
      <c r="AO712" s="2">
        <v>0</v>
      </c>
      <c r="AP712" s="2">
        <v>8175000</v>
      </c>
      <c r="AQ712" s="2">
        <v>0</v>
      </c>
      <c r="AR712" s="2">
        <v>0</v>
      </c>
      <c r="AS712" s="2">
        <v>0</v>
      </c>
      <c r="AT712" s="2">
        <v>0</v>
      </c>
      <c r="AU712" s="2">
        <v>0</v>
      </c>
      <c r="AV712" s="2">
        <v>0</v>
      </c>
      <c r="AW712" s="4"/>
      <c r="AX712" t="s">
        <v>75</v>
      </c>
      <c r="AZ712" t="s">
        <v>1961</v>
      </c>
      <c r="BB712" t="s">
        <v>1962</v>
      </c>
      <c r="BC712" t="s">
        <v>78</v>
      </c>
      <c r="BD712" t="s">
        <v>79</v>
      </c>
      <c r="BE712" t="s">
        <v>106</v>
      </c>
      <c r="BF712" s="5">
        <v>46327</v>
      </c>
      <c r="BG712" t="s">
        <v>67</v>
      </c>
      <c r="BH712">
        <v>2</v>
      </c>
      <c r="BI712" s="6">
        <v>2700000</v>
      </c>
      <c r="BJ712" s="6">
        <v>0</v>
      </c>
      <c r="BK712" s="6">
        <v>0</v>
      </c>
      <c r="BL712" s="6">
        <v>2700000</v>
      </c>
      <c r="BM712" s="2">
        <v>5400000</v>
      </c>
      <c r="BN712">
        <f>InvoiceTable[[#This Row],[Giảm giá]]*InvoiceTable[[#This Row],[Số lượng]]</f>
        <v>0</v>
      </c>
    </row>
    <row r="713" spans="1:66" x14ac:dyDescent="0.25">
      <c r="A713" t="s">
        <v>65</v>
      </c>
      <c r="B713" t="s">
        <v>2375</v>
      </c>
      <c r="F713" s="2"/>
      <c r="G713" s="3">
        <v>46008.731385497682</v>
      </c>
      <c r="H713" s="3">
        <v>46008.731385567131</v>
      </c>
      <c r="I713" s="4" t="s">
        <v>67</v>
      </c>
      <c r="J713" t="s">
        <v>67</v>
      </c>
      <c r="K713" t="s">
        <v>67</v>
      </c>
      <c r="L713" t="s">
        <v>2376</v>
      </c>
      <c r="M713" t="s">
        <v>2377</v>
      </c>
      <c r="N713" t="s">
        <v>67</v>
      </c>
      <c r="O713" t="s">
        <v>2378</v>
      </c>
      <c r="P713" t="s">
        <v>2379</v>
      </c>
      <c r="Q713" t="s">
        <v>67</v>
      </c>
      <c r="R713" t="s">
        <v>67</v>
      </c>
      <c r="S713" s="5"/>
      <c r="T713" t="s">
        <v>72</v>
      </c>
      <c r="U713" t="s">
        <v>87</v>
      </c>
      <c r="V713" t="s">
        <v>74</v>
      </c>
      <c r="W713" t="s">
        <v>87</v>
      </c>
      <c r="AE713" s="2"/>
      <c r="AF713" s="2"/>
      <c r="AG713" s="2"/>
      <c r="AH713" s="2"/>
      <c r="AL713" s="2">
        <v>2108160</v>
      </c>
      <c r="AM713" s="2">
        <v>0</v>
      </c>
      <c r="AN713" s="2"/>
      <c r="AO713" s="2">
        <v>0</v>
      </c>
      <c r="AP713" s="2">
        <v>2108160</v>
      </c>
      <c r="AQ713" s="2">
        <v>0</v>
      </c>
      <c r="AR713" s="2">
        <v>0</v>
      </c>
      <c r="AS713" s="2">
        <v>0</v>
      </c>
      <c r="AT713" s="2">
        <v>0</v>
      </c>
      <c r="AU713" s="2">
        <v>0</v>
      </c>
      <c r="AV713" s="2">
        <v>0</v>
      </c>
      <c r="AW713" s="4"/>
      <c r="AX713" t="s">
        <v>75</v>
      </c>
      <c r="AZ713" t="s">
        <v>1784</v>
      </c>
      <c r="BA713" t="s">
        <v>67</v>
      </c>
      <c r="BB713" t="s">
        <v>1785</v>
      </c>
      <c r="BC713" t="s">
        <v>1786</v>
      </c>
      <c r="BD713" t="s">
        <v>79</v>
      </c>
      <c r="BE713" t="s">
        <v>378</v>
      </c>
      <c r="BF713" s="5">
        <v>46997</v>
      </c>
      <c r="BH713">
        <v>2</v>
      </c>
      <c r="BI713" s="6">
        <v>972000</v>
      </c>
      <c r="BJ713" s="6">
        <v>38</v>
      </c>
      <c r="BK713" s="6">
        <v>369360</v>
      </c>
      <c r="BL713" s="6">
        <v>602640</v>
      </c>
      <c r="BM713" s="2">
        <v>1205280</v>
      </c>
      <c r="BN713">
        <f>InvoiceTable[[#This Row],[Giảm giá]]*InvoiceTable[[#This Row],[Số lượng]]</f>
        <v>738720</v>
      </c>
    </row>
    <row r="714" spans="1:66" x14ac:dyDescent="0.25">
      <c r="A714" t="s">
        <v>65</v>
      </c>
      <c r="B714" t="s">
        <v>2375</v>
      </c>
      <c r="F714" s="2"/>
      <c r="G714" s="3">
        <v>46008.731385497682</v>
      </c>
      <c r="H714" s="3">
        <v>46008.731385567131</v>
      </c>
      <c r="I714" s="4" t="s">
        <v>67</v>
      </c>
      <c r="J714" t="s">
        <v>67</v>
      </c>
      <c r="K714" t="s">
        <v>67</v>
      </c>
      <c r="L714" t="s">
        <v>2376</v>
      </c>
      <c r="M714" t="s">
        <v>2377</v>
      </c>
      <c r="N714" t="s">
        <v>67</v>
      </c>
      <c r="O714" t="s">
        <v>2378</v>
      </c>
      <c r="P714" t="s">
        <v>2379</v>
      </c>
      <c r="Q714" t="s">
        <v>67</v>
      </c>
      <c r="R714" t="s">
        <v>67</v>
      </c>
      <c r="S714" s="5"/>
      <c r="T714" t="s">
        <v>72</v>
      </c>
      <c r="U714" t="s">
        <v>87</v>
      </c>
      <c r="V714" t="s">
        <v>74</v>
      </c>
      <c r="W714" t="s">
        <v>87</v>
      </c>
      <c r="AE714" s="2"/>
      <c r="AF714" s="2"/>
      <c r="AG714" s="2"/>
      <c r="AH714" s="2"/>
      <c r="AL714" s="2">
        <v>2108160</v>
      </c>
      <c r="AM714" s="2">
        <v>0</v>
      </c>
      <c r="AN714" s="2"/>
      <c r="AO714" s="2">
        <v>0</v>
      </c>
      <c r="AP714" s="2">
        <v>2108160</v>
      </c>
      <c r="AQ714" s="2">
        <v>0</v>
      </c>
      <c r="AR714" s="2">
        <v>0</v>
      </c>
      <c r="AS714" s="2">
        <v>0</v>
      </c>
      <c r="AT714" s="2">
        <v>0</v>
      </c>
      <c r="AU714" s="2">
        <v>0</v>
      </c>
      <c r="AV714" s="2">
        <v>0</v>
      </c>
      <c r="AW714" s="4"/>
      <c r="AX714" t="s">
        <v>75</v>
      </c>
      <c r="AZ714" t="s">
        <v>2380</v>
      </c>
      <c r="BA714" t="s">
        <v>67</v>
      </c>
      <c r="BB714" t="s">
        <v>2381</v>
      </c>
      <c r="BC714" t="s">
        <v>2382</v>
      </c>
      <c r="BD714" t="s">
        <v>79</v>
      </c>
      <c r="BE714" t="s">
        <v>117</v>
      </c>
      <c r="BF714" s="5">
        <v>46569</v>
      </c>
      <c r="BG714" t="s">
        <v>67</v>
      </c>
      <c r="BH714">
        <v>2</v>
      </c>
      <c r="BI714" s="6">
        <v>627000</v>
      </c>
      <c r="BJ714" s="6">
        <v>28</v>
      </c>
      <c r="BK714" s="6">
        <v>175560</v>
      </c>
      <c r="BL714" s="6">
        <v>451440</v>
      </c>
      <c r="BM714" s="2">
        <v>902880</v>
      </c>
      <c r="BN714">
        <f>InvoiceTable[[#This Row],[Giảm giá]]*InvoiceTable[[#This Row],[Số lượng]]</f>
        <v>351120</v>
      </c>
    </row>
    <row r="715" spans="1:66" x14ac:dyDescent="0.25">
      <c r="A715" t="s">
        <v>65</v>
      </c>
      <c r="B715" t="s">
        <v>2383</v>
      </c>
      <c r="F715" s="2"/>
      <c r="G715" s="3">
        <v>46008.728990856478</v>
      </c>
      <c r="H715" s="3">
        <v>46008.72896778935</v>
      </c>
      <c r="I715" s="4" t="s">
        <v>2290</v>
      </c>
      <c r="J715" t="s">
        <v>67</v>
      </c>
      <c r="K715" t="s">
        <v>67</v>
      </c>
      <c r="L715" t="s">
        <v>1530</v>
      </c>
      <c r="M715" t="s">
        <v>1531</v>
      </c>
      <c r="N715" t="s">
        <v>67</v>
      </c>
      <c r="O715" t="s">
        <v>1532</v>
      </c>
      <c r="P715" t="s">
        <v>1533</v>
      </c>
      <c r="S715" s="5"/>
      <c r="T715" t="s">
        <v>72</v>
      </c>
      <c r="U715" t="s">
        <v>87</v>
      </c>
      <c r="V715" t="s">
        <v>74</v>
      </c>
      <c r="W715" t="s">
        <v>87</v>
      </c>
      <c r="AE715" s="2"/>
      <c r="AF715" s="2"/>
      <c r="AG715" s="2"/>
      <c r="AH715" s="2"/>
      <c r="AL715" s="2">
        <v>2016000</v>
      </c>
      <c r="AM715" s="2">
        <v>0</v>
      </c>
      <c r="AN715" s="2"/>
      <c r="AO715" s="2">
        <v>0</v>
      </c>
      <c r="AP715" s="2">
        <v>2016000</v>
      </c>
      <c r="AQ715" s="2">
        <v>0</v>
      </c>
      <c r="AR715" s="2">
        <v>0</v>
      </c>
      <c r="AS715" s="2">
        <v>0</v>
      </c>
      <c r="AT715" s="2">
        <v>0</v>
      </c>
      <c r="AU715" s="2">
        <v>0</v>
      </c>
      <c r="AV715" s="2">
        <v>0</v>
      </c>
      <c r="AW715" s="4"/>
      <c r="AX715" t="s">
        <v>75</v>
      </c>
      <c r="AZ715" t="s">
        <v>2267</v>
      </c>
      <c r="BA715" t="s">
        <v>67</v>
      </c>
      <c r="BB715" t="s">
        <v>2268</v>
      </c>
      <c r="BC715" t="s">
        <v>2269</v>
      </c>
      <c r="BD715" t="s">
        <v>79</v>
      </c>
      <c r="BE715" t="s">
        <v>198</v>
      </c>
      <c r="BF715" s="5">
        <v>46753</v>
      </c>
      <c r="BH715">
        <v>3</v>
      </c>
      <c r="BI715" s="6">
        <v>890000</v>
      </c>
      <c r="BJ715" s="6">
        <v>0</v>
      </c>
      <c r="BK715" s="6">
        <v>560000</v>
      </c>
      <c r="BL715" s="6">
        <v>330000</v>
      </c>
      <c r="BM715" s="2">
        <v>990000</v>
      </c>
      <c r="BN715">
        <f>InvoiceTable[[#This Row],[Giảm giá]]*InvoiceTable[[#This Row],[Số lượng]]</f>
        <v>1680000</v>
      </c>
    </row>
    <row r="716" spans="1:66" x14ac:dyDescent="0.25">
      <c r="A716" t="s">
        <v>65</v>
      </c>
      <c r="B716" t="s">
        <v>2383</v>
      </c>
      <c r="F716" s="2"/>
      <c r="G716" s="3">
        <v>46008.728990856478</v>
      </c>
      <c r="H716" s="3">
        <v>46008.72896778935</v>
      </c>
      <c r="I716" s="4" t="s">
        <v>2290</v>
      </c>
      <c r="J716" t="s">
        <v>67</v>
      </c>
      <c r="K716" t="s">
        <v>67</v>
      </c>
      <c r="L716" t="s">
        <v>1530</v>
      </c>
      <c r="M716" t="s">
        <v>1531</v>
      </c>
      <c r="N716" t="s">
        <v>67</v>
      </c>
      <c r="O716" t="s">
        <v>1532</v>
      </c>
      <c r="P716" t="s">
        <v>1533</v>
      </c>
      <c r="S716" s="5"/>
      <c r="T716" t="s">
        <v>72</v>
      </c>
      <c r="U716" t="s">
        <v>87</v>
      </c>
      <c r="V716" t="s">
        <v>74</v>
      </c>
      <c r="W716" t="s">
        <v>87</v>
      </c>
      <c r="AE716" s="2"/>
      <c r="AF716" s="2"/>
      <c r="AG716" s="2"/>
      <c r="AH716" s="2"/>
      <c r="AL716" s="2">
        <v>2016000</v>
      </c>
      <c r="AM716" s="2">
        <v>0</v>
      </c>
      <c r="AN716" s="2"/>
      <c r="AO716" s="2">
        <v>0</v>
      </c>
      <c r="AP716" s="2">
        <v>2016000</v>
      </c>
      <c r="AQ716" s="2">
        <v>0</v>
      </c>
      <c r="AR716" s="2">
        <v>0</v>
      </c>
      <c r="AS716" s="2">
        <v>0</v>
      </c>
      <c r="AT716" s="2">
        <v>0</v>
      </c>
      <c r="AU716" s="2">
        <v>0</v>
      </c>
      <c r="AV716" s="2">
        <v>0</v>
      </c>
      <c r="AW716" s="4"/>
      <c r="AX716" t="s">
        <v>75</v>
      </c>
      <c r="AZ716" t="s">
        <v>483</v>
      </c>
      <c r="BA716" t="s">
        <v>67</v>
      </c>
      <c r="BB716" t="s">
        <v>484</v>
      </c>
      <c r="BC716" t="s">
        <v>485</v>
      </c>
      <c r="BD716" t="s">
        <v>79</v>
      </c>
      <c r="BE716" t="s">
        <v>117</v>
      </c>
      <c r="BF716" s="5">
        <v>46569</v>
      </c>
      <c r="BH716">
        <v>1</v>
      </c>
      <c r="BI716" s="6">
        <v>600000</v>
      </c>
      <c r="BJ716" s="6">
        <v>43</v>
      </c>
      <c r="BK716" s="6">
        <v>258000</v>
      </c>
      <c r="BL716" s="6">
        <v>342000</v>
      </c>
      <c r="BM716" s="2">
        <v>342000</v>
      </c>
      <c r="BN716">
        <f>InvoiceTable[[#This Row],[Giảm giá]]*InvoiceTable[[#This Row],[Số lượng]]</f>
        <v>258000</v>
      </c>
    </row>
    <row r="717" spans="1:66" x14ac:dyDescent="0.25">
      <c r="A717" t="s">
        <v>65</v>
      </c>
      <c r="B717" t="s">
        <v>2383</v>
      </c>
      <c r="F717" s="2"/>
      <c r="G717" s="3">
        <v>46008.728990856478</v>
      </c>
      <c r="H717" s="3">
        <v>46008.72896778935</v>
      </c>
      <c r="I717" s="4" t="s">
        <v>2290</v>
      </c>
      <c r="J717" t="s">
        <v>67</v>
      </c>
      <c r="K717" t="s">
        <v>67</v>
      </c>
      <c r="L717" t="s">
        <v>1530</v>
      </c>
      <c r="M717" t="s">
        <v>1531</v>
      </c>
      <c r="N717" t="s">
        <v>67</v>
      </c>
      <c r="O717" t="s">
        <v>1532</v>
      </c>
      <c r="P717" t="s">
        <v>1533</v>
      </c>
      <c r="S717" s="5"/>
      <c r="T717" t="s">
        <v>72</v>
      </c>
      <c r="U717" t="s">
        <v>87</v>
      </c>
      <c r="V717" t="s">
        <v>74</v>
      </c>
      <c r="W717" t="s">
        <v>87</v>
      </c>
      <c r="AE717" s="2"/>
      <c r="AF717" s="2"/>
      <c r="AG717" s="2"/>
      <c r="AH717" s="2"/>
      <c r="AL717" s="2">
        <v>2016000</v>
      </c>
      <c r="AM717" s="2">
        <v>0</v>
      </c>
      <c r="AN717" s="2"/>
      <c r="AO717" s="2">
        <v>0</v>
      </c>
      <c r="AP717" s="2">
        <v>2016000</v>
      </c>
      <c r="AQ717" s="2">
        <v>0</v>
      </c>
      <c r="AR717" s="2">
        <v>0</v>
      </c>
      <c r="AS717" s="2">
        <v>0</v>
      </c>
      <c r="AT717" s="2">
        <v>0</v>
      </c>
      <c r="AU717" s="2">
        <v>0</v>
      </c>
      <c r="AV717" s="2">
        <v>0</v>
      </c>
      <c r="AW717" s="4"/>
      <c r="AX717" t="s">
        <v>75</v>
      </c>
      <c r="AZ717" t="s">
        <v>486</v>
      </c>
      <c r="BA717" t="s">
        <v>67</v>
      </c>
      <c r="BB717" t="s">
        <v>487</v>
      </c>
      <c r="BC717" t="s">
        <v>485</v>
      </c>
      <c r="BD717" t="s">
        <v>79</v>
      </c>
      <c r="BE717" t="s">
        <v>488</v>
      </c>
      <c r="BF717" s="5">
        <v>46647</v>
      </c>
      <c r="BH717">
        <v>1</v>
      </c>
      <c r="BI717" s="6">
        <v>600000</v>
      </c>
      <c r="BJ717" s="6">
        <v>43</v>
      </c>
      <c r="BK717" s="6">
        <v>258000</v>
      </c>
      <c r="BL717" s="6">
        <v>342000</v>
      </c>
      <c r="BM717" s="2">
        <v>342000</v>
      </c>
      <c r="BN717">
        <f>InvoiceTable[[#This Row],[Giảm giá]]*InvoiceTable[[#This Row],[Số lượng]]</f>
        <v>258000</v>
      </c>
    </row>
    <row r="718" spans="1:66" x14ac:dyDescent="0.25">
      <c r="A718" t="s">
        <v>65</v>
      </c>
      <c r="B718" t="s">
        <v>2383</v>
      </c>
      <c r="F718" s="2"/>
      <c r="G718" s="3">
        <v>46008.728990856478</v>
      </c>
      <c r="H718" s="3">
        <v>46008.72896778935</v>
      </c>
      <c r="I718" s="4" t="s">
        <v>2290</v>
      </c>
      <c r="J718" t="s">
        <v>67</v>
      </c>
      <c r="K718" t="s">
        <v>67</v>
      </c>
      <c r="L718" t="s">
        <v>1530</v>
      </c>
      <c r="M718" t="s">
        <v>1531</v>
      </c>
      <c r="N718" t="s">
        <v>67</v>
      </c>
      <c r="O718" t="s">
        <v>1532</v>
      </c>
      <c r="P718" t="s">
        <v>1533</v>
      </c>
      <c r="S718" s="5"/>
      <c r="T718" t="s">
        <v>72</v>
      </c>
      <c r="U718" t="s">
        <v>87</v>
      </c>
      <c r="V718" t="s">
        <v>74</v>
      </c>
      <c r="W718" t="s">
        <v>87</v>
      </c>
      <c r="AE718" s="2"/>
      <c r="AF718" s="2"/>
      <c r="AG718" s="2"/>
      <c r="AH718" s="2"/>
      <c r="AL718" s="2">
        <v>2016000</v>
      </c>
      <c r="AM718" s="2">
        <v>0</v>
      </c>
      <c r="AN718" s="2"/>
      <c r="AO718" s="2">
        <v>0</v>
      </c>
      <c r="AP718" s="2">
        <v>2016000</v>
      </c>
      <c r="AQ718" s="2">
        <v>0</v>
      </c>
      <c r="AR718" s="2">
        <v>0</v>
      </c>
      <c r="AS718" s="2">
        <v>0</v>
      </c>
      <c r="AT718" s="2">
        <v>0</v>
      </c>
      <c r="AU718" s="2">
        <v>0</v>
      </c>
      <c r="AV718" s="2">
        <v>0</v>
      </c>
      <c r="AW718" s="4"/>
      <c r="AX718" t="s">
        <v>75</v>
      </c>
      <c r="AZ718" t="s">
        <v>1539</v>
      </c>
      <c r="BA718" t="s">
        <v>67</v>
      </c>
      <c r="BB718" t="s">
        <v>1540</v>
      </c>
      <c r="BC718" t="s">
        <v>485</v>
      </c>
      <c r="BD718" t="s">
        <v>79</v>
      </c>
      <c r="BE718" t="s">
        <v>145</v>
      </c>
      <c r="BF718" s="5">
        <v>46508</v>
      </c>
      <c r="BH718">
        <v>1</v>
      </c>
      <c r="BI718" s="6">
        <v>600000</v>
      </c>
      <c r="BJ718" s="6">
        <v>43</v>
      </c>
      <c r="BK718" s="6">
        <v>258000</v>
      </c>
      <c r="BL718" s="6">
        <v>342000</v>
      </c>
      <c r="BM718" s="2">
        <v>342000</v>
      </c>
      <c r="BN718">
        <f>InvoiceTable[[#This Row],[Giảm giá]]*InvoiceTable[[#This Row],[Số lượng]]</f>
        <v>258000</v>
      </c>
    </row>
    <row r="719" spans="1:66" x14ac:dyDescent="0.25">
      <c r="A719" t="s">
        <v>65</v>
      </c>
      <c r="B719" t="s">
        <v>2384</v>
      </c>
      <c r="F719" s="2"/>
      <c r="G719" s="3">
        <v>46008.728562731485</v>
      </c>
      <c r="H719" s="3">
        <v>46008.728562847224</v>
      </c>
      <c r="I719" s="4" t="s">
        <v>67</v>
      </c>
      <c r="J719" t="s">
        <v>67</v>
      </c>
      <c r="K719" t="s">
        <v>67</v>
      </c>
      <c r="L719" t="s">
        <v>119</v>
      </c>
      <c r="M719" t="s">
        <v>120</v>
      </c>
      <c r="N719" t="s">
        <v>67</v>
      </c>
      <c r="O719" t="s">
        <v>121</v>
      </c>
      <c r="Q719" t="s">
        <v>122</v>
      </c>
      <c r="R719" t="s">
        <v>123</v>
      </c>
      <c r="S719" s="5"/>
      <c r="T719" t="s">
        <v>72</v>
      </c>
      <c r="U719" t="s">
        <v>102</v>
      </c>
      <c r="V719" t="s">
        <v>74</v>
      </c>
      <c r="W719" t="s">
        <v>102</v>
      </c>
      <c r="AE719" s="2"/>
      <c r="AF719" s="2"/>
      <c r="AG719" s="2"/>
      <c r="AH719" s="2"/>
      <c r="AL719" s="2">
        <v>1482000</v>
      </c>
      <c r="AM719" s="2">
        <v>0</v>
      </c>
      <c r="AN719" s="2"/>
      <c r="AO719" s="2">
        <v>0</v>
      </c>
      <c r="AP719" s="2">
        <v>1482000</v>
      </c>
      <c r="AQ719" s="2">
        <v>0</v>
      </c>
      <c r="AR719" s="2">
        <v>0</v>
      </c>
      <c r="AS719" s="2">
        <v>0</v>
      </c>
      <c r="AT719" s="2">
        <v>0</v>
      </c>
      <c r="AU719" s="2">
        <v>0</v>
      </c>
      <c r="AV719" s="2">
        <v>0</v>
      </c>
      <c r="AW719" s="4"/>
      <c r="AX719" t="s">
        <v>75</v>
      </c>
      <c r="AZ719" t="s">
        <v>2385</v>
      </c>
      <c r="BA719" t="s">
        <v>67</v>
      </c>
      <c r="BB719" t="s">
        <v>2386</v>
      </c>
      <c r="BC719" t="s">
        <v>391</v>
      </c>
      <c r="BD719" t="s">
        <v>79</v>
      </c>
      <c r="BE719" t="s">
        <v>2387</v>
      </c>
      <c r="BF719" s="5">
        <v>47320</v>
      </c>
      <c r="BH719">
        <v>1</v>
      </c>
      <c r="BI719" s="6">
        <v>2850000</v>
      </c>
      <c r="BJ719" s="6">
        <v>48</v>
      </c>
      <c r="BK719" s="6">
        <v>1368000</v>
      </c>
      <c r="BL719" s="6">
        <v>1482000</v>
      </c>
      <c r="BM719" s="2">
        <v>1482000</v>
      </c>
      <c r="BN719">
        <f>InvoiceTable[[#This Row],[Giảm giá]]*InvoiceTable[[#This Row],[Số lượng]]</f>
        <v>1368000</v>
      </c>
    </row>
    <row r="720" spans="1:66" x14ac:dyDescent="0.25">
      <c r="A720" t="s">
        <v>65</v>
      </c>
      <c r="B720" t="s">
        <v>2388</v>
      </c>
      <c r="F720" s="2"/>
      <c r="G720" s="3">
        <v>46008.727737766203</v>
      </c>
      <c r="H720" s="3">
        <v>46008.727737881942</v>
      </c>
      <c r="I720" s="4" t="s">
        <v>67</v>
      </c>
      <c r="J720" t="s">
        <v>67</v>
      </c>
      <c r="K720" t="s">
        <v>67</v>
      </c>
      <c r="L720" t="s">
        <v>1530</v>
      </c>
      <c r="M720" t="s">
        <v>1531</v>
      </c>
      <c r="N720" t="s">
        <v>67</v>
      </c>
      <c r="O720" t="s">
        <v>1532</v>
      </c>
      <c r="P720" t="s">
        <v>1533</v>
      </c>
      <c r="S720" s="5"/>
      <c r="T720" t="s">
        <v>72</v>
      </c>
      <c r="U720" t="s">
        <v>87</v>
      </c>
      <c r="V720" t="s">
        <v>74</v>
      </c>
      <c r="W720" t="s">
        <v>87</v>
      </c>
      <c r="AE720" s="2"/>
      <c r="AF720" s="2"/>
      <c r="AG720" s="2"/>
      <c r="AH720" s="2"/>
      <c r="AL720" s="2">
        <v>4148000</v>
      </c>
      <c r="AM720" s="2">
        <v>0</v>
      </c>
      <c r="AN720" s="2"/>
      <c r="AO720" s="2">
        <v>0</v>
      </c>
      <c r="AP720" s="2">
        <v>4148000</v>
      </c>
      <c r="AQ720" s="2">
        <v>0</v>
      </c>
      <c r="AR720" s="2">
        <v>0</v>
      </c>
      <c r="AS720" s="2">
        <v>0</v>
      </c>
      <c r="AT720" s="2">
        <v>0</v>
      </c>
      <c r="AU720" s="2">
        <v>0</v>
      </c>
      <c r="AV720" s="2">
        <v>0</v>
      </c>
      <c r="AW720" s="4"/>
      <c r="AX720" t="s">
        <v>75</v>
      </c>
      <c r="AZ720" t="s">
        <v>659</v>
      </c>
      <c r="BA720" t="s">
        <v>67</v>
      </c>
      <c r="BB720" t="s">
        <v>660</v>
      </c>
      <c r="BC720" t="s">
        <v>223</v>
      </c>
      <c r="BD720" t="s">
        <v>79</v>
      </c>
      <c r="BE720" t="s">
        <v>661</v>
      </c>
      <c r="BF720" s="5">
        <v>47025</v>
      </c>
      <c r="BH720">
        <v>4</v>
      </c>
      <c r="BI720" s="6">
        <v>1250000</v>
      </c>
      <c r="BJ720" s="6">
        <v>47</v>
      </c>
      <c r="BK720" s="6">
        <v>587500</v>
      </c>
      <c r="BL720" s="6">
        <v>662500</v>
      </c>
      <c r="BM720" s="2">
        <v>2650000</v>
      </c>
      <c r="BN720">
        <f>InvoiceTable[[#This Row],[Giảm giá]]*InvoiceTable[[#This Row],[Số lượng]]</f>
        <v>2350000</v>
      </c>
    </row>
    <row r="721" spans="1:66" x14ac:dyDescent="0.25">
      <c r="A721" t="s">
        <v>65</v>
      </c>
      <c r="B721" t="s">
        <v>2388</v>
      </c>
      <c r="F721" s="2"/>
      <c r="G721" s="3">
        <v>46008.727737766203</v>
      </c>
      <c r="H721" s="3">
        <v>46008.727737881942</v>
      </c>
      <c r="I721" s="4" t="s">
        <v>67</v>
      </c>
      <c r="J721" t="s">
        <v>67</v>
      </c>
      <c r="K721" t="s">
        <v>67</v>
      </c>
      <c r="L721" t="s">
        <v>1530</v>
      </c>
      <c r="M721" t="s">
        <v>1531</v>
      </c>
      <c r="N721" t="s">
        <v>67</v>
      </c>
      <c r="O721" t="s">
        <v>1532</v>
      </c>
      <c r="P721" t="s">
        <v>1533</v>
      </c>
      <c r="S721" s="5"/>
      <c r="T721" t="s">
        <v>72</v>
      </c>
      <c r="U721" t="s">
        <v>87</v>
      </c>
      <c r="V721" t="s">
        <v>74</v>
      </c>
      <c r="W721" t="s">
        <v>87</v>
      </c>
      <c r="AE721" s="2"/>
      <c r="AF721" s="2"/>
      <c r="AG721" s="2"/>
      <c r="AH721" s="2"/>
      <c r="AL721" s="2">
        <v>4148000</v>
      </c>
      <c r="AM721" s="2">
        <v>0</v>
      </c>
      <c r="AN721" s="2"/>
      <c r="AO721" s="2">
        <v>0</v>
      </c>
      <c r="AP721" s="2">
        <v>4148000</v>
      </c>
      <c r="AQ721" s="2">
        <v>0</v>
      </c>
      <c r="AR721" s="2">
        <v>0</v>
      </c>
      <c r="AS721" s="2">
        <v>0</v>
      </c>
      <c r="AT721" s="2">
        <v>0</v>
      </c>
      <c r="AU721" s="2">
        <v>0</v>
      </c>
      <c r="AV721" s="2">
        <v>0</v>
      </c>
      <c r="AW721" s="4"/>
      <c r="AX721" t="s">
        <v>75</v>
      </c>
      <c r="AZ721" t="s">
        <v>1665</v>
      </c>
      <c r="BA721" t="s">
        <v>67</v>
      </c>
      <c r="BB721" t="s">
        <v>1666</v>
      </c>
      <c r="BC721" t="s">
        <v>367</v>
      </c>
      <c r="BD721" t="s">
        <v>79</v>
      </c>
      <c r="BE721" t="s">
        <v>228</v>
      </c>
      <c r="BF721" s="5">
        <v>46813</v>
      </c>
      <c r="BH721">
        <v>4</v>
      </c>
      <c r="BI721" s="6">
        <v>535000</v>
      </c>
      <c r="BJ721" s="6">
        <v>30</v>
      </c>
      <c r="BK721" s="6">
        <v>160500</v>
      </c>
      <c r="BL721" s="6">
        <v>374500</v>
      </c>
      <c r="BM721" s="2">
        <v>1498000</v>
      </c>
      <c r="BN721">
        <f>InvoiceTable[[#This Row],[Giảm giá]]*InvoiceTable[[#This Row],[Số lượng]]</f>
        <v>642000</v>
      </c>
    </row>
    <row r="722" spans="1:66" x14ac:dyDescent="0.25">
      <c r="A722" t="s">
        <v>65</v>
      </c>
      <c r="B722" t="s">
        <v>2389</v>
      </c>
      <c r="F722" s="2"/>
      <c r="G722" s="3">
        <v>46008.725941238423</v>
      </c>
      <c r="H722" s="3">
        <v>46008.725941354169</v>
      </c>
      <c r="I722" s="4" t="s">
        <v>67</v>
      </c>
      <c r="J722" t="s">
        <v>2390</v>
      </c>
      <c r="K722" t="s">
        <v>67</v>
      </c>
      <c r="L722" t="s">
        <v>2391</v>
      </c>
      <c r="M722" t="s">
        <v>2392</v>
      </c>
      <c r="N722" t="s">
        <v>67</v>
      </c>
      <c r="O722" t="s">
        <v>2393</v>
      </c>
      <c r="P722" t="s">
        <v>2394</v>
      </c>
      <c r="Q722" t="s">
        <v>1170</v>
      </c>
      <c r="R722" t="s">
        <v>2395</v>
      </c>
      <c r="S722" s="5"/>
      <c r="T722" t="s">
        <v>72</v>
      </c>
      <c r="U722" t="s">
        <v>1031</v>
      </c>
      <c r="V722" t="s">
        <v>74</v>
      </c>
      <c r="W722" t="s">
        <v>87</v>
      </c>
      <c r="AE722" s="2"/>
      <c r="AF722" s="2"/>
      <c r="AG722" s="2"/>
      <c r="AH722" s="2"/>
      <c r="AK722" t="s">
        <v>2396</v>
      </c>
      <c r="AL722" s="2">
        <v>1449500</v>
      </c>
      <c r="AM722" s="2">
        <v>0</v>
      </c>
      <c r="AN722" s="2"/>
      <c r="AO722" s="2">
        <v>0</v>
      </c>
      <c r="AP722" s="2">
        <v>1449500</v>
      </c>
      <c r="AQ722" s="2">
        <v>0</v>
      </c>
      <c r="AR722" s="2">
        <v>0</v>
      </c>
      <c r="AS722" s="2">
        <v>0</v>
      </c>
      <c r="AT722" s="2">
        <v>0</v>
      </c>
      <c r="AU722" s="2">
        <v>0</v>
      </c>
      <c r="AV722" s="2">
        <v>0</v>
      </c>
      <c r="AW722" s="4"/>
      <c r="AX722" t="s">
        <v>75</v>
      </c>
      <c r="AZ722" t="s">
        <v>2397</v>
      </c>
      <c r="BA722" t="s">
        <v>67</v>
      </c>
      <c r="BB722" t="s">
        <v>2398</v>
      </c>
      <c r="BC722" t="s">
        <v>2093</v>
      </c>
      <c r="BD722" t="s">
        <v>79</v>
      </c>
      <c r="BE722" t="s">
        <v>434</v>
      </c>
      <c r="BF722" s="5">
        <v>46661</v>
      </c>
      <c r="BG722" t="s">
        <v>67</v>
      </c>
      <c r="BH722">
        <v>1</v>
      </c>
      <c r="BI722" s="6">
        <v>880000</v>
      </c>
      <c r="BJ722" s="6">
        <v>35</v>
      </c>
      <c r="BK722" s="6">
        <v>308000</v>
      </c>
      <c r="BL722" s="6">
        <v>572000</v>
      </c>
      <c r="BM722" s="2">
        <v>572000</v>
      </c>
      <c r="BN722">
        <f>InvoiceTable[[#This Row],[Giảm giá]]*InvoiceTable[[#This Row],[Số lượng]]</f>
        <v>308000</v>
      </c>
    </row>
    <row r="723" spans="1:66" x14ac:dyDescent="0.25">
      <c r="A723" t="s">
        <v>65</v>
      </c>
      <c r="B723" t="s">
        <v>2389</v>
      </c>
      <c r="F723" s="2"/>
      <c r="G723" s="3">
        <v>46008.725941238423</v>
      </c>
      <c r="H723" s="3">
        <v>46008.725941354169</v>
      </c>
      <c r="I723" s="4" t="s">
        <v>67</v>
      </c>
      <c r="J723" t="s">
        <v>2390</v>
      </c>
      <c r="K723" t="s">
        <v>67</v>
      </c>
      <c r="L723" t="s">
        <v>2391</v>
      </c>
      <c r="M723" t="s">
        <v>2392</v>
      </c>
      <c r="N723" t="s">
        <v>67</v>
      </c>
      <c r="O723" t="s">
        <v>2393</v>
      </c>
      <c r="P723" t="s">
        <v>2394</v>
      </c>
      <c r="Q723" t="s">
        <v>1170</v>
      </c>
      <c r="R723" t="s">
        <v>2395</v>
      </c>
      <c r="S723" s="5"/>
      <c r="T723" t="s">
        <v>72</v>
      </c>
      <c r="U723" t="s">
        <v>1031</v>
      </c>
      <c r="V723" t="s">
        <v>74</v>
      </c>
      <c r="W723" t="s">
        <v>87</v>
      </c>
      <c r="AE723" s="2"/>
      <c r="AF723" s="2"/>
      <c r="AG723" s="2"/>
      <c r="AH723" s="2"/>
      <c r="AK723" t="s">
        <v>2396</v>
      </c>
      <c r="AL723" s="2">
        <v>1449500</v>
      </c>
      <c r="AM723" s="2">
        <v>0</v>
      </c>
      <c r="AN723" s="2"/>
      <c r="AO723" s="2">
        <v>0</v>
      </c>
      <c r="AP723" s="2">
        <v>1449500</v>
      </c>
      <c r="AQ723" s="2">
        <v>0</v>
      </c>
      <c r="AR723" s="2">
        <v>0</v>
      </c>
      <c r="AS723" s="2">
        <v>0</v>
      </c>
      <c r="AT723" s="2">
        <v>0</v>
      </c>
      <c r="AU723" s="2">
        <v>0</v>
      </c>
      <c r="AV723" s="2">
        <v>0</v>
      </c>
      <c r="AW723" s="4"/>
      <c r="AX723" t="s">
        <v>75</v>
      </c>
      <c r="AZ723" t="s">
        <v>2399</v>
      </c>
      <c r="BA723" t="s">
        <v>67</v>
      </c>
      <c r="BB723" t="s">
        <v>2400</v>
      </c>
      <c r="BC723" t="s">
        <v>187</v>
      </c>
      <c r="BD723" t="s">
        <v>79</v>
      </c>
      <c r="BE723" t="s">
        <v>177</v>
      </c>
      <c r="BF723" s="5">
        <v>47027</v>
      </c>
      <c r="BG723" t="s">
        <v>67</v>
      </c>
      <c r="BH723">
        <v>1</v>
      </c>
      <c r="BI723" s="6">
        <v>390000</v>
      </c>
      <c r="BJ723" s="6">
        <v>35</v>
      </c>
      <c r="BK723" s="6">
        <v>136500</v>
      </c>
      <c r="BL723" s="6">
        <v>253500</v>
      </c>
      <c r="BM723" s="2">
        <v>253500</v>
      </c>
      <c r="BN723">
        <f>InvoiceTable[[#This Row],[Giảm giá]]*InvoiceTable[[#This Row],[Số lượng]]</f>
        <v>136500</v>
      </c>
    </row>
    <row r="724" spans="1:66" x14ac:dyDescent="0.25">
      <c r="A724" t="s">
        <v>65</v>
      </c>
      <c r="B724" t="s">
        <v>2389</v>
      </c>
      <c r="F724" s="2"/>
      <c r="G724" s="3">
        <v>46008.725941238423</v>
      </c>
      <c r="H724" s="3">
        <v>46008.725941354169</v>
      </c>
      <c r="I724" s="4" t="s">
        <v>67</v>
      </c>
      <c r="J724" t="s">
        <v>2390</v>
      </c>
      <c r="K724" t="s">
        <v>67</v>
      </c>
      <c r="L724" t="s">
        <v>2391</v>
      </c>
      <c r="M724" t="s">
        <v>2392</v>
      </c>
      <c r="N724" t="s">
        <v>67</v>
      </c>
      <c r="O724" t="s">
        <v>2393</v>
      </c>
      <c r="P724" t="s">
        <v>2394</v>
      </c>
      <c r="Q724" t="s">
        <v>1170</v>
      </c>
      <c r="R724" t="s">
        <v>2395</v>
      </c>
      <c r="S724" s="5"/>
      <c r="T724" t="s">
        <v>72</v>
      </c>
      <c r="U724" t="s">
        <v>1031</v>
      </c>
      <c r="V724" t="s">
        <v>74</v>
      </c>
      <c r="W724" t="s">
        <v>87</v>
      </c>
      <c r="AE724" s="2"/>
      <c r="AF724" s="2"/>
      <c r="AG724" s="2"/>
      <c r="AH724" s="2"/>
      <c r="AK724" t="s">
        <v>2396</v>
      </c>
      <c r="AL724" s="2">
        <v>1449500</v>
      </c>
      <c r="AM724" s="2">
        <v>0</v>
      </c>
      <c r="AN724" s="2"/>
      <c r="AO724" s="2">
        <v>0</v>
      </c>
      <c r="AP724" s="2">
        <v>1449500</v>
      </c>
      <c r="AQ724" s="2">
        <v>0</v>
      </c>
      <c r="AR724" s="2">
        <v>0</v>
      </c>
      <c r="AS724" s="2">
        <v>0</v>
      </c>
      <c r="AT724" s="2">
        <v>0</v>
      </c>
      <c r="AU724" s="2">
        <v>0</v>
      </c>
      <c r="AV724" s="2">
        <v>0</v>
      </c>
      <c r="AW724" s="4"/>
      <c r="AX724" t="s">
        <v>75</v>
      </c>
      <c r="AZ724" t="s">
        <v>1284</v>
      </c>
      <c r="BA724" t="s">
        <v>67</v>
      </c>
      <c r="BB724" t="s">
        <v>1285</v>
      </c>
      <c r="BC724" t="s">
        <v>1219</v>
      </c>
      <c r="BD724" t="s">
        <v>79</v>
      </c>
      <c r="BE724" t="s">
        <v>317</v>
      </c>
      <c r="BF724" s="5">
        <v>46935</v>
      </c>
      <c r="BG724" t="s">
        <v>67</v>
      </c>
      <c r="BH724">
        <v>2</v>
      </c>
      <c r="BI724" s="6">
        <v>480000</v>
      </c>
      <c r="BJ724" s="6">
        <v>35</v>
      </c>
      <c r="BK724" s="6">
        <v>168000</v>
      </c>
      <c r="BL724" s="6">
        <v>312000</v>
      </c>
      <c r="BM724" s="2">
        <v>624000</v>
      </c>
      <c r="BN724">
        <f>InvoiceTable[[#This Row],[Giảm giá]]*InvoiceTable[[#This Row],[Số lượng]]</f>
        <v>336000</v>
      </c>
    </row>
    <row r="725" spans="1:66" x14ac:dyDescent="0.25">
      <c r="A725" t="s">
        <v>65</v>
      </c>
      <c r="B725" t="s">
        <v>2401</v>
      </c>
      <c r="F725" s="2"/>
      <c r="G725" s="3">
        <v>46008.725572256946</v>
      </c>
      <c r="H725" s="3">
        <v>46008.725572372685</v>
      </c>
      <c r="I725" s="4" t="s">
        <v>67</v>
      </c>
      <c r="J725" t="s">
        <v>2402</v>
      </c>
      <c r="K725" t="s">
        <v>67</v>
      </c>
      <c r="L725" t="s">
        <v>2403</v>
      </c>
      <c r="M725" t="s">
        <v>2404</v>
      </c>
      <c r="N725" t="s">
        <v>2405</v>
      </c>
      <c r="O725" t="s">
        <v>2406</v>
      </c>
      <c r="P725" t="s">
        <v>2407</v>
      </c>
      <c r="Q725" t="s">
        <v>2408</v>
      </c>
      <c r="R725" t="s">
        <v>2409</v>
      </c>
      <c r="S725" s="5"/>
      <c r="T725" t="s">
        <v>72</v>
      </c>
      <c r="U725" t="s">
        <v>73</v>
      </c>
      <c r="V725" t="s">
        <v>74</v>
      </c>
      <c r="W725" t="s">
        <v>87</v>
      </c>
      <c r="AE725" s="2"/>
      <c r="AF725" s="2"/>
      <c r="AG725" s="2"/>
      <c r="AH725" s="2"/>
      <c r="AK725" t="s">
        <v>1390</v>
      </c>
      <c r="AL725" s="2">
        <v>1245000</v>
      </c>
      <c r="AM725" s="2">
        <v>0</v>
      </c>
      <c r="AN725" s="2"/>
      <c r="AO725" s="2">
        <v>0</v>
      </c>
      <c r="AP725" s="2">
        <v>1245000</v>
      </c>
      <c r="AQ725" s="2">
        <v>1245000</v>
      </c>
      <c r="AR725" s="2">
        <v>1245000</v>
      </c>
      <c r="AS725" s="2">
        <v>0</v>
      </c>
      <c r="AT725" s="2">
        <v>0</v>
      </c>
      <c r="AU725" s="2">
        <v>0</v>
      </c>
      <c r="AV725" s="2">
        <v>0</v>
      </c>
      <c r="AW725" s="4"/>
      <c r="AX725" t="s">
        <v>75</v>
      </c>
      <c r="AZ725" t="s">
        <v>2410</v>
      </c>
      <c r="BA725" t="s">
        <v>67</v>
      </c>
      <c r="BB725" t="s">
        <v>2411</v>
      </c>
      <c r="BC725" t="s">
        <v>187</v>
      </c>
      <c r="BD725" t="s">
        <v>79</v>
      </c>
      <c r="BE725" t="s">
        <v>216</v>
      </c>
      <c r="BF725" s="5">
        <v>46784</v>
      </c>
      <c r="BH725">
        <v>3</v>
      </c>
      <c r="BI725" s="6">
        <v>650000</v>
      </c>
      <c r="BJ725" s="6">
        <v>50</v>
      </c>
      <c r="BK725" s="6">
        <v>325000</v>
      </c>
      <c r="BL725" s="6">
        <v>325000</v>
      </c>
      <c r="BM725" s="2">
        <v>975000</v>
      </c>
      <c r="BN725">
        <f>InvoiceTable[[#This Row],[Giảm giá]]*InvoiceTable[[#This Row],[Số lượng]]</f>
        <v>975000</v>
      </c>
    </row>
    <row r="726" spans="1:66" x14ac:dyDescent="0.25">
      <c r="A726" t="s">
        <v>65</v>
      </c>
      <c r="B726" t="s">
        <v>2401</v>
      </c>
      <c r="F726" s="2"/>
      <c r="G726" s="3">
        <v>46008.725572256946</v>
      </c>
      <c r="H726" s="3">
        <v>46008.725572372685</v>
      </c>
      <c r="I726" s="4" t="s">
        <v>67</v>
      </c>
      <c r="J726" t="s">
        <v>2402</v>
      </c>
      <c r="K726" t="s">
        <v>67</v>
      </c>
      <c r="L726" t="s">
        <v>2403</v>
      </c>
      <c r="M726" t="s">
        <v>2404</v>
      </c>
      <c r="N726" t="s">
        <v>2405</v>
      </c>
      <c r="O726" t="s">
        <v>2406</v>
      </c>
      <c r="P726" t="s">
        <v>2407</v>
      </c>
      <c r="Q726" t="s">
        <v>2408</v>
      </c>
      <c r="R726" t="s">
        <v>2409</v>
      </c>
      <c r="S726" s="5"/>
      <c r="T726" t="s">
        <v>72</v>
      </c>
      <c r="U726" t="s">
        <v>73</v>
      </c>
      <c r="V726" t="s">
        <v>74</v>
      </c>
      <c r="W726" t="s">
        <v>87</v>
      </c>
      <c r="AE726" s="2"/>
      <c r="AF726" s="2"/>
      <c r="AG726" s="2"/>
      <c r="AH726" s="2"/>
      <c r="AK726" t="s">
        <v>1390</v>
      </c>
      <c r="AL726" s="2">
        <v>1245000</v>
      </c>
      <c r="AM726" s="2">
        <v>0</v>
      </c>
      <c r="AN726" s="2"/>
      <c r="AO726" s="2">
        <v>0</v>
      </c>
      <c r="AP726" s="2">
        <v>1245000</v>
      </c>
      <c r="AQ726" s="2">
        <v>1245000</v>
      </c>
      <c r="AR726" s="2">
        <v>1245000</v>
      </c>
      <c r="AS726" s="2">
        <v>0</v>
      </c>
      <c r="AT726" s="2">
        <v>0</v>
      </c>
      <c r="AU726" s="2">
        <v>0</v>
      </c>
      <c r="AV726" s="2">
        <v>0</v>
      </c>
      <c r="AW726" s="4"/>
      <c r="AX726" t="s">
        <v>75</v>
      </c>
      <c r="AZ726" t="s">
        <v>2412</v>
      </c>
      <c r="BA726" t="s">
        <v>67</v>
      </c>
      <c r="BB726" t="s">
        <v>2413</v>
      </c>
      <c r="BC726" t="s">
        <v>1219</v>
      </c>
      <c r="BD726" t="s">
        <v>79</v>
      </c>
      <c r="BE726" t="s">
        <v>2414</v>
      </c>
      <c r="BF726" s="5">
        <v>46928</v>
      </c>
      <c r="BG726" t="s">
        <v>67</v>
      </c>
      <c r="BH726">
        <v>1</v>
      </c>
      <c r="BI726" s="6">
        <v>450000</v>
      </c>
      <c r="BJ726" s="6">
        <v>40</v>
      </c>
      <c r="BK726" s="6">
        <v>180000</v>
      </c>
      <c r="BL726" s="6">
        <v>270000</v>
      </c>
      <c r="BM726" s="2">
        <v>270000</v>
      </c>
      <c r="BN726">
        <f>InvoiceTable[[#This Row],[Giảm giá]]*InvoiceTable[[#This Row],[Số lượng]]</f>
        <v>180000</v>
      </c>
    </row>
    <row r="727" spans="1:66" x14ac:dyDescent="0.25">
      <c r="A727" t="s">
        <v>65</v>
      </c>
      <c r="B727" t="s">
        <v>2415</v>
      </c>
      <c r="F727" s="2"/>
      <c r="G727" s="3">
        <v>46008.72530795139</v>
      </c>
      <c r="H727" s="3">
        <v>46008.725308136571</v>
      </c>
      <c r="I727" s="4" t="s">
        <v>67</v>
      </c>
      <c r="J727" t="s">
        <v>2416</v>
      </c>
      <c r="K727" t="s">
        <v>67</v>
      </c>
      <c r="L727" t="s">
        <v>2417</v>
      </c>
      <c r="M727" t="s">
        <v>2418</v>
      </c>
      <c r="N727" t="s">
        <v>2419</v>
      </c>
      <c r="O727" t="s">
        <v>2420</v>
      </c>
      <c r="P727" t="s">
        <v>2421</v>
      </c>
      <c r="S727" s="5"/>
      <c r="T727" t="s">
        <v>72</v>
      </c>
      <c r="U727" t="s">
        <v>73</v>
      </c>
      <c r="V727" t="s">
        <v>74</v>
      </c>
      <c r="W727" t="s">
        <v>87</v>
      </c>
      <c r="AE727" s="2"/>
      <c r="AF727" s="2"/>
      <c r="AG727" s="2"/>
      <c r="AH727" s="2"/>
      <c r="AK727" t="s">
        <v>2422</v>
      </c>
      <c r="AL727" s="2">
        <v>698500</v>
      </c>
      <c r="AM727" s="2">
        <v>0</v>
      </c>
      <c r="AN727" s="2"/>
      <c r="AO727" s="2">
        <v>0</v>
      </c>
      <c r="AP727" s="2">
        <v>698500</v>
      </c>
      <c r="AQ727" s="2">
        <v>0</v>
      </c>
      <c r="AR727" s="2">
        <v>0</v>
      </c>
      <c r="AS727" s="2">
        <v>0</v>
      </c>
      <c r="AT727" s="2">
        <v>0</v>
      </c>
      <c r="AU727" s="2">
        <v>0</v>
      </c>
      <c r="AV727" s="2">
        <v>0</v>
      </c>
      <c r="AW727" s="4"/>
      <c r="AX727" t="s">
        <v>75</v>
      </c>
      <c r="AZ727" t="s">
        <v>340</v>
      </c>
      <c r="BA727" t="s">
        <v>67</v>
      </c>
      <c r="BB727" t="s">
        <v>341</v>
      </c>
      <c r="BC727" t="s">
        <v>204</v>
      </c>
      <c r="BD727" t="s">
        <v>79</v>
      </c>
      <c r="BE727" t="s">
        <v>334</v>
      </c>
      <c r="BF727" s="5">
        <v>47209</v>
      </c>
      <c r="BG727" t="s">
        <v>67</v>
      </c>
      <c r="BH727">
        <v>1</v>
      </c>
      <c r="BI727" s="6">
        <v>710000</v>
      </c>
      <c r="BJ727" s="6">
        <v>35</v>
      </c>
      <c r="BK727" s="6">
        <v>248500</v>
      </c>
      <c r="BL727" s="6">
        <v>461500</v>
      </c>
      <c r="BM727" s="2">
        <v>461500</v>
      </c>
      <c r="BN727">
        <f>InvoiceTable[[#This Row],[Giảm giá]]*InvoiceTable[[#This Row],[Số lượng]]</f>
        <v>248500</v>
      </c>
    </row>
    <row r="728" spans="1:66" x14ac:dyDescent="0.25">
      <c r="A728" t="s">
        <v>65</v>
      </c>
      <c r="B728" t="s">
        <v>2415</v>
      </c>
      <c r="F728" s="2"/>
      <c r="G728" s="3">
        <v>46008.72530795139</v>
      </c>
      <c r="H728" s="3">
        <v>46008.725308136571</v>
      </c>
      <c r="I728" s="4" t="s">
        <v>67</v>
      </c>
      <c r="J728" t="s">
        <v>2416</v>
      </c>
      <c r="K728" t="s">
        <v>67</v>
      </c>
      <c r="L728" t="s">
        <v>2417</v>
      </c>
      <c r="M728" t="s">
        <v>2418</v>
      </c>
      <c r="N728" t="s">
        <v>2419</v>
      </c>
      <c r="O728" t="s">
        <v>2420</v>
      </c>
      <c r="P728" t="s">
        <v>2421</v>
      </c>
      <c r="S728" s="5"/>
      <c r="T728" t="s">
        <v>72</v>
      </c>
      <c r="U728" t="s">
        <v>73</v>
      </c>
      <c r="V728" t="s">
        <v>74</v>
      </c>
      <c r="W728" t="s">
        <v>87</v>
      </c>
      <c r="AE728" s="2"/>
      <c r="AF728" s="2"/>
      <c r="AG728" s="2"/>
      <c r="AH728" s="2"/>
      <c r="AK728" t="s">
        <v>2422</v>
      </c>
      <c r="AL728" s="2">
        <v>698500</v>
      </c>
      <c r="AM728" s="2">
        <v>0</v>
      </c>
      <c r="AN728" s="2"/>
      <c r="AO728" s="2">
        <v>0</v>
      </c>
      <c r="AP728" s="2">
        <v>698500</v>
      </c>
      <c r="AQ728" s="2">
        <v>0</v>
      </c>
      <c r="AR728" s="2">
        <v>0</v>
      </c>
      <c r="AS728" s="2">
        <v>0</v>
      </c>
      <c r="AT728" s="2">
        <v>0</v>
      </c>
      <c r="AU728" s="2">
        <v>0</v>
      </c>
      <c r="AV728" s="2">
        <v>0</v>
      </c>
      <c r="AW728" s="4"/>
      <c r="AX728" t="s">
        <v>75</v>
      </c>
      <c r="AZ728" t="s">
        <v>2423</v>
      </c>
      <c r="BB728" t="s">
        <v>2424</v>
      </c>
      <c r="BC728" t="s">
        <v>2425</v>
      </c>
      <c r="BD728" t="s">
        <v>79</v>
      </c>
      <c r="BE728" t="s">
        <v>2426</v>
      </c>
      <c r="BF728" s="5">
        <v>46934</v>
      </c>
      <c r="BG728" t="s">
        <v>67</v>
      </c>
      <c r="BH728">
        <v>1</v>
      </c>
      <c r="BI728" s="6">
        <v>395000</v>
      </c>
      <c r="BJ728" s="6">
        <v>40</v>
      </c>
      <c r="BK728" s="6">
        <v>158000</v>
      </c>
      <c r="BL728" s="6">
        <v>237000</v>
      </c>
      <c r="BM728" s="2">
        <v>237000</v>
      </c>
      <c r="BN728">
        <f>InvoiceTable[[#This Row],[Giảm giá]]*InvoiceTable[[#This Row],[Số lượng]]</f>
        <v>158000</v>
      </c>
    </row>
    <row r="729" spans="1:66" x14ac:dyDescent="0.25">
      <c r="A729" t="s">
        <v>65</v>
      </c>
      <c r="B729" t="s">
        <v>2427</v>
      </c>
      <c r="F729" s="2"/>
      <c r="G729" s="3">
        <v>46008.722002395836</v>
      </c>
      <c r="H729" s="3">
        <v>46008.721979479167</v>
      </c>
      <c r="I729" s="4" t="s">
        <v>2428</v>
      </c>
      <c r="J729" t="s">
        <v>2429</v>
      </c>
      <c r="K729" t="s">
        <v>67</v>
      </c>
      <c r="L729" t="s">
        <v>2403</v>
      </c>
      <c r="M729" t="s">
        <v>2404</v>
      </c>
      <c r="N729" t="s">
        <v>2405</v>
      </c>
      <c r="O729" t="s">
        <v>2406</v>
      </c>
      <c r="P729" t="s">
        <v>2407</v>
      </c>
      <c r="Q729" t="s">
        <v>2408</v>
      </c>
      <c r="R729" t="s">
        <v>2409</v>
      </c>
      <c r="S729" s="5"/>
      <c r="T729" t="s">
        <v>72</v>
      </c>
      <c r="U729" t="s">
        <v>73</v>
      </c>
      <c r="V729" t="s">
        <v>74</v>
      </c>
      <c r="W729" t="s">
        <v>87</v>
      </c>
      <c r="AE729" s="2"/>
      <c r="AF729" s="2"/>
      <c r="AG729" s="2"/>
      <c r="AH729" s="2"/>
      <c r="AK729" t="s">
        <v>2430</v>
      </c>
      <c r="AL729" s="2">
        <v>849900</v>
      </c>
      <c r="AM729" s="2">
        <v>0</v>
      </c>
      <c r="AN729" s="2"/>
      <c r="AO729" s="2">
        <v>0</v>
      </c>
      <c r="AP729" s="2">
        <v>849900</v>
      </c>
      <c r="AQ729" s="2">
        <v>849900</v>
      </c>
      <c r="AR729" s="2">
        <v>849900</v>
      </c>
      <c r="AS729" s="2">
        <v>0</v>
      </c>
      <c r="AT729" s="2">
        <v>0</v>
      </c>
      <c r="AU729" s="2">
        <v>0</v>
      </c>
      <c r="AV729" s="2">
        <v>0</v>
      </c>
      <c r="AW729" s="4"/>
      <c r="AX729" t="s">
        <v>75</v>
      </c>
      <c r="AZ729" t="s">
        <v>2431</v>
      </c>
      <c r="BA729" t="s">
        <v>67</v>
      </c>
      <c r="BB729" t="s">
        <v>2432</v>
      </c>
      <c r="BC729" t="s">
        <v>2433</v>
      </c>
      <c r="BD729" t="s">
        <v>79</v>
      </c>
      <c r="BE729" t="s">
        <v>293</v>
      </c>
      <c r="BF729" s="5">
        <v>46722</v>
      </c>
      <c r="BH729">
        <v>2</v>
      </c>
      <c r="BI729" s="6">
        <v>559000</v>
      </c>
      <c r="BJ729" s="6">
        <v>45</v>
      </c>
      <c r="BK729" s="6">
        <v>251550</v>
      </c>
      <c r="BL729" s="6">
        <v>307450</v>
      </c>
      <c r="BM729" s="2">
        <v>614900</v>
      </c>
      <c r="BN729">
        <f>InvoiceTable[[#This Row],[Giảm giá]]*InvoiceTable[[#This Row],[Số lượng]]</f>
        <v>503100</v>
      </c>
    </row>
    <row r="730" spans="1:66" x14ac:dyDescent="0.25">
      <c r="A730" t="s">
        <v>65</v>
      </c>
      <c r="B730" t="s">
        <v>2427</v>
      </c>
      <c r="F730" s="2"/>
      <c r="G730" s="3">
        <v>46008.722002395836</v>
      </c>
      <c r="H730" s="3">
        <v>46008.721979479167</v>
      </c>
      <c r="I730" s="4" t="s">
        <v>2428</v>
      </c>
      <c r="J730" t="s">
        <v>2429</v>
      </c>
      <c r="K730" t="s">
        <v>67</v>
      </c>
      <c r="L730" t="s">
        <v>2403</v>
      </c>
      <c r="M730" t="s">
        <v>2404</v>
      </c>
      <c r="N730" t="s">
        <v>2405</v>
      </c>
      <c r="O730" t="s">
        <v>2406</v>
      </c>
      <c r="P730" t="s">
        <v>2407</v>
      </c>
      <c r="Q730" t="s">
        <v>2408</v>
      </c>
      <c r="R730" t="s">
        <v>2409</v>
      </c>
      <c r="S730" s="5"/>
      <c r="T730" t="s">
        <v>72</v>
      </c>
      <c r="U730" t="s">
        <v>73</v>
      </c>
      <c r="V730" t="s">
        <v>74</v>
      </c>
      <c r="W730" t="s">
        <v>87</v>
      </c>
      <c r="AE730" s="2"/>
      <c r="AF730" s="2"/>
      <c r="AG730" s="2"/>
      <c r="AH730" s="2"/>
      <c r="AK730" t="s">
        <v>2430</v>
      </c>
      <c r="AL730" s="2">
        <v>849900</v>
      </c>
      <c r="AM730" s="2">
        <v>0</v>
      </c>
      <c r="AN730" s="2"/>
      <c r="AO730" s="2">
        <v>0</v>
      </c>
      <c r="AP730" s="2">
        <v>849900</v>
      </c>
      <c r="AQ730" s="2">
        <v>849900</v>
      </c>
      <c r="AR730" s="2">
        <v>849900</v>
      </c>
      <c r="AS730" s="2">
        <v>0</v>
      </c>
      <c r="AT730" s="2">
        <v>0</v>
      </c>
      <c r="AU730" s="2">
        <v>0</v>
      </c>
      <c r="AV730" s="2">
        <v>0</v>
      </c>
      <c r="AW730" s="4"/>
      <c r="AX730" t="s">
        <v>75</v>
      </c>
      <c r="AZ730" t="s">
        <v>495</v>
      </c>
      <c r="BA730" t="s">
        <v>67</v>
      </c>
      <c r="BB730" t="s">
        <v>496</v>
      </c>
      <c r="BC730" t="s">
        <v>497</v>
      </c>
      <c r="BD730" t="s">
        <v>79</v>
      </c>
      <c r="BE730" t="s">
        <v>117</v>
      </c>
      <c r="BF730" s="5">
        <v>46569</v>
      </c>
      <c r="BH730">
        <v>2</v>
      </c>
      <c r="BI730" s="6">
        <v>250000</v>
      </c>
      <c r="BJ730" s="6">
        <v>0</v>
      </c>
      <c r="BK730" s="6">
        <v>170000</v>
      </c>
      <c r="BL730" s="6">
        <v>80000</v>
      </c>
      <c r="BM730" s="2">
        <v>160000</v>
      </c>
      <c r="BN730">
        <f>InvoiceTable[[#This Row],[Giảm giá]]*InvoiceTable[[#This Row],[Số lượng]]</f>
        <v>340000</v>
      </c>
    </row>
    <row r="731" spans="1:66" x14ac:dyDescent="0.25">
      <c r="A731" t="s">
        <v>65</v>
      </c>
      <c r="B731" t="s">
        <v>2427</v>
      </c>
      <c r="F731" s="2"/>
      <c r="G731" s="3">
        <v>46008.722002395836</v>
      </c>
      <c r="H731" s="3">
        <v>46008.721979479167</v>
      </c>
      <c r="I731" s="4" t="s">
        <v>2428</v>
      </c>
      <c r="J731" t="s">
        <v>2429</v>
      </c>
      <c r="K731" t="s">
        <v>67</v>
      </c>
      <c r="L731" t="s">
        <v>2403</v>
      </c>
      <c r="M731" t="s">
        <v>2404</v>
      </c>
      <c r="N731" t="s">
        <v>2405</v>
      </c>
      <c r="O731" t="s">
        <v>2406</v>
      </c>
      <c r="P731" t="s">
        <v>2407</v>
      </c>
      <c r="Q731" t="s">
        <v>2408</v>
      </c>
      <c r="R731" t="s">
        <v>2409</v>
      </c>
      <c r="S731" s="5"/>
      <c r="T731" t="s">
        <v>72</v>
      </c>
      <c r="U731" t="s">
        <v>73</v>
      </c>
      <c r="V731" t="s">
        <v>74</v>
      </c>
      <c r="W731" t="s">
        <v>87</v>
      </c>
      <c r="AE731" s="2"/>
      <c r="AF731" s="2"/>
      <c r="AG731" s="2"/>
      <c r="AH731" s="2"/>
      <c r="AK731" t="s">
        <v>2430</v>
      </c>
      <c r="AL731" s="2">
        <v>849900</v>
      </c>
      <c r="AM731" s="2">
        <v>0</v>
      </c>
      <c r="AN731" s="2"/>
      <c r="AO731" s="2">
        <v>0</v>
      </c>
      <c r="AP731" s="2">
        <v>849900</v>
      </c>
      <c r="AQ731" s="2">
        <v>849900</v>
      </c>
      <c r="AR731" s="2">
        <v>849900</v>
      </c>
      <c r="AS731" s="2">
        <v>0</v>
      </c>
      <c r="AT731" s="2">
        <v>0</v>
      </c>
      <c r="AU731" s="2">
        <v>0</v>
      </c>
      <c r="AV731" s="2">
        <v>0</v>
      </c>
      <c r="AW731" s="4"/>
      <c r="AX731" t="s">
        <v>75</v>
      </c>
      <c r="AZ731" t="s">
        <v>291</v>
      </c>
      <c r="BA731" t="s">
        <v>67</v>
      </c>
      <c r="BB731" t="s">
        <v>292</v>
      </c>
      <c r="BC731" t="s">
        <v>126</v>
      </c>
      <c r="BD731" t="s">
        <v>79</v>
      </c>
      <c r="BE731" t="s">
        <v>293</v>
      </c>
      <c r="BF731" s="5">
        <v>46722</v>
      </c>
      <c r="BG731" t="s">
        <v>67</v>
      </c>
      <c r="BH731">
        <v>1</v>
      </c>
      <c r="BI731" s="6">
        <v>250000</v>
      </c>
      <c r="BJ731" s="6">
        <v>0</v>
      </c>
      <c r="BK731" s="6">
        <v>175000</v>
      </c>
      <c r="BL731" s="6">
        <v>75000</v>
      </c>
      <c r="BM731" s="2">
        <v>75000</v>
      </c>
      <c r="BN731">
        <f>InvoiceTable[[#This Row],[Giảm giá]]*InvoiceTable[[#This Row],[Số lượng]]</f>
        <v>175000</v>
      </c>
    </row>
    <row r="732" spans="1:66" x14ac:dyDescent="0.25">
      <c r="A732" t="s">
        <v>65</v>
      </c>
      <c r="B732" t="s">
        <v>2434</v>
      </c>
      <c r="F732" s="2"/>
      <c r="G732" s="3">
        <v>46008.72182515046</v>
      </c>
      <c r="H732" s="3">
        <v>46008.721802118052</v>
      </c>
      <c r="I732" s="4" t="s">
        <v>2290</v>
      </c>
      <c r="J732" t="s">
        <v>2435</v>
      </c>
      <c r="K732" t="s">
        <v>67</v>
      </c>
      <c r="L732" t="s">
        <v>2436</v>
      </c>
      <c r="M732" t="s">
        <v>2437</v>
      </c>
      <c r="N732" t="s">
        <v>67</v>
      </c>
      <c r="O732" t="s">
        <v>2438</v>
      </c>
      <c r="P732" t="s">
        <v>2439</v>
      </c>
      <c r="Q732" t="s">
        <v>67</v>
      </c>
      <c r="R732" t="s">
        <v>67</v>
      </c>
      <c r="S732" s="5"/>
      <c r="T732" t="s">
        <v>72</v>
      </c>
      <c r="U732" t="s">
        <v>87</v>
      </c>
      <c r="V732" t="s">
        <v>74</v>
      </c>
      <c r="W732" t="s">
        <v>87</v>
      </c>
      <c r="AE732" s="2"/>
      <c r="AF732" s="2"/>
      <c r="AG732" s="2"/>
      <c r="AH732" s="2"/>
      <c r="AK732" t="s">
        <v>67</v>
      </c>
      <c r="AL732" s="2">
        <v>1260000</v>
      </c>
      <c r="AM732" s="2">
        <v>0</v>
      </c>
      <c r="AN732" s="2"/>
      <c r="AO732" s="2">
        <v>0</v>
      </c>
      <c r="AP732" s="2">
        <v>1260000</v>
      </c>
      <c r="AQ732" s="2">
        <v>0</v>
      </c>
      <c r="AR732" s="2">
        <v>0</v>
      </c>
      <c r="AS732" s="2">
        <v>0</v>
      </c>
      <c r="AT732" s="2">
        <v>0</v>
      </c>
      <c r="AU732" s="2">
        <v>0</v>
      </c>
      <c r="AV732" s="2">
        <v>0</v>
      </c>
      <c r="AW732" s="4"/>
      <c r="AX732" t="s">
        <v>75</v>
      </c>
      <c r="AZ732" t="s">
        <v>124</v>
      </c>
      <c r="BA732" t="s">
        <v>67</v>
      </c>
      <c r="BB732" t="s">
        <v>125</v>
      </c>
      <c r="BC732" t="s">
        <v>126</v>
      </c>
      <c r="BD732" t="s">
        <v>79</v>
      </c>
      <c r="BE732" t="s">
        <v>127</v>
      </c>
      <c r="BF732" s="5">
        <v>46683</v>
      </c>
      <c r="BG732" t="s">
        <v>67</v>
      </c>
      <c r="BH732">
        <v>2</v>
      </c>
      <c r="BI732" s="6">
        <v>1200000</v>
      </c>
      <c r="BJ732" s="6">
        <v>0</v>
      </c>
      <c r="BK732" s="6">
        <v>570000</v>
      </c>
      <c r="BL732" s="6">
        <v>630000</v>
      </c>
      <c r="BM732" s="2">
        <v>1260000</v>
      </c>
      <c r="BN732">
        <f>InvoiceTable[[#This Row],[Giảm giá]]*InvoiceTable[[#This Row],[Số lượng]]</f>
        <v>1140000</v>
      </c>
    </row>
    <row r="733" spans="1:66" x14ac:dyDescent="0.25">
      <c r="A733" t="s">
        <v>65</v>
      </c>
      <c r="B733" t="s">
        <v>2440</v>
      </c>
      <c r="F733" s="2"/>
      <c r="G733" s="3">
        <v>46008.721650381944</v>
      </c>
      <c r="H733" s="3">
        <v>46008.721650613428</v>
      </c>
      <c r="I733" s="4" t="s">
        <v>67</v>
      </c>
      <c r="J733" t="s">
        <v>2441</v>
      </c>
      <c r="K733" t="s">
        <v>67</v>
      </c>
      <c r="L733" t="s">
        <v>2442</v>
      </c>
      <c r="M733" t="s">
        <v>2443</v>
      </c>
      <c r="N733" t="s">
        <v>67</v>
      </c>
      <c r="O733" t="s">
        <v>2444</v>
      </c>
      <c r="P733" t="s">
        <v>2445</v>
      </c>
      <c r="Q733" t="s">
        <v>67</v>
      </c>
      <c r="R733" t="s">
        <v>67</v>
      </c>
      <c r="S733" s="5"/>
      <c r="T733" t="s">
        <v>72</v>
      </c>
      <c r="U733" t="s">
        <v>87</v>
      </c>
      <c r="V733" t="s">
        <v>74</v>
      </c>
      <c r="W733" t="s">
        <v>87</v>
      </c>
      <c r="AE733" s="2"/>
      <c r="AF733" s="2"/>
      <c r="AG733" s="2"/>
      <c r="AH733" s="2"/>
      <c r="AK733" t="s">
        <v>67</v>
      </c>
      <c r="AL733" s="2">
        <v>1380000</v>
      </c>
      <c r="AM733" s="2">
        <v>0</v>
      </c>
      <c r="AN733" s="2"/>
      <c r="AO733" s="2">
        <v>0</v>
      </c>
      <c r="AP733" s="2">
        <v>1380000</v>
      </c>
      <c r="AQ733" s="2">
        <v>0</v>
      </c>
      <c r="AR733" s="2">
        <v>0</v>
      </c>
      <c r="AS733" s="2">
        <v>0</v>
      </c>
      <c r="AT733" s="2">
        <v>0</v>
      </c>
      <c r="AU733" s="2">
        <v>0</v>
      </c>
      <c r="AV733" s="2">
        <v>0</v>
      </c>
      <c r="AW733" s="4"/>
      <c r="AX733" t="s">
        <v>75</v>
      </c>
      <c r="AZ733" t="s">
        <v>1725</v>
      </c>
      <c r="BA733" t="s">
        <v>67</v>
      </c>
      <c r="BB733" t="s">
        <v>1726</v>
      </c>
      <c r="BC733" t="s">
        <v>1183</v>
      </c>
      <c r="BD733" t="s">
        <v>79</v>
      </c>
      <c r="BE733" t="s">
        <v>1231</v>
      </c>
      <c r="BF733" s="5">
        <v>47239</v>
      </c>
      <c r="BG733" t="s">
        <v>67</v>
      </c>
      <c r="BH733">
        <v>2</v>
      </c>
      <c r="BI733" s="6">
        <v>1380000</v>
      </c>
      <c r="BJ733" s="6">
        <v>50</v>
      </c>
      <c r="BK733" s="6">
        <v>690000</v>
      </c>
      <c r="BL733" s="6">
        <v>690000</v>
      </c>
      <c r="BM733" s="2">
        <v>1380000</v>
      </c>
      <c r="BN733">
        <f>InvoiceTable[[#This Row],[Giảm giá]]*InvoiceTable[[#This Row],[Số lượng]]</f>
        <v>1380000</v>
      </c>
    </row>
    <row r="734" spans="1:66" x14ac:dyDescent="0.25">
      <c r="A734" t="s">
        <v>65</v>
      </c>
      <c r="B734" t="s">
        <v>2446</v>
      </c>
      <c r="F734" s="2"/>
      <c r="G734" s="3">
        <v>46008.665285798612</v>
      </c>
      <c r="H734" s="3">
        <v>46008.665239664355</v>
      </c>
      <c r="I734" s="4" t="s">
        <v>1682</v>
      </c>
      <c r="J734" t="s">
        <v>67</v>
      </c>
      <c r="K734" t="s">
        <v>67</v>
      </c>
      <c r="L734" t="s">
        <v>894</v>
      </c>
      <c r="M734" t="s">
        <v>895</v>
      </c>
      <c r="N734" t="s">
        <v>67</v>
      </c>
      <c r="O734" t="s">
        <v>896</v>
      </c>
      <c r="P734" t="s">
        <v>897</v>
      </c>
      <c r="Q734" t="s">
        <v>67</v>
      </c>
      <c r="R734" t="s">
        <v>67</v>
      </c>
      <c r="S734" s="5"/>
      <c r="T734" t="s">
        <v>72</v>
      </c>
      <c r="U734" t="s">
        <v>102</v>
      </c>
      <c r="V734" t="s">
        <v>74</v>
      </c>
      <c r="W734" t="s">
        <v>87</v>
      </c>
      <c r="AE734" s="2"/>
      <c r="AF734" s="2"/>
      <c r="AG734" s="2"/>
      <c r="AH734" s="2"/>
      <c r="AL734" s="2">
        <v>1050000</v>
      </c>
      <c r="AM734" s="2">
        <v>0</v>
      </c>
      <c r="AN734" s="2"/>
      <c r="AO734" s="2">
        <v>0</v>
      </c>
      <c r="AP734" s="2">
        <v>1050000</v>
      </c>
      <c r="AQ734" s="2">
        <v>0</v>
      </c>
      <c r="AR734" s="2">
        <v>0</v>
      </c>
      <c r="AS734" s="2">
        <v>0</v>
      </c>
      <c r="AT734" s="2">
        <v>0</v>
      </c>
      <c r="AU734" s="2">
        <v>0</v>
      </c>
      <c r="AV734" s="2">
        <v>0</v>
      </c>
      <c r="AW734" s="4"/>
      <c r="AX734" t="s">
        <v>75</v>
      </c>
      <c r="AZ734" t="s">
        <v>748</v>
      </c>
      <c r="BA734" t="s">
        <v>67</v>
      </c>
      <c r="BB734" t="s">
        <v>749</v>
      </c>
      <c r="BC734" t="s">
        <v>750</v>
      </c>
      <c r="BD734" t="s">
        <v>79</v>
      </c>
      <c r="BE734" t="s">
        <v>117</v>
      </c>
      <c r="BF734" s="5">
        <v>46569</v>
      </c>
      <c r="BH734">
        <v>1</v>
      </c>
      <c r="BI734" s="6">
        <v>1500000</v>
      </c>
      <c r="BJ734" s="6">
        <v>0</v>
      </c>
      <c r="BK734" s="6">
        <v>450000</v>
      </c>
      <c r="BL734" s="6">
        <v>1050000</v>
      </c>
      <c r="BM734" s="2">
        <v>1050000</v>
      </c>
      <c r="BN734">
        <f>InvoiceTable[[#This Row],[Giảm giá]]*InvoiceTable[[#This Row],[Số lượng]]</f>
        <v>450000</v>
      </c>
    </row>
    <row r="735" spans="1:66" x14ac:dyDescent="0.25">
      <c r="A735" t="s">
        <v>65</v>
      </c>
      <c r="B735" t="s">
        <v>2447</v>
      </c>
      <c r="F735" s="2"/>
      <c r="G735" s="3">
        <v>46008.664696412037</v>
      </c>
      <c r="H735" s="3">
        <v>46008.664696643522</v>
      </c>
      <c r="I735" s="4" t="s">
        <v>67</v>
      </c>
      <c r="J735" t="s">
        <v>2448</v>
      </c>
      <c r="K735" t="s">
        <v>67</v>
      </c>
      <c r="L735" t="s">
        <v>894</v>
      </c>
      <c r="M735" t="s">
        <v>895</v>
      </c>
      <c r="N735" t="s">
        <v>67</v>
      </c>
      <c r="O735" t="s">
        <v>896</v>
      </c>
      <c r="P735" t="s">
        <v>897</v>
      </c>
      <c r="Q735" t="s">
        <v>67</v>
      </c>
      <c r="R735" t="s">
        <v>67</v>
      </c>
      <c r="S735" s="5"/>
      <c r="T735" t="s">
        <v>72</v>
      </c>
      <c r="U735" t="s">
        <v>102</v>
      </c>
      <c r="V735" t="s">
        <v>74</v>
      </c>
      <c r="W735" t="s">
        <v>87</v>
      </c>
      <c r="AE735" s="2"/>
      <c r="AF735" s="2"/>
      <c r="AG735" s="2"/>
      <c r="AH735" s="2"/>
      <c r="AK735" t="s">
        <v>2449</v>
      </c>
      <c r="AL735" s="2">
        <v>363000</v>
      </c>
      <c r="AM735" s="2">
        <v>0</v>
      </c>
      <c r="AN735" s="2"/>
      <c r="AO735" s="2">
        <v>0</v>
      </c>
      <c r="AP735" s="2">
        <v>363000</v>
      </c>
      <c r="AQ735" s="2">
        <v>0</v>
      </c>
      <c r="AR735" s="2">
        <v>0</v>
      </c>
      <c r="AS735" s="2">
        <v>0</v>
      </c>
      <c r="AT735" s="2">
        <v>0</v>
      </c>
      <c r="AU735" s="2">
        <v>0</v>
      </c>
      <c r="AV735" s="2">
        <v>0</v>
      </c>
      <c r="AW735" s="4"/>
      <c r="AX735" t="s">
        <v>75</v>
      </c>
      <c r="AZ735" t="s">
        <v>1386</v>
      </c>
      <c r="BA735" t="s">
        <v>67</v>
      </c>
      <c r="BB735" t="s">
        <v>1387</v>
      </c>
      <c r="BC735" t="s">
        <v>251</v>
      </c>
      <c r="BD735" t="s">
        <v>79</v>
      </c>
      <c r="BE735" t="s">
        <v>810</v>
      </c>
      <c r="BF735" s="5">
        <v>46539</v>
      </c>
      <c r="BH735">
        <v>1</v>
      </c>
      <c r="BI735" s="6">
        <v>605000</v>
      </c>
      <c r="BJ735" s="6">
        <v>40</v>
      </c>
      <c r="BK735" s="6">
        <v>242000</v>
      </c>
      <c r="BL735" s="6">
        <v>363000</v>
      </c>
      <c r="BM735" s="2">
        <v>363000</v>
      </c>
      <c r="BN735">
        <f>InvoiceTable[[#This Row],[Giảm giá]]*InvoiceTable[[#This Row],[Số lượng]]</f>
        <v>242000</v>
      </c>
    </row>
    <row r="736" spans="1:66" x14ac:dyDescent="0.25">
      <c r="A736" t="s">
        <v>65</v>
      </c>
      <c r="B736" t="s">
        <v>2450</v>
      </c>
      <c r="F736" s="2"/>
      <c r="G736" s="3">
        <v>46008.660197453704</v>
      </c>
      <c r="H736" s="3">
        <v>46008.660197766207</v>
      </c>
      <c r="I736" s="4" t="s">
        <v>67</v>
      </c>
      <c r="J736" t="s">
        <v>67</v>
      </c>
      <c r="K736" t="s">
        <v>67</v>
      </c>
      <c r="L736" t="s">
        <v>2451</v>
      </c>
      <c r="M736" t="s">
        <v>2452</v>
      </c>
      <c r="N736" t="s">
        <v>2453</v>
      </c>
      <c r="O736" t="s">
        <v>2454</v>
      </c>
      <c r="P736" t="s">
        <v>2455</v>
      </c>
      <c r="S736" s="5"/>
      <c r="T736" t="s">
        <v>72</v>
      </c>
      <c r="U736" t="s">
        <v>87</v>
      </c>
      <c r="V736" t="s">
        <v>74</v>
      </c>
      <c r="W736" t="s">
        <v>87</v>
      </c>
      <c r="AE736" s="2"/>
      <c r="AF736" s="2"/>
      <c r="AG736" s="2"/>
      <c r="AH736" s="2"/>
      <c r="AL736" s="2">
        <v>2067000</v>
      </c>
      <c r="AM736" s="2">
        <v>0</v>
      </c>
      <c r="AN736" s="2"/>
      <c r="AO736" s="2">
        <v>0</v>
      </c>
      <c r="AP736" s="2">
        <v>2067000</v>
      </c>
      <c r="AQ736" s="2">
        <v>0</v>
      </c>
      <c r="AR736" s="2">
        <v>0</v>
      </c>
      <c r="AS736" s="2">
        <v>0</v>
      </c>
      <c r="AT736" s="2">
        <v>0</v>
      </c>
      <c r="AU736" s="2">
        <v>0</v>
      </c>
      <c r="AV736" s="2">
        <v>0</v>
      </c>
      <c r="AW736" s="4"/>
      <c r="AX736" t="s">
        <v>75</v>
      </c>
      <c r="AZ736" t="s">
        <v>2456</v>
      </c>
      <c r="BA736" t="s">
        <v>67</v>
      </c>
      <c r="BB736" t="s">
        <v>2457</v>
      </c>
      <c r="BC736" t="s">
        <v>980</v>
      </c>
      <c r="BD736" t="s">
        <v>79</v>
      </c>
      <c r="BE736" t="s">
        <v>188</v>
      </c>
      <c r="BF736" s="5">
        <v>46905</v>
      </c>
      <c r="BG736" t="s">
        <v>67</v>
      </c>
      <c r="BH736">
        <v>1</v>
      </c>
      <c r="BI736" s="6">
        <v>3900000</v>
      </c>
      <c r="BJ736" s="6">
        <v>47</v>
      </c>
      <c r="BK736" s="6">
        <v>1833000</v>
      </c>
      <c r="BL736" s="6">
        <v>2067000</v>
      </c>
      <c r="BM736" s="2">
        <v>2067000</v>
      </c>
      <c r="BN736">
        <f>InvoiceTable[[#This Row],[Giảm giá]]*InvoiceTable[[#This Row],[Số lượng]]</f>
        <v>1833000</v>
      </c>
    </row>
    <row r="737" spans="1:66" x14ac:dyDescent="0.25">
      <c r="A737" t="s">
        <v>65</v>
      </c>
      <c r="B737" t="s">
        <v>2458</v>
      </c>
      <c r="F737" s="2"/>
      <c r="G737" s="3">
        <v>46008.659839120373</v>
      </c>
      <c r="H737" s="3">
        <v>46008.659839236112</v>
      </c>
      <c r="I737" s="4" t="s">
        <v>67</v>
      </c>
      <c r="J737" t="s">
        <v>67</v>
      </c>
      <c r="K737" t="s">
        <v>67</v>
      </c>
      <c r="L737" t="s">
        <v>654</v>
      </c>
      <c r="M737" t="s">
        <v>655</v>
      </c>
      <c r="N737" t="s">
        <v>67</v>
      </c>
      <c r="O737" t="s">
        <v>656</v>
      </c>
      <c r="P737" t="s">
        <v>657</v>
      </c>
      <c r="Q737" t="s">
        <v>658</v>
      </c>
      <c r="R737" t="s">
        <v>67</v>
      </c>
      <c r="S737" s="5"/>
      <c r="T737" t="s">
        <v>72</v>
      </c>
      <c r="U737" t="s">
        <v>87</v>
      </c>
      <c r="V737" t="s">
        <v>74</v>
      </c>
      <c r="W737" t="s">
        <v>87</v>
      </c>
      <c r="AE737" s="2"/>
      <c r="AF737" s="2"/>
      <c r="AG737" s="2"/>
      <c r="AH737" s="2"/>
      <c r="AL737" s="2">
        <v>5494560</v>
      </c>
      <c r="AM737" s="2">
        <v>0</v>
      </c>
      <c r="AN737" s="2"/>
      <c r="AO737" s="2">
        <v>0</v>
      </c>
      <c r="AP737" s="2">
        <v>5494560</v>
      </c>
      <c r="AQ737" s="2">
        <v>0</v>
      </c>
      <c r="AR737" s="2">
        <v>0</v>
      </c>
      <c r="AS737" s="2">
        <v>0</v>
      </c>
      <c r="AT737" s="2">
        <v>0</v>
      </c>
      <c r="AU737" s="2">
        <v>0</v>
      </c>
      <c r="AV737" s="2">
        <v>0</v>
      </c>
      <c r="AW737" s="4"/>
      <c r="AX737" t="s">
        <v>75</v>
      </c>
      <c r="AZ737" t="s">
        <v>91</v>
      </c>
      <c r="BA737" t="s">
        <v>67</v>
      </c>
      <c r="BB737" t="s">
        <v>92</v>
      </c>
      <c r="BC737" t="s">
        <v>93</v>
      </c>
      <c r="BD737" t="s">
        <v>79</v>
      </c>
      <c r="BE737" t="s">
        <v>94</v>
      </c>
      <c r="BF737" s="5">
        <v>46692</v>
      </c>
      <c r="BH737">
        <v>1</v>
      </c>
      <c r="BI737" s="6">
        <v>702000</v>
      </c>
      <c r="BJ737" s="6">
        <v>37</v>
      </c>
      <c r="BK737" s="6">
        <v>259740</v>
      </c>
      <c r="BL737" s="6">
        <v>442260</v>
      </c>
      <c r="BM737" s="2">
        <v>442260</v>
      </c>
      <c r="BN737">
        <f>InvoiceTable[[#This Row],[Giảm giá]]*InvoiceTable[[#This Row],[Số lượng]]</f>
        <v>259740</v>
      </c>
    </row>
    <row r="738" spans="1:66" x14ac:dyDescent="0.25">
      <c r="A738" t="s">
        <v>65</v>
      </c>
      <c r="B738" t="s">
        <v>2458</v>
      </c>
      <c r="F738" s="2"/>
      <c r="G738" s="3">
        <v>46008.659839120373</v>
      </c>
      <c r="H738" s="3">
        <v>46008.659839236112</v>
      </c>
      <c r="I738" s="4" t="s">
        <v>67</v>
      </c>
      <c r="J738" t="s">
        <v>67</v>
      </c>
      <c r="K738" t="s">
        <v>67</v>
      </c>
      <c r="L738" t="s">
        <v>654</v>
      </c>
      <c r="M738" t="s">
        <v>655</v>
      </c>
      <c r="N738" t="s">
        <v>67</v>
      </c>
      <c r="O738" t="s">
        <v>656</v>
      </c>
      <c r="P738" t="s">
        <v>657</v>
      </c>
      <c r="Q738" t="s">
        <v>658</v>
      </c>
      <c r="R738" t="s">
        <v>67</v>
      </c>
      <c r="S738" s="5"/>
      <c r="T738" t="s">
        <v>72</v>
      </c>
      <c r="U738" t="s">
        <v>87</v>
      </c>
      <c r="V738" t="s">
        <v>74</v>
      </c>
      <c r="W738" t="s">
        <v>87</v>
      </c>
      <c r="AE738" s="2"/>
      <c r="AF738" s="2"/>
      <c r="AG738" s="2"/>
      <c r="AH738" s="2"/>
      <c r="AL738" s="2">
        <v>5494560</v>
      </c>
      <c r="AM738" s="2">
        <v>0</v>
      </c>
      <c r="AN738" s="2"/>
      <c r="AO738" s="2">
        <v>0</v>
      </c>
      <c r="AP738" s="2">
        <v>5494560</v>
      </c>
      <c r="AQ738" s="2">
        <v>0</v>
      </c>
      <c r="AR738" s="2">
        <v>0</v>
      </c>
      <c r="AS738" s="2">
        <v>0</v>
      </c>
      <c r="AT738" s="2">
        <v>0</v>
      </c>
      <c r="AU738" s="2">
        <v>0</v>
      </c>
      <c r="AV738" s="2">
        <v>0</v>
      </c>
      <c r="AW738" s="4"/>
      <c r="AX738" t="s">
        <v>75</v>
      </c>
      <c r="AZ738" t="s">
        <v>226</v>
      </c>
      <c r="BA738" t="s">
        <v>67</v>
      </c>
      <c r="BB738" t="s">
        <v>227</v>
      </c>
      <c r="BC738" t="s">
        <v>93</v>
      </c>
      <c r="BD738" t="s">
        <v>79</v>
      </c>
      <c r="BE738" t="s">
        <v>228</v>
      </c>
      <c r="BF738" s="5">
        <v>46813</v>
      </c>
      <c r="BH738">
        <v>2</v>
      </c>
      <c r="BI738" s="6">
        <v>545000</v>
      </c>
      <c r="BJ738" s="6">
        <v>37</v>
      </c>
      <c r="BK738" s="6">
        <v>201650</v>
      </c>
      <c r="BL738" s="6">
        <v>343350</v>
      </c>
      <c r="BM738" s="2">
        <v>686700</v>
      </c>
      <c r="BN738">
        <f>InvoiceTable[[#This Row],[Giảm giá]]*InvoiceTable[[#This Row],[Số lượng]]</f>
        <v>403300</v>
      </c>
    </row>
    <row r="739" spans="1:66" x14ac:dyDescent="0.25">
      <c r="A739" t="s">
        <v>65</v>
      </c>
      <c r="B739" t="s">
        <v>2458</v>
      </c>
      <c r="F739" s="2"/>
      <c r="G739" s="3">
        <v>46008.659839120373</v>
      </c>
      <c r="H739" s="3">
        <v>46008.659839236112</v>
      </c>
      <c r="I739" s="4" t="s">
        <v>67</v>
      </c>
      <c r="J739" t="s">
        <v>67</v>
      </c>
      <c r="K739" t="s">
        <v>67</v>
      </c>
      <c r="L739" t="s">
        <v>654</v>
      </c>
      <c r="M739" t="s">
        <v>655</v>
      </c>
      <c r="N739" t="s">
        <v>67</v>
      </c>
      <c r="O739" t="s">
        <v>656</v>
      </c>
      <c r="P739" t="s">
        <v>657</v>
      </c>
      <c r="Q739" t="s">
        <v>658</v>
      </c>
      <c r="R739" t="s">
        <v>67</v>
      </c>
      <c r="S739" s="5"/>
      <c r="T739" t="s">
        <v>72</v>
      </c>
      <c r="U739" t="s">
        <v>87</v>
      </c>
      <c r="V739" t="s">
        <v>74</v>
      </c>
      <c r="W739" t="s">
        <v>87</v>
      </c>
      <c r="AE739" s="2"/>
      <c r="AF739" s="2"/>
      <c r="AG739" s="2"/>
      <c r="AH739" s="2"/>
      <c r="AL739" s="2">
        <v>5494560</v>
      </c>
      <c r="AM739" s="2">
        <v>0</v>
      </c>
      <c r="AN739" s="2"/>
      <c r="AO739" s="2">
        <v>0</v>
      </c>
      <c r="AP739" s="2">
        <v>5494560</v>
      </c>
      <c r="AQ739" s="2">
        <v>0</v>
      </c>
      <c r="AR739" s="2">
        <v>0</v>
      </c>
      <c r="AS739" s="2">
        <v>0</v>
      </c>
      <c r="AT739" s="2">
        <v>0</v>
      </c>
      <c r="AU739" s="2">
        <v>0</v>
      </c>
      <c r="AV739" s="2">
        <v>0</v>
      </c>
      <c r="AW739" s="4"/>
      <c r="AX739" t="s">
        <v>75</v>
      </c>
      <c r="AZ739" t="s">
        <v>1665</v>
      </c>
      <c r="BA739" t="s">
        <v>67</v>
      </c>
      <c r="BB739" t="s">
        <v>1666</v>
      </c>
      <c r="BC739" t="s">
        <v>367</v>
      </c>
      <c r="BD739" t="s">
        <v>79</v>
      </c>
      <c r="BE739" t="s">
        <v>228</v>
      </c>
      <c r="BF739" s="5">
        <v>46813</v>
      </c>
      <c r="BH739">
        <v>12</v>
      </c>
      <c r="BI739" s="6">
        <v>535000</v>
      </c>
      <c r="BJ739" s="6">
        <v>32</v>
      </c>
      <c r="BK739" s="6">
        <v>171200</v>
      </c>
      <c r="BL739" s="6">
        <v>363800</v>
      </c>
      <c r="BM739" s="2">
        <v>4365600</v>
      </c>
      <c r="BN739">
        <f>InvoiceTable[[#This Row],[Giảm giá]]*InvoiceTable[[#This Row],[Số lượng]]</f>
        <v>2054400</v>
      </c>
    </row>
    <row r="740" spans="1:66" x14ac:dyDescent="0.25">
      <c r="A740" t="s">
        <v>65</v>
      </c>
      <c r="B740" t="s">
        <v>2459</v>
      </c>
      <c r="F740" s="2"/>
      <c r="G740" s="3">
        <v>46008.656753356481</v>
      </c>
      <c r="H740" s="3">
        <v>46008.65675347222</v>
      </c>
      <c r="I740" s="4" t="s">
        <v>67</v>
      </c>
      <c r="J740" t="s">
        <v>67</v>
      </c>
      <c r="K740" t="s">
        <v>67</v>
      </c>
      <c r="L740" t="s">
        <v>654</v>
      </c>
      <c r="M740" t="s">
        <v>655</v>
      </c>
      <c r="N740" t="s">
        <v>67</v>
      </c>
      <c r="O740" t="s">
        <v>656</v>
      </c>
      <c r="P740" t="s">
        <v>657</v>
      </c>
      <c r="Q740" t="s">
        <v>658</v>
      </c>
      <c r="R740" t="s">
        <v>67</v>
      </c>
      <c r="S740" s="5"/>
      <c r="T740" t="s">
        <v>72</v>
      </c>
      <c r="U740" t="s">
        <v>87</v>
      </c>
      <c r="V740" t="s">
        <v>74</v>
      </c>
      <c r="W740" t="s">
        <v>87</v>
      </c>
      <c r="AE740" s="2"/>
      <c r="AF740" s="2"/>
      <c r="AG740" s="2"/>
      <c r="AH740" s="2"/>
      <c r="AL740" s="2">
        <v>1920000</v>
      </c>
      <c r="AM740" s="2">
        <v>0</v>
      </c>
      <c r="AN740" s="2"/>
      <c r="AO740" s="2">
        <v>0</v>
      </c>
      <c r="AP740" s="2">
        <v>1920000</v>
      </c>
      <c r="AQ740" s="2">
        <v>0</v>
      </c>
      <c r="AR740" s="2">
        <v>0</v>
      </c>
      <c r="AS740" s="2">
        <v>0</v>
      </c>
      <c r="AT740" s="2">
        <v>0</v>
      </c>
      <c r="AU740" s="2">
        <v>0</v>
      </c>
      <c r="AV740" s="2">
        <v>0</v>
      </c>
      <c r="AW740" s="4"/>
      <c r="AX740" t="s">
        <v>75</v>
      </c>
      <c r="AZ740" t="s">
        <v>486</v>
      </c>
      <c r="BA740" t="s">
        <v>67</v>
      </c>
      <c r="BB740" t="s">
        <v>487</v>
      </c>
      <c r="BC740" t="s">
        <v>485</v>
      </c>
      <c r="BD740" t="s">
        <v>79</v>
      </c>
      <c r="BE740" t="s">
        <v>488</v>
      </c>
      <c r="BF740" s="5">
        <v>46647</v>
      </c>
      <c r="BH740">
        <v>1</v>
      </c>
      <c r="BI740" s="6">
        <v>600000</v>
      </c>
      <c r="BJ740" s="6">
        <v>45</v>
      </c>
      <c r="BK740" s="6">
        <v>270000</v>
      </c>
      <c r="BL740" s="6">
        <v>330000</v>
      </c>
      <c r="BM740" s="2">
        <v>330000</v>
      </c>
      <c r="BN740">
        <f>InvoiceTable[[#This Row],[Giảm giá]]*InvoiceTable[[#This Row],[Số lượng]]</f>
        <v>270000</v>
      </c>
    </row>
    <row r="741" spans="1:66" x14ac:dyDescent="0.25">
      <c r="A741" t="s">
        <v>65</v>
      </c>
      <c r="B741" t="s">
        <v>2459</v>
      </c>
      <c r="F741" s="2"/>
      <c r="G741" s="3">
        <v>46008.656753356481</v>
      </c>
      <c r="H741" s="3">
        <v>46008.65675347222</v>
      </c>
      <c r="I741" s="4" t="s">
        <v>67</v>
      </c>
      <c r="J741" t="s">
        <v>67</v>
      </c>
      <c r="K741" t="s">
        <v>67</v>
      </c>
      <c r="L741" t="s">
        <v>654</v>
      </c>
      <c r="M741" t="s">
        <v>655</v>
      </c>
      <c r="N741" t="s">
        <v>67</v>
      </c>
      <c r="O741" t="s">
        <v>656</v>
      </c>
      <c r="P741" t="s">
        <v>657</v>
      </c>
      <c r="Q741" t="s">
        <v>658</v>
      </c>
      <c r="R741" t="s">
        <v>67</v>
      </c>
      <c r="S741" s="5"/>
      <c r="T741" t="s">
        <v>72</v>
      </c>
      <c r="U741" t="s">
        <v>87</v>
      </c>
      <c r="V741" t="s">
        <v>74</v>
      </c>
      <c r="W741" t="s">
        <v>87</v>
      </c>
      <c r="AE741" s="2"/>
      <c r="AF741" s="2"/>
      <c r="AG741" s="2"/>
      <c r="AH741" s="2"/>
      <c r="AL741" s="2">
        <v>1920000</v>
      </c>
      <c r="AM741" s="2">
        <v>0</v>
      </c>
      <c r="AN741" s="2"/>
      <c r="AO741" s="2">
        <v>0</v>
      </c>
      <c r="AP741" s="2">
        <v>1920000</v>
      </c>
      <c r="AQ741" s="2">
        <v>0</v>
      </c>
      <c r="AR741" s="2">
        <v>0</v>
      </c>
      <c r="AS741" s="2">
        <v>0</v>
      </c>
      <c r="AT741" s="2">
        <v>0</v>
      </c>
      <c r="AU741" s="2">
        <v>0</v>
      </c>
      <c r="AV741" s="2">
        <v>0</v>
      </c>
      <c r="AW741" s="4"/>
      <c r="AX741" t="s">
        <v>75</v>
      </c>
      <c r="AZ741" t="s">
        <v>483</v>
      </c>
      <c r="BA741" t="s">
        <v>67</v>
      </c>
      <c r="BB741" t="s">
        <v>484</v>
      </c>
      <c r="BC741" t="s">
        <v>485</v>
      </c>
      <c r="BD741" t="s">
        <v>79</v>
      </c>
      <c r="BE741" t="s">
        <v>117</v>
      </c>
      <c r="BF741" s="5">
        <v>46569</v>
      </c>
      <c r="BH741">
        <v>3</v>
      </c>
      <c r="BI741" s="6">
        <v>600000</v>
      </c>
      <c r="BJ741" s="6">
        <v>45</v>
      </c>
      <c r="BK741" s="6">
        <v>270000</v>
      </c>
      <c r="BL741" s="6">
        <v>330000</v>
      </c>
      <c r="BM741" s="2">
        <v>990000</v>
      </c>
      <c r="BN741">
        <f>InvoiceTable[[#This Row],[Giảm giá]]*InvoiceTable[[#This Row],[Số lượng]]</f>
        <v>810000</v>
      </c>
    </row>
    <row r="742" spans="1:66" x14ac:dyDescent="0.25">
      <c r="A742" t="s">
        <v>65</v>
      </c>
      <c r="B742" t="s">
        <v>2459</v>
      </c>
      <c r="F742" s="2"/>
      <c r="G742" s="3">
        <v>46008.656753356481</v>
      </c>
      <c r="H742" s="3">
        <v>46008.65675347222</v>
      </c>
      <c r="I742" s="4" t="s">
        <v>67</v>
      </c>
      <c r="J742" t="s">
        <v>67</v>
      </c>
      <c r="K742" t="s">
        <v>67</v>
      </c>
      <c r="L742" t="s">
        <v>654</v>
      </c>
      <c r="M742" t="s">
        <v>655</v>
      </c>
      <c r="N742" t="s">
        <v>67</v>
      </c>
      <c r="O742" t="s">
        <v>656</v>
      </c>
      <c r="P742" t="s">
        <v>657</v>
      </c>
      <c r="Q742" t="s">
        <v>658</v>
      </c>
      <c r="R742" t="s">
        <v>67</v>
      </c>
      <c r="S742" s="5"/>
      <c r="T742" t="s">
        <v>72</v>
      </c>
      <c r="U742" t="s">
        <v>87</v>
      </c>
      <c r="V742" t="s">
        <v>74</v>
      </c>
      <c r="W742" t="s">
        <v>87</v>
      </c>
      <c r="AE742" s="2"/>
      <c r="AF742" s="2"/>
      <c r="AG742" s="2"/>
      <c r="AH742" s="2"/>
      <c r="AL742" s="2">
        <v>1920000</v>
      </c>
      <c r="AM742" s="2">
        <v>0</v>
      </c>
      <c r="AN742" s="2"/>
      <c r="AO742" s="2">
        <v>0</v>
      </c>
      <c r="AP742" s="2">
        <v>1920000</v>
      </c>
      <c r="AQ742" s="2">
        <v>0</v>
      </c>
      <c r="AR742" s="2">
        <v>0</v>
      </c>
      <c r="AS742" s="2">
        <v>0</v>
      </c>
      <c r="AT742" s="2">
        <v>0</v>
      </c>
      <c r="AU742" s="2">
        <v>0</v>
      </c>
      <c r="AV742" s="2">
        <v>0</v>
      </c>
      <c r="AW742" s="4"/>
      <c r="AX742" t="s">
        <v>75</v>
      </c>
      <c r="AZ742" t="s">
        <v>291</v>
      </c>
      <c r="BA742" t="s">
        <v>67</v>
      </c>
      <c r="BB742" t="s">
        <v>292</v>
      </c>
      <c r="BC742" t="s">
        <v>126</v>
      </c>
      <c r="BD742" t="s">
        <v>79</v>
      </c>
      <c r="BE742" t="s">
        <v>293</v>
      </c>
      <c r="BF742" s="5">
        <v>46722</v>
      </c>
      <c r="BG742" t="s">
        <v>67</v>
      </c>
      <c r="BH742">
        <v>10</v>
      </c>
      <c r="BI742" s="6">
        <v>250000</v>
      </c>
      <c r="BJ742" s="6">
        <v>0</v>
      </c>
      <c r="BK742" s="6">
        <v>190000</v>
      </c>
      <c r="BL742" s="6">
        <v>60000</v>
      </c>
      <c r="BM742" s="2">
        <v>600000</v>
      </c>
      <c r="BN742">
        <f>InvoiceTable[[#This Row],[Giảm giá]]*InvoiceTable[[#This Row],[Số lượng]]</f>
        <v>1900000</v>
      </c>
    </row>
    <row r="743" spans="1:66" x14ac:dyDescent="0.25">
      <c r="A743" t="s">
        <v>65</v>
      </c>
      <c r="B743" t="s">
        <v>2460</v>
      </c>
      <c r="F743" s="2"/>
      <c r="G743" s="3">
        <v>46008.647210381947</v>
      </c>
      <c r="H743" s="3">
        <v>46008.647210497686</v>
      </c>
      <c r="I743" s="4" t="s">
        <v>67</v>
      </c>
      <c r="J743" t="s">
        <v>2461</v>
      </c>
      <c r="K743" t="s">
        <v>67</v>
      </c>
      <c r="L743" t="s">
        <v>2462</v>
      </c>
      <c r="M743" t="s">
        <v>2463</v>
      </c>
      <c r="N743" t="s">
        <v>67</v>
      </c>
      <c r="O743" t="s">
        <v>2464</v>
      </c>
      <c r="P743" t="s">
        <v>2465</v>
      </c>
      <c r="Q743" t="s">
        <v>67</v>
      </c>
      <c r="R743" t="s">
        <v>67</v>
      </c>
      <c r="S743" s="5"/>
      <c r="T743" t="s">
        <v>72</v>
      </c>
      <c r="U743" t="s">
        <v>102</v>
      </c>
      <c r="V743" t="s">
        <v>74</v>
      </c>
      <c r="W743" t="s">
        <v>87</v>
      </c>
      <c r="AE743" s="2"/>
      <c r="AF743" s="2"/>
      <c r="AG743" s="2"/>
      <c r="AH743" s="2"/>
      <c r="AK743" t="s">
        <v>2466</v>
      </c>
      <c r="AL743" s="2">
        <v>4538000</v>
      </c>
      <c r="AM743" s="2">
        <v>0</v>
      </c>
      <c r="AN743" s="2"/>
      <c r="AO743" s="2">
        <v>0</v>
      </c>
      <c r="AP743" s="2">
        <v>4538000</v>
      </c>
      <c r="AQ743" s="2">
        <v>0</v>
      </c>
      <c r="AR743" s="2">
        <v>0</v>
      </c>
      <c r="AS743" s="2">
        <v>0</v>
      </c>
      <c r="AT743" s="2">
        <v>0</v>
      </c>
      <c r="AU743" s="2">
        <v>0</v>
      </c>
      <c r="AV743" s="2">
        <v>0</v>
      </c>
      <c r="AW743" s="4"/>
      <c r="AX743" t="s">
        <v>75</v>
      </c>
      <c r="AZ743" t="s">
        <v>1667</v>
      </c>
      <c r="BA743" t="s">
        <v>67</v>
      </c>
      <c r="BB743" t="s">
        <v>1668</v>
      </c>
      <c r="BC743" t="s">
        <v>93</v>
      </c>
      <c r="BD743" t="s">
        <v>79</v>
      </c>
      <c r="BE743" t="s">
        <v>94</v>
      </c>
      <c r="BF743" s="5">
        <v>46692</v>
      </c>
      <c r="BG743" t="s">
        <v>67</v>
      </c>
      <c r="BH743">
        <v>2</v>
      </c>
      <c r="BI743" s="6">
        <v>466000</v>
      </c>
      <c r="BJ743" s="6">
        <v>35</v>
      </c>
      <c r="BK743" s="6">
        <v>163100</v>
      </c>
      <c r="BL743" s="6">
        <v>302900</v>
      </c>
      <c r="BM743" s="2">
        <v>605800</v>
      </c>
      <c r="BN743">
        <f>InvoiceTable[[#This Row],[Giảm giá]]*InvoiceTable[[#This Row],[Số lượng]]</f>
        <v>326200</v>
      </c>
    </row>
    <row r="744" spans="1:66" x14ac:dyDescent="0.25">
      <c r="A744" t="s">
        <v>65</v>
      </c>
      <c r="B744" t="s">
        <v>2460</v>
      </c>
      <c r="F744" s="2"/>
      <c r="G744" s="3">
        <v>46008.647210381947</v>
      </c>
      <c r="H744" s="3">
        <v>46008.647210497686</v>
      </c>
      <c r="I744" s="4" t="s">
        <v>67</v>
      </c>
      <c r="J744" t="s">
        <v>2461</v>
      </c>
      <c r="K744" t="s">
        <v>67</v>
      </c>
      <c r="L744" t="s">
        <v>2462</v>
      </c>
      <c r="M744" t="s">
        <v>2463</v>
      </c>
      <c r="N744" t="s">
        <v>67</v>
      </c>
      <c r="O744" t="s">
        <v>2464</v>
      </c>
      <c r="P744" t="s">
        <v>2465</v>
      </c>
      <c r="Q744" t="s">
        <v>67</v>
      </c>
      <c r="R744" t="s">
        <v>67</v>
      </c>
      <c r="S744" s="5"/>
      <c r="T744" t="s">
        <v>72</v>
      </c>
      <c r="U744" t="s">
        <v>102</v>
      </c>
      <c r="V744" t="s">
        <v>74</v>
      </c>
      <c r="W744" t="s">
        <v>87</v>
      </c>
      <c r="AE744" s="2"/>
      <c r="AF744" s="2"/>
      <c r="AG744" s="2"/>
      <c r="AH744" s="2"/>
      <c r="AK744" t="s">
        <v>2466</v>
      </c>
      <c r="AL744" s="2">
        <v>4538000</v>
      </c>
      <c r="AM744" s="2">
        <v>0</v>
      </c>
      <c r="AN744" s="2"/>
      <c r="AO744" s="2">
        <v>0</v>
      </c>
      <c r="AP744" s="2">
        <v>4538000</v>
      </c>
      <c r="AQ744" s="2">
        <v>0</v>
      </c>
      <c r="AR744" s="2">
        <v>0</v>
      </c>
      <c r="AS744" s="2">
        <v>0</v>
      </c>
      <c r="AT744" s="2">
        <v>0</v>
      </c>
      <c r="AU744" s="2">
        <v>0</v>
      </c>
      <c r="AV744" s="2">
        <v>0</v>
      </c>
      <c r="AW744" s="4"/>
      <c r="AX744" t="s">
        <v>75</v>
      </c>
      <c r="AZ744" t="s">
        <v>553</v>
      </c>
      <c r="BA744" t="s">
        <v>67</v>
      </c>
      <c r="BB744" t="s">
        <v>554</v>
      </c>
      <c r="BC744" t="s">
        <v>347</v>
      </c>
      <c r="BD744" t="s">
        <v>79</v>
      </c>
      <c r="BE744" t="s">
        <v>506</v>
      </c>
      <c r="BF744" s="5">
        <v>47604</v>
      </c>
      <c r="BG744" t="s">
        <v>67</v>
      </c>
      <c r="BH744">
        <v>2</v>
      </c>
      <c r="BI744" s="6">
        <v>550000</v>
      </c>
      <c r="BJ744" s="6">
        <v>35</v>
      </c>
      <c r="BK744" s="6">
        <v>192500</v>
      </c>
      <c r="BL744" s="6">
        <v>357500</v>
      </c>
      <c r="BM744" s="2">
        <v>715000</v>
      </c>
      <c r="BN744">
        <f>InvoiceTable[[#This Row],[Giảm giá]]*InvoiceTable[[#This Row],[Số lượng]]</f>
        <v>385000</v>
      </c>
    </row>
    <row r="745" spans="1:66" x14ac:dyDescent="0.25">
      <c r="A745" t="s">
        <v>65</v>
      </c>
      <c r="B745" t="s">
        <v>2460</v>
      </c>
      <c r="F745" s="2"/>
      <c r="G745" s="3">
        <v>46008.647210381947</v>
      </c>
      <c r="H745" s="3">
        <v>46008.647210497686</v>
      </c>
      <c r="I745" s="4" t="s">
        <v>67</v>
      </c>
      <c r="J745" t="s">
        <v>2461</v>
      </c>
      <c r="K745" t="s">
        <v>67</v>
      </c>
      <c r="L745" t="s">
        <v>2462</v>
      </c>
      <c r="M745" t="s">
        <v>2463</v>
      </c>
      <c r="N745" t="s">
        <v>67</v>
      </c>
      <c r="O745" t="s">
        <v>2464</v>
      </c>
      <c r="P745" t="s">
        <v>2465</v>
      </c>
      <c r="Q745" t="s">
        <v>67</v>
      </c>
      <c r="R745" t="s">
        <v>67</v>
      </c>
      <c r="S745" s="5"/>
      <c r="T745" t="s">
        <v>72</v>
      </c>
      <c r="U745" t="s">
        <v>102</v>
      </c>
      <c r="V745" t="s">
        <v>74</v>
      </c>
      <c r="W745" t="s">
        <v>87</v>
      </c>
      <c r="AE745" s="2"/>
      <c r="AF745" s="2"/>
      <c r="AG745" s="2"/>
      <c r="AH745" s="2"/>
      <c r="AK745" t="s">
        <v>2466</v>
      </c>
      <c r="AL745" s="2">
        <v>4538000</v>
      </c>
      <c r="AM745" s="2">
        <v>0</v>
      </c>
      <c r="AN745" s="2"/>
      <c r="AO745" s="2">
        <v>0</v>
      </c>
      <c r="AP745" s="2">
        <v>4538000</v>
      </c>
      <c r="AQ745" s="2">
        <v>0</v>
      </c>
      <c r="AR745" s="2">
        <v>0</v>
      </c>
      <c r="AS745" s="2">
        <v>0</v>
      </c>
      <c r="AT745" s="2">
        <v>0</v>
      </c>
      <c r="AU745" s="2">
        <v>0</v>
      </c>
      <c r="AV745" s="2">
        <v>0</v>
      </c>
      <c r="AW745" s="4"/>
      <c r="AX745" t="s">
        <v>75</v>
      </c>
      <c r="AZ745" t="s">
        <v>2467</v>
      </c>
      <c r="BA745" t="s">
        <v>67</v>
      </c>
      <c r="BB745" t="s">
        <v>2468</v>
      </c>
      <c r="BC745" t="s">
        <v>2469</v>
      </c>
      <c r="BD745" t="s">
        <v>79</v>
      </c>
      <c r="BE745" t="s">
        <v>142</v>
      </c>
      <c r="BF745" s="5">
        <v>46844</v>
      </c>
      <c r="BG745" t="s">
        <v>67</v>
      </c>
      <c r="BH745">
        <v>2</v>
      </c>
      <c r="BI745" s="6">
        <v>585000</v>
      </c>
      <c r="BJ745" s="6">
        <v>52.99</v>
      </c>
      <c r="BK745" s="6">
        <v>310000</v>
      </c>
      <c r="BL745" s="6">
        <v>275000</v>
      </c>
      <c r="BM745" s="2">
        <v>550000</v>
      </c>
      <c r="BN745">
        <f>InvoiceTable[[#This Row],[Giảm giá]]*InvoiceTable[[#This Row],[Số lượng]]</f>
        <v>620000</v>
      </c>
    </row>
    <row r="746" spans="1:66" x14ac:dyDescent="0.25">
      <c r="A746" t="s">
        <v>65</v>
      </c>
      <c r="B746" t="s">
        <v>2460</v>
      </c>
      <c r="F746" s="2"/>
      <c r="G746" s="3">
        <v>46008.647210381947</v>
      </c>
      <c r="H746" s="3">
        <v>46008.647210497686</v>
      </c>
      <c r="I746" s="4" t="s">
        <v>67</v>
      </c>
      <c r="J746" t="s">
        <v>2461</v>
      </c>
      <c r="K746" t="s">
        <v>67</v>
      </c>
      <c r="L746" t="s">
        <v>2462</v>
      </c>
      <c r="M746" t="s">
        <v>2463</v>
      </c>
      <c r="N746" t="s">
        <v>67</v>
      </c>
      <c r="O746" t="s">
        <v>2464</v>
      </c>
      <c r="P746" t="s">
        <v>2465</v>
      </c>
      <c r="Q746" t="s">
        <v>67</v>
      </c>
      <c r="R746" t="s">
        <v>67</v>
      </c>
      <c r="S746" s="5"/>
      <c r="T746" t="s">
        <v>72</v>
      </c>
      <c r="U746" t="s">
        <v>102</v>
      </c>
      <c r="V746" t="s">
        <v>74</v>
      </c>
      <c r="W746" t="s">
        <v>87</v>
      </c>
      <c r="AE746" s="2"/>
      <c r="AF746" s="2"/>
      <c r="AG746" s="2"/>
      <c r="AH746" s="2"/>
      <c r="AK746" t="s">
        <v>2466</v>
      </c>
      <c r="AL746" s="2">
        <v>4538000</v>
      </c>
      <c r="AM746" s="2">
        <v>0</v>
      </c>
      <c r="AN746" s="2"/>
      <c r="AO746" s="2">
        <v>0</v>
      </c>
      <c r="AP746" s="2">
        <v>4538000</v>
      </c>
      <c r="AQ746" s="2">
        <v>0</v>
      </c>
      <c r="AR746" s="2">
        <v>0</v>
      </c>
      <c r="AS746" s="2">
        <v>0</v>
      </c>
      <c r="AT746" s="2">
        <v>0</v>
      </c>
      <c r="AU746" s="2">
        <v>0</v>
      </c>
      <c r="AV746" s="2">
        <v>0</v>
      </c>
      <c r="AW746" s="4"/>
      <c r="AX746" t="s">
        <v>75</v>
      </c>
      <c r="AZ746" t="s">
        <v>1262</v>
      </c>
      <c r="BA746" t="s">
        <v>67</v>
      </c>
      <c r="BB746" t="s">
        <v>1263</v>
      </c>
      <c r="BC746" t="s">
        <v>1264</v>
      </c>
      <c r="BD746" t="s">
        <v>79</v>
      </c>
      <c r="BE746" t="s">
        <v>378</v>
      </c>
      <c r="BF746" s="5">
        <v>46997</v>
      </c>
      <c r="BG746" t="s">
        <v>67</v>
      </c>
      <c r="BH746">
        <v>2</v>
      </c>
      <c r="BI746" s="6">
        <v>898000</v>
      </c>
      <c r="BJ746" s="6">
        <v>0</v>
      </c>
      <c r="BK746" s="6">
        <v>498000</v>
      </c>
      <c r="BL746" s="6">
        <v>400000</v>
      </c>
      <c r="BM746" s="2">
        <v>800000</v>
      </c>
      <c r="BN746">
        <f>InvoiceTable[[#This Row],[Giảm giá]]*InvoiceTable[[#This Row],[Số lượng]]</f>
        <v>996000</v>
      </c>
    </row>
    <row r="747" spans="1:66" x14ac:dyDescent="0.25">
      <c r="A747" t="s">
        <v>65</v>
      </c>
      <c r="B747" t="s">
        <v>2460</v>
      </c>
      <c r="F747" s="2"/>
      <c r="G747" s="3">
        <v>46008.647210381947</v>
      </c>
      <c r="H747" s="3">
        <v>46008.647210497686</v>
      </c>
      <c r="I747" s="4" t="s">
        <v>67</v>
      </c>
      <c r="J747" t="s">
        <v>2461</v>
      </c>
      <c r="K747" t="s">
        <v>67</v>
      </c>
      <c r="L747" t="s">
        <v>2462</v>
      </c>
      <c r="M747" t="s">
        <v>2463</v>
      </c>
      <c r="N747" t="s">
        <v>67</v>
      </c>
      <c r="O747" t="s">
        <v>2464</v>
      </c>
      <c r="P747" t="s">
        <v>2465</v>
      </c>
      <c r="Q747" t="s">
        <v>67</v>
      </c>
      <c r="R747" t="s">
        <v>67</v>
      </c>
      <c r="S747" s="5"/>
      <c r="T747" t="s">
        <v>72</v>
      </c>
      <c r="U747" t="s">
        <v>102</v>
      </c>
      <c r="V747" t="s">
        <v>74</v>
      </c>
      <c r="W747" t="s">
        <v>87</v>
      </c>
      <c r="AE747" s="2"/>
      <c r="AF747" s="2"/>
      <c r="AG747" s="2"/>
      <c r="AH747" s="2"/>
      <c r="AK747" t="s">
        <v>2466</v>
      </c>
      <c r="AL747" s="2">
        <v>4538000</v>
      </c>
      <c r="AM747" s="2">
        <v>0</v>
      </c>
      <c r="AN747" s="2"/>
      <c r="AO747" s="2">
        <v>0</v>
      </c>
      <c r="AP747" s="2">
        <v>4538000</v>
      </c>
      <c r="AQ747" s="2">
        <v>0</v>
      </c>
      <c r="AR747" s="2">
        <v>0</v>
      </c>
      <c r="AS747" s="2">
        <v>0</v>
      </c>
      <c r="AT747" s="2">
        <v>0</v>
      </c>
      <c r="AU747" s="2">
        <v>0</v>
      </c>
      <c r="AV747" s="2">
        <v>0</v>
      </c>
      <c r="AW747" s="4"/>
      <c r="AX747" t="s">
        <v>75</v>
      </c>
      <c r="AZ747" t="s">
        <v>1665</v>
      </c>
      <c r="BA747" t="s">
        <v>67</v>
      </c>
      <c r="BB747" t="s">
        <v>1666</v>
      </c>
      <c r="BC747" t="s">
        <v>367</v>
      </c>
      <c r="BD747" t="s">
        <v>79</v>
      </c>
      <c r="BE747" t="s">
        <v>228</v>
      </c>
      <c r="BF747" s="5">
        <v>46813</v>
      </c>
      <c r="BG747" t="s">
        <v>67</v>
      </c>
      <c r="BH747">
        <v>3</v>
      </c>
      <c r="BI747" s="6">
        <v>535000</v>
      </c>
      <c r="BJ747" s="6">
        <v>30</v>
      </c>
      <c r="BK747" s="6">
        <v>160500</v>
      </c>
      <c r="BL747" s="6">
        <v>374500</v>
      </c>
      <c r="BM747" s="2">
        <v>1123500</v>
      </c>
      <c r="BN747">
        <f>InvoiceTable[[#This Row],[Giảm giá]]*InvoiceTable[[#This Row],[Số lượng]]</f>
        <v>481500</v>
      </c>
    </row>
    <row r="748" spans="1:66" x14ac:dyDescent="0.25">
      <c r="A748" t="s">
        <v>65</v>
      </c>
      <c r="B748" t="s">
        <v>2460</v>
      </c>
      <c r="F748" s="2"/>
      <c r="G748" s="3">
        <v>46008.647210381947</v>
      </c>
      <c r="H748" s="3">
        <v>46008.647210497686</v>
      </c>
      <c r="I748" s="4" t="s">
        <v>67</v>
      </c>
      <c r="J748" t="s">
        <v>2461</v>
      </c>
      <c r="K748" t="s">
        <v>67</v>
      </c>
      <c r="L748" t="s">
        <v>2462</v>
      </c>
      <c r="M748" t="s">
        <v>2463</v>
      </c>
      <c r="N748" t="s">
        <v>67</v>
      </c>
      <c r="O748" t="s">
        <v>2464</v>
      </c>
      <c r="P748" t="s">
        <v>2465</v>
      </c>
      <c r="Q748" t="s">
        <v>67</v>
      </c>
      <c r="R748" t="s">
        <v>67</v>
      </c>
      <c r="S748" s="5"/>
      <c r="T748" t="s">
        <v>72</v>
      </c>
      <c r="U748" t="s">
        <v>102</v>
      </c>
      <c r="V748" t="s">
        <v>74</v>
      </c>
      <c r="W748" t="s">
        <v>87</v>
      </c>
      <c r="AE748" s="2"/>
      <c r="AF748" s="2"/>
      <c r="AG748" s="2"/>
      <c r="AH748" s="2"/>
      <c r="AK748" t="s">
        <v>2466</v>
      </c>
      <c r="AL748" s="2">
        <v>4538000</v>
      </c>
      <c r="AM748" s="2">
        <v>0</v>
      </c>
      <c r="AN748" s="2"/>
      <c r="AO748" s="2">
        <v>0</v>
      </c>
      <c r="AP748" s="2">
        <v>4538000</v>
      </c>
      <c r="AQ748" s="2">
        <v>0</v>
      </c>
      <c r="AR748" s="2">
        <v>0</v>
      </c>
      <c r="AS748" s="2">
        <v>0</v>
      </c>
      <c r="AT748" s="2">
        <v>0</v>
      </c>
      <c r="AU748" s="2">
        <v>0</v>
      </c>
      <c r="AV748" s="2">
        <v>0</v>
      </c>
      <c r="AW748" s="4"/>
      <c r="AX748" t="s">
        <v>75</v>
      </c>
      <c r="AZ748" t="s">
        <v>2470</v>
      </c>
      <c r="BA748" t="s">
        <v>67</v>
      </c>
      <c r="BB748" t="s">
        <v>2471</v>
      </c>
      <c r="BC748" t="s">
        <v>1489</v>
      </c>
      <c r="BD748" t="s">
        <v>79</v>
      </c>
      <c r="BE748" t="s">
        <v>434</v>
      </c>
      <c r="BF748" s="5">
        <v>46661</v>
      </c>
      <c r="BG748" t="s">
        <v>67</v>
      </c>
      <c r="BH748">
        <v>2</v>
      </c>
      <c r="BI748" s="6">
        <v>555000</v>
      </c>
      <c r="BJ748" s="6">
        <v>33</v>
      </c>
      <c r="BK748" s="6">
        <v>183150</v>
      </c>
      <c r="BL748" s="6">
        <v>371850</v>
      </c>
      <c r="BM748" s="2">
        <v>743700</v>
      </c>
      <c r="BN748">
        <f>InvoiceTable[[#This Row],[Giảm giá]]*InvoiceTable[[#This Row],[Số lượng]]</f>
        <v>366300</v>
      </c>
    </row>
    <row r="749" spans="1:66" x14ac:dyDescent="0.25">
      <c r="A749" t="s">
        <v>65</v>
      </c>
      <c r="B749" t="s">
        <v>2472</v>
      </c>
      <c r="F749" s="2"/>
      <c r="G749" s="3">
        <v>46008.645666747689</v>
      </c>
      <c r="H749" s="3">
        <v>46008.645562847225</v>
      </c>
      <c r="I749" s="4" t="s">
        <v>96</v>
      </c>
      <c r="J749" t="s">
        <v>2473</v>
      </c>
      <c r="K749" t="s">
        <v>67</v>
      </c>
      <c r="L749" t="s">
        <v>2474</v>
      </c>
      <c r="M749" t="s">
        <v>2475</v>
      </c>
      <c r="N749" t="s">
        <v>67</v>
      </c>
      <c r="O749" t="s">
        <v>2476</v>
      </c>
      <c r="P749" t="s">
        <v>2477</v>
      </c>
      <c r="S749" s="5"/>
      <c r="T749" t="s">
        <v>72</v>
      </c>
      <c r="U749" t="s">
        <v>73</v>
      </c>
      <c r="V749" t="s">
        <v>74</v>
      </c>
      <c r="W749" t="s">
        <v>87</v>
      </c>
      <c r="AE749" s="2"/>
      <c r="AF749" s="2"/>
      <c r="AG749" s="2"/>
      <c r="AH749" s="2"/>
      <c r="AK749" t="s">
        <v>2478</v>
      </c>
      <c r="AL749" s="2">
        <v>990000</v>
      </c>
      <c r="AM749" s="2">
        <v>0</v>
      </c>
      <c r="AN749" s="2"/>
      <c r="AO749" s="2">
        <v>0</v>
      </c>
      <c r="AP749" s="2">
        <v>990000</v>
      </c>
      <c r="AQ749" s="2">
        <v>990000</v>
      </c>
      <c r="AR749" s="2">
        <v>990000</v>
      </c>
      <c r="AS749" s="2">
        <v>0</v>
      </c>
      <c r="AT749" s="2">
        <v>0</v>
      </c>
      <c r="AU749" s="2">
        <v>0</v>
      </c>
      <c r="AV749" s="2">
        <v>0</v>
      </c>
      <c r="AW749" s="4"/>
      <c r="AX749" t="s">
        <v>75</v>
      </c>
      <c r="AZ749" t="s">
        <v>2479</v>
      </c>
      <c r="BA749" t="s">
        <v>67</v>
      </c>
      <c r="BB749" t="s">
        <v>2480</v>
      </c>
      <c r="BC749" t="s">
        <v>960</v>
      </c>
      <c r="BD749" t="s">
        <v>79</v>
      </c>
      <c r="BE749" t="s">
        <v>117</v>
      </c>
      <c r="BF749" s="5">
        <v>46569</v>
      </c>
      <c r="BH749">
        <v>1</v>
      </c>
      <c r="BI749" s="6">
        <v>1800000</v>
      </c>
      <c r="BJ749" s="6">
        <v>45</v>
      </c>
      <c r="BK749" s="6">
        <v>810000</v>
      </c>
      <c r="BL749" s="6">
        <v>990000</v>
      </c>
      <c r="BM749" s="2">
        <v>990000</v>
      </c>
      <c r="BN749">
        <f>InvoiceTable[[#This Row],[Giảm giá]]*InvoiceTable[[#This Row],[Số lượng]]</f>
        <v>810000</v>
      </c>
    </row>
    <row r="750" spans="1:66" x14ac:dyDescent="0.25">
      <c r="A750" t="s">
        <v>65</v>
      </c>
      <c r="B750" t="s">
        <v>2481</v>
      </c>
      <c r="F750" s="2"/>
      <c r="G750" s="3">
        <v>46008.643379016205</v>
      </c>
      <c r="H750" s="3">
        <v>46008.643356134256</v>
      </c>
      <c r="I750" s="4" t="s">
        <v>2290</v>
      </c>
      <c r="J750" t="s">
        <v>67</v>
      </c>
      <c r="K750" t="s">
        <v>67</v>
      </c>
      <c r="L750" t="s">
        <v>2482</v>
      </c>
      <c r="M750" t="s">
        <v>2483</v>
      </c>
      <c r="N750" t="s">
        <v>67</v>
      </c>
      <c r="O750" t="s">
        <v>2484</v>
      </c>
      <c r="P750" t="s">
        <v>2485</v>
      </c>
      <c r="Q750" t="s">
        <v>67</v>
      </c>
      <c r="R750" t="s">
        <v>67</v>
      </c>
      <c r="S750" s="5"/>
      <c r="T750" t="s">
        <v>72</v>
      </c>
      <c r="U750" t="s">
        <v>87</v>
      </c>
      <c r="V750" t="s">
        <v>74</v>
      </c>
      <c r="W750" t="s">
        <v>87</v>
      </c>
      <c r="AE750" s="2"/>
      <c r="AF750" s="2"/>
      <c r="AG750" s="2"/>
      <c r="AH750" s="2"/>
      <c r="AK750" t="s">
        <v>2486</v>
      </c>
      <c r="AL750" s="2">
        <v>1000000</v>
      </c>
      <c r="AM750" s="2">
        <v>0</v>
      </c>
      <c r="AN750" s="2"/>
      <c r="AO750" s="2">
        <v>0</v>
      </c>
      <c r="AP750" s="2">
        <v>1000000</v>
      </c>
      <c r="AQ750" s="2">
        <v>0</v>
      </c>
      <c r="AR750" s="2">
        <v>0</v>
      </c>
      <c r="AS750" s="2">
        <v>0</v>
      </c>
      <c r="AT750" s="2">
        <v>0</v>
      </c>
      <c r="AU750" s="2">
        <v>0</v>
      </c>
      <c r="AV750" s="2">
        <v>0</v>
      </c>
      <c r="AW750" s="4"/>
      <c r="AX750" t="s">
        <v>75</v>
      </c>
      <c r="AZ750" t="s">
        <v>1908</v>
      </c>
      <c r="BA750" t="s">
        <v>67</v>
      </c>
      <c r="BB750" t="s">
        <v>1909</v>
      </c>
      <c r="BC750" t="s">
        <v>1489</v>
      </c>
      <c r="BD750" t="s">
        <v>79</v>
      </c>
      <c r="BE750" t="s">
        <v>94</v>
      </c>
      <c r="BF750" s="5">
        <v>46692</v>
      </c>
      <c r="BH750">
        <v>10</v>
      </c>
      <c r="BI750" s="6">
        <v>150000</v>
      </c>
      <c r="BJ750" s="6">
        <v>0</v>
      </c>
      <c r="BK750" s="6">
        <v>50000</v>
      </c>
      <c r="BL750" s="6">
        <v>100000</v>
      </c>
      <c r="BM750" s="2">
        <v>1000000</v>
      </c>
      <c r="BN750">
        <f>InvoiceTable[[#This Row],[Giảm giá]]*InvoiceTable[[#This Row],[Số lượng]]</f>
        <v>500000</v>
      </c>
    </row>
    <row r="751" spans="1:66" x14ac:dyDescent="0.25">
      <c r="A751" t="s">
        <v>65</v>
      </c>
      <c r="B751" t="s">
        <v>2487</v>
      </c>
      <c r="F751" s="2"/>
      <c r="G751" s="3">
        <v>46008.638176469911</v>
      </c>
      <c r="H751" s="3">
        <v>46008.638176967594</v>
      </c>
      <c r="I751" s="4" t="s">
        <v>67</v>
      </c>
      <c r="J751" t="s">
        <v>2488</v>
      </c>
      <c r="K751" t="s">
        <v>67</v>
      </c>
      <c r="L751" t="s">
        <v>963</v>
      </c>
      <c r="M751" t="s">
        <v>964</v>
      </c>
      <c r="N751" t="s">
        <v>67</v>
      </c>
      <c r="O751" t="s">
        <v>965</v>
      </c>
      <c r="P751" t="s">
        <v>966</v>
      </c>
      <c r="Q751" t="s">
        <v>67</v>
      </c>
      <c r="R751" t="s">
        <v>67</v>
      </c>
      <c r="S751" s="5"/>
      <c r="T751" t="s">
        <v>72</v>
      </c>
      <c r="U751" t="s">
        <v>102</v>
      </c>
      <c r="V751" t="s">
        <v>74</v>
      </c>
      <c r="W751" t="s">
        <v>87</v>
      </c>
      <c r="AE751" s="2"/>
      <c r="AF751" s="2"/>
      <c r="AG751" s="2"/>
      <c r="AH751" s="2"/>
      <c r="AK751" t="s">
        <v>1003</v>
      </c>
      <c r="AL751" s="2">
        <v>1800000</v>
      </c>
      <c r="AM751" s="2">
        <v>0</v>
      </c>
      <c r="AN751" s="2"/>
      <c r="AO751" s="2">
        <v>0</v>
      </c>
      <c r="AP751" s="2">
        <v>1800000</v>
      </c>
      <c r="AQ751" s="2">
        <v>1800000</v>
      </c>
      <c r="AR751" s="2">
        <v>1800000</v>
      </c>
      <c r="AS751" s="2">
        <v>0</v>
      </c>
      <c r="AT751" s="2">
        <v>0</v>
      </c>
      <c r="AU751" s="2">
        <v>0</v>
      </c>
      <c r="AV751" s="2">
        <v>0</v>
      </c>
      <c r="AW751" s="4"/>
      <c r="AX751" t="s">
        <v>75</v>
      </c>
      <c r="AZ751" t="s">
        <v>1136</v>
      </c>
      <c r="BB751" t="s">
        <v>1137</v>
      </c>
      <c r="BC751" t="s">
        <v>902</v>
      </c>
      <c r="BD751" t="s">
        <v>79</v>
      </c>
      <c r="BE751" t="s">
        <v>2489</v>
      </c>
      <c r="BF751" s="5">
        <v>46984</v>
      </c>
      <c r="BG751" t="s">
        <v>67</v>
      </c>
      <c r="BH751">
        <v>1</v>
      </c>
      <c r="BI751" s="6">
        <v>2000000</v>
      </c>
      <c r="BJ751" s="6">
        <v>0</v>
      </c>
      <c r="BK751" s="6">
        <v>200000</v>
      </c>
      <c r="BL751" s="6">
        <v>1800000</v>
      </c>
      <c r="BM751" s="2">
        <v>1800000</v>
      </c>
      <c r="BN751">
        <f>InvoiceTable[[#This Row],[Giảm giá]]*InvoiceTable[[#This Row],[Số lượng]]</f>
        <v>200000</v>
      </c>
    </row>
    <row r="752" spans="1:66" x14ac:dyDescent="0.25">
      <c r="A752" t="s">
        <v>65</v>
      </c>
      <c r="B752" t="s">
        <v>2490</v>
      </c>
      <c r="F752" s="2"/>
      <c r="G752" s="3">
        <v>46008.634954976849</v>
      </c>
      <c r="H752" s="3">
        <v>46008.63488568287</v>
      </c>
      <c r="I752" s="4" t="s">
        <v>1449</v>
      </c>
      <c r="J752" t="s">
        <v>67</v>
      </c>
      <c r="K752" t="s">
        <v>67</v>
      </c>
      <c r="L752" t="s">
        <v>2491</v>
      </c>
      <c r="M752" t="s">
        <v>2492</v>
      </c>
      <c r="N752" t="s">
        <v>2493</v>
      </c>
      <c r="O752" t="s">
        <v>2494</v>
      </c>
      <c r="P752" t="s">
        <v>2495</v>
      </c>
      <c r="S752" s="5"/>
      <c r="T752" t="s">
        <v>72</v>
      </c>
      <c r="U752" t="s">
        <v>87</v>
      </c>
      <c r="V752" t="s">
        <v>74</v>
      </c>
      <c r="W752" t="s">
        <v>87</v>
      </c>
      <c r="AE752" s="2"/>
      <c r="AF752" s="2"/>
      <c r="AG752" s="2"/>
      <c r="AH752" s="2"/>
      <c r="AL752" s="2">
        <v>9040000</v>
      </c>
      <c r="AM752" s="2">
        <v>0</v>
      </c>
      <c r="AN752" s="2"/>
      <c r="AO752" s="2">
        <v>0</v>
      </c>
      <c r="AP752" s="2">
        <v>9040000</v>
      </c>
      <c r="AQ752" s="2">
        <v>9040000</v>
      </c>
      <c r="AR752" s="2">
        <v>0</v>
      </c>
      <c r="AS752" s="2">
        <v>0</v>
      </c>
      <c r="AT752" s="2">
        <v>0</v>
      </c>
      <c r="AU752" s="2">
        <v>9040000</v>
      </c>
      <c r="AV752" s="2">
        <v>0</v>
      </c>
      <c r="AW752" s="4"/>
      <c r="AX752" t="s">
        <v>75</v>
      </c>
      <c r="AZ752" t="s">
        <v>573</v>
      </c>
      <c r="BA752" t="s">
        <v>67</v>
      </c>
      <c r="BB752" t="s">
        <v>89</v>
      </c>
      <c r="BC752" t="s">
        <v>90</v>
      </c>
      <c r="BF752" s="5"/>
      <c r="BG752" t="s">
        <v>67</v>
      </c>
      <c r="BH752">
        <v>1</v>
      </c>
      <c r="BI752" s="6">
        <v>40000</v>
      </c>
      <c r="BJ752" s="6">
        <v>0</v>
      </c>
      <c r="BK752" s="6">
        <v>0</v>
      </c>
      <c r="BL752" s="6">
        <v>40000</v>
      </c>
      <c r="BM752" s="2">
        <v>40000</v>
      </c>
      <c r="BN752">
        <f>InvoiceTable[[#This Row],[Giảm giá]]*InvoiceTable[[#This Row],[Số lượng]]</f>
        <v>0</v>
      </c>
    </row>
    <row r="753" spans="1:66" x14ac:dyDescent="0.25">
      <c r="A753" t="s">
        <v>65</v>
      </c>
      <c r="B753" t="s">
        <v>2490</v>
      </c>
      <c r="F753" s="2"/>
      <c r="G753" s="3">
        <v>46008.634954976849</v>
      </c>
      <c r="H753" s="3">
        <v>46008.63488568287</v>
      </c>
      <c r="I753" s="4" t="s">
        <v>1449</v>
      </c>
      <c r="J753" t="s">
        <v>67</v>
      </c>
      <c r="K753" t="s">
        <v>67</v>
      </c>
      <c r="L753" t="s">
        <v>2491</v>
      </c>
      <c r="M753" t="s">
        <v>2492</v>
      </c>
      <c r="N753" t="s">
        <v>2493</v>
      </c>
      <c r="O753" t="s">
        <v>2494</v>
      </c>
      <c r="P753" t="s">
        <v>2495</v>
      </c>
      <c r="S753" s="5"/>
      <c r="T753" t="s">
        <v>72</v>
      </c>
      <c r="U753" t="s">
        <v>87</v>
      </c>
      <c r="V753" t="s">
        <v>74</v>
      </c>
      <c r="W753" t="s">
        <v>87</v>
      </c>
      <c r="AE753" s="2"/>
      <c r="AF753" s="2"/>
      <c r="AG753" s="2"/>
      <c r="AH753" s="2"/>
      <c r="AL753" s="2">
        <v>9040000</v>
      </c>
      <c r="AM753" s="2">
        <v>0</v>
      </c>
      <c r="AN753" s="2"/>
      <c r="AO753" s="2">
        <v>0</v>
      </c>
      <c r="AP753" s="2">
        <v>9040000</v>
      </c>
      <c r="AQ753" s="2">
        <v>9040000</v>
      </c>
      <c r="AR753" s="2">
        <v>0</v>
      </c>
      <c r="AS753" s="2">
        <v>0</v>
      </c>
      <c r="AT753" s="2">
        <v>0</v>
      </c>
      <c r="AU753" s="2">
        <v>9040000</v>
      </c>
      <c r="AV753" s="2">
        <v>0</v>
      </c>
      <c r="AW753" s="4"/>
      <c r="AX753" t="s">
        <v>75</v>
      </c>
      <c r="AZ753" t="s">
        <v>782</v>
      </c>
      <c r="BA753" t="s">
        <v>67</v>
      </c>
      <c r="BB753" t="s">
        <v>783</v>
      </c>
      <c r="BC753" t="s">
        <v>784</v>
      </c>
      <c r="BD753" t="s">
        <v>79</v>
      </c>
      <c r="BE753" t="s">
        <v>785</v>
      </c>
      <c r="BF753" s="5">
        <v>46507</v>
      </c>
      <c r="BH753">
        <v>1</v>
      </c>
      <c r="BI753" s="6">
        <v>3550000</v>
      </c>
      <c r="BJ753" s="6">
        <v>0</v>
      </c>
      <c r="BK753" s="6">
        <v>750000</v>
      </c>
      <c r="BL753" s="6">
        <v>2800000</v>
      </c>
      <c r="BM753" s="2">
        <v>2800000</v>
      </c>
      <c r="BN753">
        <f>InvoiceTable[[#This Row],[Giảm giá]]*InvoiceTable[[#This Row],[Số lượng]]</f>
        <v>750000</v>
      </c>
    </row>
    <row r="754" spans="1:66" x14ac:dyDescent="0.25">
      <c r="A754" t="s">
        <v>65</v>
      </c>
      <c r="B754" t="s">
        <v>2490</v>
      </c>
      <c r="F754" s="2"/>
      <c r="G754" s="3">
        <v>46008.634954976849</v>
      </c>
      <c r="H754" s="3">
        <v>46008.63488568287</v>
      </c>
      <c r="I754" s="4" t="s">
        <v>1449</v>
      </c>
      <c r="J754" t="s">
        <v>67</v>
      </c>
      <c r="K754" t="s">
        <v>67</v>
      </c>
      <c r="L754" t="s">
        <v>2491</v>
      </c>
      <c r="M754" t="s">
        <v>2492</v>
      </c>
      <c r="N754" t="s">
        <v>2493</v>
      </c>
      <c r="O754" t="s">
        <v>2494</v>
      </c>
      <c r="P754" t="s">
        <v>2495</v>
      </c>
      <c r="S754" s="5"/>
      <c r="T754" t="s">
        <v>72</v>
      </c>
      <c r="U754" t="s">
        <v>87</v>
      </c>
      <c r="V754" t="s">
        <v>74</v>
      </c>
      <c r="W754" t="s">
        <v>87</v>
      </c>
      <c r="AE754" s="2"/>
      <c r="AF754" s="2"/>
      <c r="AG754" s="2"/>
      <c r="AH754" s="2"/>
      <c r="AL754" s="2">
        <v>9040000</v>
      </c>
      <c r="AM754" s="2">
        <v>0</v>
      </c>
      <c r="AN754" s="2"/>
      <c r="AO754" s="2">
        <v>0</v>
      </c>
      <c r="AP754" s="2">
        <v>9040000</v>
      </c>
      <c r="AQ754" s="2">
        <v>9040000</v>
      </c>
      <c r="AR754" s="2">
        <v>0</v>
      </c>
      <c r="AS754" s="2">
        <v>0</v>
      </c>
      <c r="AT754" s="2">
        <v>0</v>
      </c>
      <c r="AU754" s="2">
        <v>9040000</v>
      </c>
      <c r="AV754" s="2">
        <v>0</v>
      </c>
      <c r="AW754" s="4"/>
      <c r="AX754" t="s">
        <v>75</v>
      </c>
      <c r="AZ754" t="s">
        <v>536</v>
      </c>
      <c r="BA754" t="s">
        <v>67</v>
      </c>
      <c r="BB754" t="s">
        <v>537</v>
      </c>
      <c r="BC754" t="s">
        <v>105</v>
      </c>
      <c r="BD754" t="s">
        <v>79</v>
      </c>
      <c r="BE754" t="s">
        <v>94</v>
      </c>
      <c r="BF754" s="5">
        <v>46692</v>
      </c>
      <c r="BH754">
        <v>1</v>
      </c>
      <c r="BI754" s="6">
        <v>7665000</v>
      </c>
      <c r="BJ754" s="6">
        <v>0</v>
      </c>
      <c r="BK754" s="6">
        <v>1465000</v>
      </c>
      <c r="BL754" s="6">
        <v>6200000</v>
      </c>
      <c r="BM754" s="2">
        <v>6200000</v>
      </c>
      <c r="BN754">
        <f>InvoiceTable[[#This Row],[Giảm giá]]*InvoiceTable[[#This Row],[Số lượng]]</f>
        <v>1465000</v>
      </c>
    </row>
    <row r="755" spans="1:66" x14ac:dyDescent="0.25">
      <c r="A755" t="s">
        <v>65</v>
      </c>
      <c r="B755" t="s">
        <v>2496</v>
      </c>
      <c r="F755" s="2"/>
      <c r="G755" s="3">
        <v>46008.627211377316</v>
      </c>
      <c r="H755" s="3">
        <v>46008.627107326392</v>
      </c>
      <c r="I755" s="4" t="s">
        <v>96</v>
      </c>
      <c r="J755" t="s">
        <v>67</v>
      </c>
      <c r="K755" t="s">
        <v>67</v>
      </c>
      <c r="L755" t="s">
        <v>2497</v>
      </c>
      <c r="M755" t="s">
        <v>2498</v>
      </c>
      <c r="N755" t="s">
        <v>67</v>
      </c>
      <c r="O755" t="s">
        <v>2499</v>
      </c>
      <c r="P755" t="s">
        <v>2500</v>
      </c>
      <c r="Q755" t="s">
        <v>67</v>
      </c>
      <c r="R755" t="s">
        <v>67</v>
      </c>
      <c r="S755" s="5"/>
      <c r="T755" t="s">
        <v>72</v>
      </c>
      <c r="U755" t="s">
        <v>87</v>
      </c>
      <c r="V755" t="s">
        <v>74</v>
      </c>
      <c r="W755" t="s">
        <v>87</v>
      </c>
      <c r="AE755" s="2"/>
      <c r="AF755" s="2"/>
      <c r="AG755" s="2"/>
      <c r="AH755" s="2"/>
      <c r="AL755" s="2">
        <v>10500000</v>
      </c>
      <c r="AM755" s="2">
        <v>0</v>
      </c>
      <c r="AN755" s="2"/>
      <c r="AO755" s="2">
        <v>0</v>
      </c>
      <c r="AP755" s="2">
        <v>10500000</v>
      </c>
      <c r="AQ755" s="2">
        <v>0</v>
      </c>
      <c r="AR755" s="2">
        <v>0</v>
      </c>
      <c r="AS755" s="2">
        <v>0</v>
      </c>
      <c r="AT755" s="2">
        <v>0</v>
      </c>
      <c r="AU755" s="2">
        <v>0</v>
      </c>
      <c r="AV755" s="2">
        <v>0</v>
      </c>
      <c r="AW755" s="4"/>
      <c r="AX755" t="s">
        <v>75</v>
      </c>
      <c r="AZ755" t="s">
        <v>2501</v>
      </c>
      <c r="BA755" t="s">
        <v>67</v>
      </c>
      <c r="BB755" t="s">
        <v>2502</v>
      </c>
      <c r="BC755" t="s">
        <v>437</v>
      </c>
      <c r="BD755" t="s">
        <v>79</v>
      </c>
      <c r="BE755" t="s">
        <v>94</v>
      </c>
      <c r="BF755" s="5">
        <v>46692</v>
      </c>
      <c r="BH755">
        <v>3</v>
      </c>
      <c r="BI755" s="6">
        <v>5000000</v>
      </c>
      <c r="BJ755" s="6">
        <v>0</v>
      </c>
      <c r="BK755" s="6">
        <v>1500000</v>
      </c>
      <c r="BL755" s="6">
        <v>3500000</v>
      </c>
      <c r="BM755" s="2">
        <v>10500000</v>
      </c>
      <c r="BN755">
        <f>InvoiceTable[[#This Row],[Giảm giá]]*InvoiceTable[[#This Row],[Số lượng]]</f>
        <v>4500000</v>
      </c>
    </row>
    <row r="756" spans="1:66" x14ac:dyDescent="0.25">
      <c r="A756" t="s">
        <v>65</v>
      </c>
      <c r="B756" t="s">
        <v>2503</v>
      </c>
      <c r="F756" s="2"/>
      <c r="G756" s="3">
        <v>46008.614457141201</v>
      </c>
      <c r="H756" s="3">
        <v>46008.614457326388</v>
      </c>
      <c r="I756" s="4" t="s">
        <v>67</v>
      </c>
      <c r="J756" t="s">
        <v>67</v>
      </c>
      <c r="K756" t="s">
        <v>67</v>
      </c>
      <c r="L756" t="s">
        <v>876</v>
      </c>
      <c r="M756" t="s">
        <v>877</v>
      </c>
      <c r="N756" t="s">
        <v>67</v>
      </c>
      <c r="O756" t="s">
        <v>878</v>
      </c>
      <c r="P756" t="s">
        <v>879</v>
      </c>
      <c r="Q756" t="s">
        <v>880</v>
      </c>
      <c r="R756" t="s">
        <v>881</v>
      </c>
      <c r="S756" s="5"/>
      <c r="T756" t="s">
        <v>72</v>
      </c>
      <c r="U756" t="s">
        <v>87</v>
      </c>
      <c r="V756" t="s">
        <v>74</v>
      </c>
      <c r="W756" t="s">
        <v>87</v>
      </c>
      <c r="AE756" s="2"/>
      <c r="AF756" s="2"/>
      <c r="AG756" s="2"/>
      <c r="AH756" s="2"/>
      <c r="AL756" s="2">
        <v>1850000</v>
      </c>
      <c r="AM756" s="2">
        <v>0</v>
      </c>
      <c r="AN756" s="2"/>
      <c r="AO756" s="2">
        <v>0</v>
      </c>
      <c r="AP756" s="2">
        <v>1850000</v>
      </c>
      <c r="AQ756" s="2">
        <v>0</v>
      </c>
      <c r="AR756" s="2">
        <v>0</v>
      </c>
      <c r="AS756" s="2">
        <v>0</v>
      </c>
      <c r="AT756" s="2">
        <v>0</v>
      </c>
      <c r="AU756" s="2">
        <v>0</v>
      </c>
      <c r="AV756" s="2">
        <v>0</v>
      </c>
      <c r="AW756" s="4"/>
      <c r="AX756" t="s">
        <v>75</v>
      </c>
      <c r="AZ756" t="s">
        <v>515</v>
      </c>
      <c r="BA756" t="s">
        <v>67</v>
      </c>
      <c r="BB756" t="s">
        <v>516</v>
      </c>
      <c r="BC756" t="s">
        <v>78</v>
      </c>
      <c r="BD756" t="s">
        <v>79</v>
      </c>
      <c r="BE756" t="s">
        <v>517</v>
      </c>
      <c r="BF756" s="5">
        <v>47665</v>
      </c>
      <c r="BG756" t="s">
        <v>67</v>
      </c>
      <c r="BH756">
        <v>1</v>
      </c>
      <c r="BI756" s="6">
        <v>3700000</v>
      </c>
      <c r="BJ756" s="6">
        <v>50</v>
      </c>
      <c r="BK756" s="6">
        <v>1850000</v>
      </c>
      <c r="BL756" s="6">
        <v>1850000</v>
      </c>
      <c r="BM756" s="2">
        <v>1850000</v>
      </c>
      <c r="BN756">
        <f>InvoiceTable[[#This Row],[Giảm giá]]*InvoiceTable[[#This Row],[Số lượng]]</f>
        <v>1850000</v>
      </c>
    </row>
    <row r="757" spans="1:66" x14ac:dyDescent="0.25">
      <c r="A757" t="s">
        <v>65</v>
      </c>
      <c r="B757" t="s">
        <v>2504</v>
      </c>
      <c r="F757" s="2"/>
      <c r="G757" s="3">
        <v>46008.612915740741</v>
      </c>
      <c r="H757" s="3">
        <v>46008.612915821759</v>
      </c>
      <c r="I757" s="4" t="s">
        <v>67</v>
      </c>
      <c r="J757" t="s">
        <v>67</v>
      </c>
      <c r="K757" t="s">
        <v>67</v>
      </c>
      <c r="L757" t="s">
        <v>876</v>
      </c>
      <c r="M757" t="s">
        <v>877</v>
      </c>
      <c r="N757" t="s">
        <v>67</v>
      </c>
      <c r="O757" t="s">
        <v>878</v>
      </c>
      <c r="P757" t="s">
        <v>879</v>
      </c>
      <c r="Q757" t="s">
        <v>880</v>
      </c>
      <c r="R757" t="s">
        <v>881</v>
      </c>
      <c r="S757" s="5"/>
      <c r="T757" t="s">
        <v>72</v>
      </c>
      <c r="U757" t="s">
        <v>87</v>
      </c>
      <c r="V757" t="s">
        <v>74</v>
      </c>
      <c r="W757" t="s">
        <v>87</v>
      </c>
      <c r="AE757" s="2"/>
      <c r="AF757" s="2"/>
      <c r="AG757" s="2"/>
      <c r="AH757" s="2"/>
      <c r="AL757" s="2">
        <v>1944800</v>
      </c>
      <c r="AM757" s="2">
        <v>0</v>
      </c>
      <c r="AN757" s="2"/>
      <c r="AO757" s="2">
        <v>0</v>
      </c>
      <c r="AP757" s="2">
        <v>1944800</v>
      </c>
      <c r="AQ757" s="2">
        <v>0</v>
      </c>
      <c r="AR757" s="2">
        <v>0</v>
      </c>
      <c r="AS757" s="2">
        <v>0</v>
      </c>
      <c r="AT757" s="2">
        <v>0</v>
      </c>
      <c r="AU757" s="2">
        <v>0</v>
      </c>
      <c r="AV757" s="2">
        <v>0</v>
      </c>
      <c r="AW757" s="4"/>
      <c r="AX757" t="s">
        <v>75</v>
      </c>
      <c r="AZ757" t="s">
        <v>768</v>
      </c>
      <c r="BA757" t="s">
        <v>67</v>
      </c>
      <c r="BB757" t="s">
        <v>769</v>
      </c>
      <c r="BC757" t="s">
        <v>770</v>
      </c>
      <c r="BD757" t="s">
        <v>79</v>
      </c>
      <c r="BE757" t="s">
        <v>80</v>
      </c>
      <c r="BF757" s="5">
        <v>47300</v>
      </c>
      <c r="BH757">
        <v>10</v>
      </c>
      <c r="BI757" s="6">
        <v>374000</v>
      </c>
      <c r="BJ757" s="6">
        <v>48</v>
      </c>
      <c r="BK757" s="6">
        <v>179520</v>
      </c>
      <c r="BL757" s="6">
        <v>194480</v>
      </c>
      <c r="BM757" s="2">
        <v>1944800</v>
      </c>
      <c r="BN757">
        <f>InvoiceTable[[#This Row],[Giảm giá]]*InvoiceTable[[#This Row],[Số lượng]]</f>
        <v>1795200</v>
      </c>
    </row>
    <row r="758" spans="1:66" x14ac:dyDescent="0.25">
      <c r="A758" t="s">
        <v>65</v>
      </c>
      <c r="B758" t="s">
        <v>2505</v>
      </c>
      <c r="F758" s="2"/>
      <c r="G758" s="3">
        <v>46008.611744594906</v>
      </c>
      <c r="H758" s="3">
        <v>46008.611744710652</v>
      </c>
      <c r="I758" s="4" t="s">
        <v>67</v>
      </c>
      <c r="J758" t="s">
        <v>67</v>
      </c>
      <c r="K758" t="s">
        <v>67</v>
      </c>
      <c r="L758" t="s">
        <v>876</v>
      </c>
      <c r="M758" t="s">
        <v>877</v>
      </c>
      <c r="N758" t="s">
        <v>67</v>
      </c>
      <c r="O758" t="s">
        <v>878</v>
      </c>
      <c r="P758" t="s">
        <v>879</v>
      </c>
      <c r="Q758" t="s">
        <v>880</v>
      </c>
      <c r="R758" t="s">
        <v>881</v>
      </c>
      <c r="S758" s="5"/>
      <c r="T758" t="s">
        <v>72</v>
      </c>
      <c r="U758" t="s">
        <v>87</v>
      </c>
      <c r="V758" t="s">
        <v>74</v>
      </c>
      <c r="W758" t="s">
        <v>87</v>
      </c>
      <c r="AE758" s="2"/>
      <c r="AF758" s="2"/>
      <c r="AG758" s="2"/>
      <c r="AH758" s="2"/>
      <c r="AL758" s="2">
        <v>8770000</v>
      </c>
      <c r="AM758" s="2">
        <v>0</v>
      </c>
      <c r="AN758" s="2"/>
      <c r="AO758" s="2">
        <v>0</v>
      </c>
      <c r="AP758" s="2">
        <v>8770000</v>
      </c>
      <c r="AQ758" s="2">
        <v>0</v>
      </c>
      <c r="AR758" s="2">
        <v>0</v>
      </c>
      <c r="AS758" s="2">
        <v>0</v>
      </c>
      <c r="AT758" s="2">
        <v>0</v>
      </c>
      <c r="AU758" s="2">
        <v>0</v>
      </c>
      <c r="AV758" s="2">
        <v>0</v>
      </c>
      <c r="AW758" s="4"/>
      <c r="AX758" t="s">
        <v>75</v>
      </c>
      <c r="AZ758" t="s">
        <v>495</v>
      </c>
      <c r="BA758" t="s">
        <v>67</v>
      </c>
      <c r="BB758" t="s">
        <v>496</v>
      </c>
      <c r="BC758" t="s">
        <v>497</v>
      </c>
      <c r="BD758" t="s">
        <v>79</v>
      </c>
      <c r="BE758" t="s">
        <v>117</v>
      </c>
      <c r="BF758" s="5">
        <v>46569</v>
      </c>
      <c r="BH758">
        <v>10</v>
      </c>
      <c r="BI758" s="6">
        <v>250000</v>
      </c>
      <c r="BJ758" s="6">
        <v>0</v>
      </c>
      <c r="BK758" s="6">
        <v>183000</v>
      </c>
      <c r="BL758" s="6">
        <v>67000</v>
      </c>
      <c r="BM758" s="2">
        <v>670000</v>
      </c>
      <c r="BN758">
        <f>InvoiceTable[[#This Row],[Giảm giá]]*InvoiceTable[[#This Row],[Số lượng]]</f>
        <v>1830000</v>
      </c>
    </row>
    <row r="759" spans="1:66" x14ac:dyDescent="0.25">
      <c r="A759" t="s">
        <v>65</v>
      </c>
      <c r="B759" t="s">
        <v>2505</v>
      </c>
      <c r="F759" s="2"/>
      <c r="G759" s="3">
        <v>46008.611744594906</v>
      </c>
      <c r="H759" s="3">
        <v>46008.611744710652</v>
      </c>
      <c r="I759" s="4" t="s">
        <v>67</v>
      </c>
      <c r="J759" t="s">
        <v>67</v>
      </c>
      <c r="K759" t="s">
        <v>67</v>
      </c>
      <c r="L759" t="s">
        <v>876</v>
      </c>
      <c r="M759" t="s">
        <v>877</v>
      </c>
      <c r="N759" t="s">
        <v>67</v>
      </c>
      <c r="O759" t="s">
        <v>878</v>
      </c>
      <c r="P759" t="s">
        <v>879</v>
      </c>
      <c r="Q759" t="s">
        <v>880</v>
      </c>
      <c r="R759" t="s">
        <v>881</v>
      </c>
      <c r="S759" s="5"/>
      <c r="T759" t="s">
        <v>72</v>
      </c>
      <c r="U759" t="s">
        <v>87</v>
      </c>
      <c r="V759" t="s">
        <v>74</v>
      </c>
      <c r="W759" t="s">
        <v>87</v>
      </c>
      <c r="AE759" s="2"/>
      <c r="AF759" s="2"/>
      <c r="AG759" s="2"/>
      <c r="AH759" s="2"/>
      <c r="AL759" s="2">
        <v>8770000</v>
      </c>
      <c r="AM759" s="2">
        <v>0</v>
      </c>
      <c r="AN759" s="2"/>
      <c r="AO759" s="2">
        <v>0</v>
      </c>
      <c r="AP759" s="2">
        <v>8770000</v>
      </c>
      <c r="AQ759" s="2">
        <v>0</v>
      </c>
      <c r="AR759" s="2">
        <v>0</v>
      </c>
      <c r="AS759" s="2">
        <v>0</v>
      </c>
      <c r="AT759" s="2">
        <v>0</v>
      </c>
      <c r="AU759" s="2">
        <v>0</v>
      </c>
      <c r="AV759" s="2">
        <v>0</v>
      </c>
      <c r="AW759" s="4"/>
      <c r="AX759" t="s">
        <v>75</v>
      </c>
      <c r="AZ759" t="s">
        <v>782</v>
      </c>
      <c r="BA759" t="s">
        <v>67</v>
      </c>
      <c r="BB759" t="s">
        <v>783</v>
      </c>
      <c r="BC759" t="s">
        <v>784</v>
      </c>
      <c r="BD759" t="s">
        <v>79</v>
      </c>
      <c r="BE759" t="s">
        <v>785</v>
      </c>
      <c r="BF759" s="5">
        <v>46507</v>
      </c>
      <c r="BH759">
        <v>3</v>
      </c>
      <c r="BI759" s="6">
        <v>3550000</v>
      </c>
      <c r="BJ759" s="6">
        <v>0</v>
      </c>
      <c r="BK759" s="6">
        <v>850000</v>
      </c>
      <c r="BL759" s="6">
        <v>2700000</v>
      </c>
      <c r="BM759" s="2">
        <v>8100000</v>
      </c>
      <c r="BN759">
        <f>InvoiceTable[[#This Row],[Giảm giá]]*InvoiceTable[[#This Row],[Số lượng]]</f>
        <v>2550000</v>
      </c>
    </row>
    <row r="760" spans="1:66" x14ac:dyDescent="0.25">
      <c r="A760" t="s">
        <v>65</v>
      </c>
      <c r="B760" t="s">
        <v>2506</v>
      </c>
      <c r="F760" s="2"/>
      <c r="G760" s="3">
        <v>46008.600077048613</v>
      </c>
      <c r="H760" s="3">
        <v>46008.600077164352</v>
      </c>
      <c r="I760" s="4" t="s">
        <v>67</v>
      </c>
      <c r="J760" t="s">
        <v>67</v>
      </c>
      <c r="K760" t="s">
        <v>67</v>
      </c>
      <c r="L760" t="s">
        <v>796</v>
      </c>
      <c r="M760" t="s">
        <v>797</v>
      </c>
      <c r="N760" t="s">
        <v>67</v>
      </c>
      <c r="O760" t="s">
        <v>798</v>
      </c>
      <c r="P760" t="s">
        <v>799</v>
      </c>
      <c r="Q760" t="s">
        <v>800</v>
      </c>
      <c r="R760" t="s">
        <v>801</v>
      </c>
      <c r="S760" s="5"/>
      <c r="T760" t="s">
        <v>72</v>
      </c>
      <c r="U760" t="s">
        <v>102</v>
      </c>
      <c r="V760" t="s">
        <v>74</v>
      </c>
      <c r="W760" t="s">
        <v>102</v>
      </c>
      <c r="AE760" s="2"/>
      <c r="AF760" s="2"/>
      <c r="AG760" s="2"/>
      <c r="AH760" s="2"/>
      <c r="AL760" s="2">
        <v>1712339</v>
      </c>
      <c r="AM760" s="2">
        <v>0</v>
      </c>
      <c r="AN760" s="2"/>
      <c r="AO760" s="2">
        <v>0</v>
      </c>
      <c r="AP760" s="2">
        <v>1712339</v>
      </c>
      <c r="AQ760" s="2">
        <v>1712339</v>
      </c>
      <c r="AR760" s="2">
        <v>0</v>
      </c>
      <c r="AS760" s="2">
        <v>0</v>
      </c>
      <c r="AT760" s="2">
        <v>0</v>
      </c>
      <c r="AU760" s="2">
        <v>1712339</v>
      </c>
      <c r="AV760" s="2">
        <v>0</v>
      </c>
      <c r="AW760" s="4"/>
      <c r="AX760" t="s">
        <v>75</v>
      </c>
      <c r="AZ760" t="s">
        <v>771</v>
      </c>
      <c r="BA760" t="s">
        <v>67</v>
      </c>
      <c r="BB760" t="s">
        <v>772</v>
      </c>
      <c r="BC760" t="s">
        <v>770</v>
      </c>
      <c r="BD760" t="s">
        <v>79</v>
      </c>
      <c r="BE760" t="s">
        <v>201</v>
      </c>
      <c r="BF760" s="5">
        <v>46966</v>
      </c>
      <c r="BH760">
        <v>1</v>
      </c>
      <c r="BI760" s="6">
        <v>399000</v>
      </c>
      <c r="BJ760" s="6">
        <v>42</v>
      </c>
      <c r="BK760" s="6">
        <v>167580</v>
      </c>
      <c r="BL760" s="6">
        <v>231420</v>
      </c>
      <c r="BM760" s="2">
        <v>231420</v>
      </c>
      <c r="BN760">
        <f>InvoiceTable[[#This Row],[Giảm giá]]*InvoiceTable[[#This Row],[Số lượng]]</f>
        <v>167580</v>
      </c>
    </row>
    <row r="761" spans="1:66" x14ac:dyDescent="0.25">
      <c r="A761" t="s">
        <v>65</v>
      </c>
      <c r="B761" t="s">
        <v>2506</v>
      </c>
      <c r="F761" s="2"/>
      <c r="G761" s="3">
        <v>46008.600077048613</v>
      </c>
      <c r="H761" s="3">
        <v>46008.600077164352</v>
      </c>
      <c r="I761" s="4" t="s">
        <v>67</v>
      </c>
      <c r="J761" t="s">
        <v>67</v>
      </c>
      <c r="K761" t="s">
        <v>67</v>
      </c>
      <c r="L761" t="s">
        <v>796</v>
      </c>
      <c r="M761" t="s">
        <v>797</v>
      </c>
      <c r="N761" t="s">
        <v>67</v>
      </c>
      <c r="O761" t="s">
        <v>798</v>
      </c>
      <c r="P761" t="s">
        <v>799</v>
      </c>
      <c r="Q761" t="s">
        <v>800</v>
      </c>
      <c r="R761" t="s">
        <v>801</v>
      </c>
      <c r="S761" s="5"/>
      <c r="T761" t="s">
        <v>72</v>
      </c>
      <c r="U761" t="s">
        <v>102</v>
      </c>
      <c r="V761" t="s">
        <v>74</v>
      </c>
      <c r="W761" t="s">
        <v>102</v>
      </c>
      <c r="AE761" s="2"/>
      <c r="AF761" s="2"/>
      <c r="AG761" s="2"/>
      <c r="AH761" s="2"/>
      <c r="AL761" s="2">
        <v>1712339</v>
      </c>
      <c r="AM761" s="2">
        <v>0</v>
      </c>
      <c r="AN761" s="2"/>
      <c r="AO761" s="2">
        <v>0</v>
      </c>
      <c r="AP761" s="2">
        <v>1712339</v>
      </c>
      <c r="AQ761" s="2">
        <v>1712339</v>
      </c>
      <c r="AR761" s="2">
        <v>0</v>
      </c>
      <c r="AS761" s="2">
        <v>0</v>
      </c>
      <c r="AT761" s="2">
        <v>0</v>
      </c>
      <c r="AU761" s="2">
        <v>1712339</v>
      </c>
      <c r="AV761" s="2">
        <v>0</v>
      </c>
      <c r="AW761" s="4"/>
      <c r="AX761" t="s">
        <v>75</v>
      </c>
      <c r="AZ761" t="s">
        <v>192</v>
      </c>
      <c r="BA761" t="s">
        <v>67</v>
      </c>
      <c r="BB761" t="s">
        <v>193</v>
      </c>
      <c r="BC761" t="s">
        <v>194</v>
      </c>
      <c r="BD761" t="s">
        <v>79</v>
      </c>
      <c r="BE761" t="s">
        <v>195</v>
      </c>
      <c r="BF761" s="5">
        <v>46419</v>
      </c>
      <c r="BH761">
        <v>3</v>
      </c>
      <c r="BI761" s="6">
        <v>250000</v>
      </c>
      <c r="BJ761" s="6">
        <v>0</v>
      </c>
      <c r="BK761" s="6">
        <v>140000</v>
      </c>
      <c r="BL761" s="6">
        <v>110000</v>
      </c>
      <c r="BM761" s="2">
        <v>330000</v>
      </c>
      <c r="BN761">
        <f>InvoiceTable[[#This Row],[Giảm giá]]*InvoiceTable[[#This Row],[Số lượng]]</f>
        <v>420000</v>
      </c>
    </row>
    <row r="762" spans="1:66" x14ac:dyDescent="0.25">
      <c r="A762" t="s">
        <v>65</v>
      </c>
      <c r="B762" t="s">
        <v>2506</v>
      </c>
      <c r="F762" s="2"/>
      <c r="G762" s="3">
        <v>46008.600077048613</v>
      </c>
      <c r="H762" s="3">
        <v>46008.600077164352</v>
      </c>
      <c r="I762" s="4" t="s">
        <v>67</v>
      </c>
      <c r="J762" t="s">
        <v>67</v>
      </c>
      <c r="K762" t="s">
        <v>67</v>
      </c>
      <c r="L762" t="s">
        <v>796</v>
      </c>
      <c r="M762" t="s">
        <v>797</v>
      </c>
      <c r="N762" t="s">
        <v>67</v>
      </c>
      <c r="O762" t="s">
        <v>798</v>
      </c>
      <c r="P762" t="s">
        <v>799</v>
      </c>
      <c r="Q762" t="s">
        <v>800</v>
      </c>
      <c r="R762" t="s">
        <v>801</v>
      </c>
      <c r="S762" s="5"/>
      <c r="T762" t="s">
        <v>72</v>
      </c>
      <c r="U762" t="s">
        <v>102</v>
      </c>
      <c r="V762" t="s">
        <v>74</v>
      </c>
      <c r="W762" t="s">
        <v>102</v>
      </c>
      <c r="AE762" s="2"/>
      <c r="AF762" s="2"/>
      <c r="AG762" s="2"/>
      <c r="AH762" s="2"/>
      <c r="AL762" s="2">
        <v>1712339</v>
      </c>
      <c r="AM762" s="2">
        <v>0</v>
      </c>
      <c r="AN762" s="2"/>
      <c r="AO762" s="2">
        <v>0</v>
      </c>
      <c r="AP762" s="2">
        <v>1712339</v>
      </c>
      <c r="AQ762" s="2">
        <v>1712339</v>
      </c>
      <c r="AR762" s="2">
        <v>0</v>
      </c>
      <c r="AS762" s="2">
        <v>0</v>
      </c>
      <c r="AT762" s="2">
        <v>0</v>
      </c>
      <c r="AU762" s="2">
        <v>1712339</v>
      </c>
      <c r="AV762" s="2">
        <v>0</v>
      </c>
      <c r="AW762" s="4"/>
      <c r="AX762" t="s">
        <v>75</v>
      </c>
      <c r="AZ762" t="s">
        <v>1105</v>
      </c>
      <c r="BA762" t="s">
        <v>67</v>
      </c>
      <c r="BB762" t="s">
        <v>1106</v>
      </c>
      <c r="BC762" t="s">
        <v>939</v>
      </c>
      <c r="BD762" t="s">
        <v>79</v>
      </c>
      <c r="BE762" t="s">
        <v>378</v>
      </c>
      <c r="BF762" s="5">
        <v>46997</v>
      </c>
      <c r="BH762">
        <v>1</v>
      </c>
      <c r="BI762" s="6">
        <v>845000</v>
      </c>
      <c r="BJ762" s="6">
        <v>38</v>
      </c>
      <c r="BK762" s="6">
        <v>321100</v>
      </c>
      <c r="BL762" s="6">
        <v>523900</v>
      </c>
      <c r="BM762" s="2">
        <v>523900</v>
      </c>
      <c r="BN762">
        <f>InvoiceTable[[#This Row],[Giảm giá]]*InvoiceTable[[#This Row],[Số lượng]]</f>
        <v>321100</v>
      </c>
    </row>
    <row r="763" spans="1:66" x14ac:dyDescent="0.25">
      <c r="A763" t="s">
        <v>65</v>
      </c>
      <c r="B763" t="s">
        <v>2506</v>
      </c>
      <c r="F763" s="2"/>
      <c r="G763" s="3">
        <v>46008.600077048613</v>
      </c>
      <c r="H763" s="3">
        <v>46008.600077164352</v>
      </c>
      <c r="I763" s="4" t="s">
        <v>67</v>
      </c>
      <c r="J763" t="s">
        <v>67</v>
      </c>
      <c r="K763" t="s">
        <v>67</v>
      </c>
      <c r="L763" t="s">
        <v>796</v>
      </c>
      <c r="M763" t="s">
        <v>797</v>
      </c>
      <c r="N763" t="s">
        <v>67</v>
      </c>
      <c r="O763" t="s">
        <v>798</v>
      </c>
      <c r="P763" t="s">
        <v>799</v>
      </c>
      <c r="Q763" t="s">
        <v>800</v>
      </c>
      <c r="R763" t="s">
        <v>801</v>
      </c>
      <c r="S763" s="5"/>
      <c r="T763" t="s">
        <v>72</v>
      </c>
      <c r="U763" t="s">
        <v>102</v>
      </c>
      <c r="V763" t="s">
        <v>74</v>
      </c>
      <c r="W763" t="s">
        <v>102</v>
      </c>
      <c r="AE763" s="2"/>
      <c r="AF763" s="2"/>
      <c r="AG763" s="2"/>
      <c r="AH763" s="2"/>
      <c r="AL763" s="2">
        <v>1712339</v>
      </c>
      <c r="AM763" s="2">
        <v>0</v>
      </c>
      <c r="AN763" s="2"/>
      <c r="AO763" s="2">
        <v>0</v>
      </c>
      <c r="AP763" s="2">
        <v>1712339</v>
      </c>
      <c r="AQ763" s="2">
        <v>1712339</v>
      </c>
      <c r="AR763" s="2">
        <v>0</v>
      </c>
      <c r="AS763" s="2">
        <v>0</v>
      </c>
      <c r="AT763" s="2">
        <v>0</v>
      </c>
      <c r="AU763" s="2">
        <v>1712339</v>
      </c>
      <c r="AV763" s="2">
        <v>0</v>
      </c>
      <c r="AW763" s="4"/>
      <c r="AX763" t="s">
        <v>75</v>
      </c>
      <c r="AZ763" t="s">
        <v>860</v>
      </c>
      <c r="BA763" t="s">
        <v>67</v>
      </c>
      <c r="BB763" t="s">
        <v>861</v>
      </c>
      <c r="BC763" t="s">
        <v>191</v>
      </c>
      <c r="BD763" t="s">
        <v>79</v>
      </c>
      <c r="BE763" t="s">
        <v>862</v>
      </c>
      <c r="BF763" s="5">
        <v>47515</v>
      </c>
      <c r="BH763">
        <v>1</v>
      </c>
      <c r="BI763" s="6">
        <v>470291</v>
      </c>
      <c r="BJ763" s="6">
        <v>42</v>
      </c>
      <c r="BK763" s="6">
        <v>197522.22</v>
      </c>
      <c r="BL763" s="6">
        <v>272768.78000000003</v>
      </c>
      <c r="BM763" s="2">
        <v>272769</v>
      </c>
      <c r="BN763">
        <f>InvoiceTable[[#This Row],[Giảm giá]]*InvoiceTable[[#This Row],[Số lượng]]</f>
        <v>197522.22</v>
      </c>
    </row>
    <row r="764" spans="1:66" x14ac:dyDescent="0.25">
      <c r="A764" t="s">
        <v>65</v>
      </c>
      <c r="B764" t="s">
        <v>2506</v>
      </c>
      <c r="F764" s="2"/>
      <c r="G764" s="3">
        <v>46008.600077048613</v>
      </c>
      <c r="H764" s="3">
        <v>46008.600077164352</v>
      </c>
      <c r="I764" s="4" t="s">
        <v>67</v>
      </c>
      <c r="J764" t="s">
        <v>67</v>
      </c>
      <c r="K764" t="s">
        <v>67</v>
      </c>
      <c r="L764" t="s">
        <v>796</v>
      </c>
      <c r="M764" t="s">
        <v>797</v>
      </c>
      <c r="N764" t="s">
        <v>67</v>
      </c>
      <c r="O764" t="s">
        <v>798</v>
      </c>
      <c r="P764" t="s">
        <v>799</v>
      </c>
      <c r="Q764" t="s">
        <v>800</v>
      </c>
      <c r="R764" t="s">
        <v>801</v>
      </c>
      <c r="S764" s="5"/>
      <c r="T764" t="s">
        <v>72</v>
      </c>
      <c r="U764" t="s">
        <v>102</v>
      </c>
      <c r="V764" t="s">
        <v>74</v>
      </c>
      <c r="W764" t="s">
        <v>102</v>
      </c>
      <c r="AE764" s="2"/>
      <c r="AF764" s="2"/>
      <c r="AG764" s="2"/>
      <c r="AH764" s="2"/>
      <c r="AL764" s="2">
        <v>1712339</v>
      </c>
      <c r="AM764" s="2">
        <v>0</v>
      </c>
      <c r="AN764" s="2"/>
      <c r="AO764" s="2">
        <v>0</v>
      </c>
      <c r="AP764" s="2">
        <v>1712339</v>
      </c>
      <c r="AQ764" s="2">
        <v>1712339</v>
      </c>
      <c r="AR764" s="2">
        <v>0</v>
      </c>
      <c r="AS764" s="2">
        <v>0</v>
      </c>
      <c r="AT764" s="2">
        <v>0</v>
      </c>
      <c r="AU764" s="2">
        <v>1712339</v>
      </c>
      <c r="AV764" s="2">
        <v>0</v>
      </c>
      <c r="AW764" s="4"/>
      <c r="AX764" t="s">
        <v>75</v>
      </c>
      <c r="AZ764" t="s">
        <v>1072</v>
      </c>
      <c r="BA764" t="s">
        <v>67</v>
      </c>
      <c r="BB764" t="s">
        <v>1073</v>
      </c>
      <c r="BC764" t="s">
        <v>204</v>
      </c>
      <c r="BD764" t="s">
        <v>79</v>
      </c>
      <c r="BE764" t="s">
        <v>1074</v>
      </c>
      <c r="BF764" s="5">
        <v>47423</v>
      </c>
      <c r="BH764">
        <v>1</v>
      </c>
      <c r="BI764" s="6">
        <v>545000</v>
      </c>
      <c r="BJ764" s="6">
        <v>35</v>
      </c>
      <c r="BK764" s="6">
        <v>190750</v>
      </c>
      <c r="BL764" s="6">
        <v>354250</v>
      </c>
      <c r="BM764" s="2">
        <v>354250</v>
      </c>
      <c r="BN764">
        <f>InvoiceTable[[#This Row],[Giảm giá]]*InvoiceTable[[#This Row],[Số lượng]]</f>
        <v>190750</v>
      </c>
    </row>
    <row r="765" spans="1:66" x14ac:dyDescent="0.25">
      <c r="A765" t="s">
        <v>65</v>
      </c>
      <c r="B765" t="s">
        <v>2507</v>
      </c>
      <c r="F765" s="2"/>
      <c r="G765" s="3">
        <v>46008.597491006942</v>
      </c>
      <c r="H765" s="3">
        <v>46008.59746809028</v>
      </c>
      <c r="I765" s="4" t="s">
        <v>2290</v>
      </c>
      <c r="J765" t="s">
        <v>2508</v>
      </c>
      <c r="K765" t="s">
        <v>67</v>
      </c>
      <c r="L765" t="s">
        <v>2509</v>
      </c>
      <c r="M765" t="s">
        <v>2510</v>
      </c>
      <c r="N765" t="s">
        <v>67</v>
      </c>
      <c r="O765" t="s">
        <v>2511</v>
      </c>
      <c r="P765" t="s">
        <v>2512</v>
      </c>
      <c r="Q765" t="s">
        <v>2408</v>
      </c>
      <c r="R765" t="s">
        <v>2513</v>
      </c>
      <c r="S765" s="5"/>
      <c r="T765" t="s">
        <v>72</v>
      </c>
      <c r="U765" t="s">
        <v>102</v>
      </c>
      <c r="V765" t="s">
        <v>74</v>
      </c>
      <c r="W765" t="s">
        <v>87</v>
      </c>
      <c r="AE765" s="2"/>
      <c r="AF765" s="2"/>
      <c r="AG765" s="2"/>
      <c r="AH765" s="2"/>
      <c r="AL765" s="2">
        <v>850000</v>
      </c>
      <c r="AM765" s="2">
        <v>0</v>
      </c>
      <c r="AN765" s="2"/>
      <c r="AO765" s="2">
        <v>0</v>
      </c>
      <c r="AP765" s="2">
        <v>850000</v>
      </c>
      <c r="AQ765" s="2">
        <v>0</v>
      </c>
      <c r="AR765" s="2">
        <v>0</v>
      </c>
      <c r="AS765" s="2">
        <v>0</v>
      </c>
      <c r="AT765" s="2">
        <v>0</v>
      </c>
      <c r="AU765" s="2">
        <v>0</v>
      </c>
      <c r="AV765" s="2">
        <v>0</v>
      </c>
      <c r="AW765" s="4"/>
      <c r="AX765" t="s">
        <v>75</v>
      </c>
      <c r="AZ765" t="s">
        <v>370</v>
      </c>
      <c r="BA765" t="s">
        <v>67</v>
      </c>
      <c r="BB765" t="s">
        <v>371</v>
      </c>
      <c r="BC765" t="s">
        <v>372</v>
      </c>
      <c r="BD765" t="s">
        <v>79</v>
      </c>
      <c r="BE765" t="s">
        <v>168</v>
      </c>
      <c r="BF765" s="5">
        <v>46388</v>
      </c>
      <c r="BH765">
        <v>50</v>
      </c>
      <c r="BI765" s="6">
        <v>30000</v>
      </c>
      <c r="BJ765" s="6">
        <v>0</v>
      </c>
      <c r="BK765" s="6">
        <v>13000</v>
      </c>
      <c r="BL765" s="6">
        <v>17000</v>
      </c>
      <c r="BM765" s="2">
        <v>850000</v>
      </c>
      <c r="BN765">
        <f>InvoiceTable[[#This Row],[Giảm giá]]*InvoiceTable[[#This Row],[Số lượng]]</f>
        <v>650000</v>
      </c>
    </row>
    <row r="766" spans="1:66" x14ac:dyDescent="0.25">
      <c r="A766" t="s">
        <v>65</v>
      </c>
      <c r="B766" t="s">
        <v>2514</v>
      </c>
      <c r="F766" s="2"/>
      <c r="G766" s="3">
        <v>46008.586773726849</v>
      </c>
      <c r="H766" s="3">
        <v>46008.586773842595</v>
      </c>
      <c r="I766" s="4" t="s">
        <v>2515</v>
      </c>
      <c r="J766" t="s">
        <v>2516</v>
      </c>
      <c r="K766" t="s">
        <v>67</v>
      </c>
      <c r="L766" t="s">
        <v>1128</v>
      </c>
      <c r="M766" t="s">
        <v>1129</v>
      </c>
      <c r="N766" t="s">
        <v>67</v>
      </c>
      <c r="O766" t="s">
        <v>1130</v>
      </c>
      <c r="P766" t="s">
        <v>1131</v>
      </c>
      <c r="S766" s="5"/>
      <c r="T766" t="s">
        <v>72</v>
      </c>
      <c r="U766" t="s">
        <v>1031</v>
      </c>
      <c r="V766" t="s">
        <v>74</v>
      </c>
      <c r="W766" t="s">
        <v>87</v>
      </c>
      <c r="AE766" s="2"/>
      <c r="AF766" s="2"/>
      <c r="AG766" s="2"/>
      <c r="AH766" s="2"/>
      <c r="AK766" t="s">
        <v>67</v>
      </c>
      <c r="AL766" s="2">
        <v>276900</v>
      </c>
      <c r="AM766" s="2">
        <v>0</v>
      </c>
      <c r="AN766" s="2"/>
      <c r="AO766" s="2">
        <v>0</v>
      </c>
      <c r="AP766" s="2">
        <v>276900</v>
      </c>
      <c r="AQ766" s="2">
        <v>0</v>
      </c>
      <c r="AR766" s="2">
        <v>0</v>
      </c>
      <c r="AS766" s="2">
        <v>0</v>
      </c>
      <c r="AT766" s="2">
        <v>0</v>
      </c>
      <c r="AU766" s="2">
        <v>0</v>
      </c>
      <c r="AV766" s="2">
        <v>0</v>
      </c>
      <c r="AW766" s="4"/>
      <c r="AX766" t="s">
        <v>75</v>
      </c>
      <c r="AZ766" t="s">
        <v>2244</v>
      </c>
      <c r="BA766" t="s">
        <v>67</v>
      </c>
      <c r="BB766" t="s">
        <v>2245</v>
      </c>
      <c r="BC766" t="s">
        <v>357</v>
      </c>
      <c r="BD766" t="s">
        <v>79</v>
      </c>
      <c r="BE766" t="s">
        <v>293</v>
      </c>
      <c r="BF766" s="5">
        <v>46722</v>
      </c>
      <c r="BG766" t="s">
        <v>67</v>
      </c>
      <c r="BH766">
        <v>1</v>
      </c>
      <c r="BI766" s="6">
        <v>486000</v>
      </c>
      <c r="BJ766" s="6">
        <v>0</v>
      </c>
      <c r="BK766" s="6">
        <v>209100</v>
      </c>
      <c r="BL766" s="6">
        <v>276900</v>
      </c>
      <c r="BM766" s="2">
        <v>276900</v>
      </c>
      <c r="BN766">
        <f>InvoiceTable[[#This Row],[Giảm giá]]*InvoiceTable[[#This Row],[Số lượng]]</f>
        <v>209100</v>
      </c>
    </row>
    <row r="767" spans="1:66" x14ac:dyDescent="0.25">
      <c r="A767" t="s">
        <v>65</v>
      </c>
      <c r="B767" t="s">
        <v>2517</v>
      </c>
      <c r="F767" s="2"/>
      <c r="G767" s="3">
        <v>46008.58378144676</v>
      </c>
      <c r="H767" s="3">
        <v>46008.583781562498</v>
      </c>
      <c r="I767" s="4" t="s">
        <v>67</v>
      </c>
      <c r="J767" t="s">
        <v>2518</v>
      </c>
      <c r="K767" t="s">
        <v>67</v>
      </c>
      <c r="L767" t="s">
        <v>2519</v>
      </c>
      <c r="M767" t="s">
        <v>2520</v>
      </c>
      <c r="N767" t="s">
        <v>2521</v>
      </c>
      <c r="O767" t="s">
        <v>2522</v>
      </c>
      <c r="P767" t="s">
        <v>2523</v>
      </c>
      <c r="S767" s="5"/>
      <c r="T767" t="s">
        <v>72</v>
      </c>
      <c r="U767" t="s">
        <v>87</v>
      </c>
      <c r="V767" t="s">
        <v>74</v>
      </c>
      <c r="W767" t="s">
        <v>87</v>
      </c>
      <c r="AE767" s="2"/>
      <c r="AF767" s="2"/>
      <c r="AG767" s="2"/>
      <c r="AH767" s="2"/>
      <c r="AK767" t="s">
        <v>2524</v>
      </c>
      <c r="AL767" s="2">
        <v>2015000</v>
      </c>
      <c r="AM767" s="2">
        <v>0</v>
      </c>
      <c r="AN767" s="2"/>
      <c r="AO767" s="2">
        <v>0</v>
      </c>
      <c r="AP767" s="2">
        <v>2015000</v>
      </c>
      <c r="AQ767" s="2">
        <v>0</v>
      </c>
      <c r="AR767" s="2">
        <v>0</v>
      </c>
      <c r="AS767" s="2">
        <v>0</v>
      </c>
      <c r="AT767" s="2">
        <v>0</v>
      </c>
      <c r="AU767" s="2">
        <v>0</v>
      </c>
      <c r="AV767" s="2">
        <v>0</v>
      </c>
      <c r="AW767" s="4"/>
      <c r="AX767" t="s">
        <v>75</v>
      </c>
      <c r="AZ767" t="s">
        <v>683</v>
      </c>
      <c r="BB767" t="s">
        <v>684</v>
      </c>
      <c r="BC767" t="s">
        <v>681</v>
      </c>
      <c r="BD767" t="s">
        <v>79</v>
      </c>
      <c r="BE767" t="s">
        <v>155</v>
      </c>
      <c r="BF767" s="5">
        <v>46600</v>
      </c>
      <c r="BG767" t="s">
        <v>67</v>
      </c>
      <c r="BH767">
        <v>1</v>
      </c>
      <c r="BI767" s="6">
        <v>3100000</v>
      </c>
      <c r="BJ767" s="6">
        <v>35</v>
      </c>
      <c r="BK767" s="6">
        <v>1085000</v>
      </c>
      <c r="BL767" s="6">
        <v>2015000</v>
      </c>
      <c r="BM767" s="2">
        <v>2015000</v>
      </c>
      <c r="BN767">
        <f>InvoiceTable[[#This Row],[Giảm giá]]*InvoiceTable[[#This Row],[Số lượng]]</f>
        <v>1085000</v>
      </c>
    </row>
    <row r="768" spans="1:66" x14ac:dyDescent="0.25">
      <c r="A768" t="s">
        <v>65</v>
      </c>
      <c r="B768" t="s">
        <v>2525</v>
      </c>
      <c r="F768" s="2"/>
      <c r="G768" s="3">
        <v>46008.583402662036</v>
      </c>
      <c r="H768" s="3">
        <v>46008.583402812503</v>
      </c>
      <c r="I768" s="4" t="s">
        <v>67</v>
      </c>
      <c r="J768" t="s">
        <v>2526</v>
      </c>
      <c r="K768" t="s">
        <v>67</v>
      </c>
      <c r="L768" t="s">
        <v>2451</v>
      </c>
      <c r="M768" t="s">
        <v>2452</v>
      </c>
      <c r="N768" t="s">
        <v>2453</v>
      </c>
      <c r="O768" t="s">
        <v>2454</v>
      </c>
      <c r="P768" t="s">
        <v>2455</v>
      </c>
      <c r="S768" s="5"/>
      <c r="T768" t="s">
        <v>72</v>
      </c>
      <c r="U768" t="s">
        <v>87</v>
      </c>
      <c r="V768" t="s">
        <v>74</v>
      </c>
      <c r="W768" t="s">
        <v>87</v>
      </c>
      <c r="AE768" s="2"/>
      <c r="AF768" s="2"/>
      <c r="AG768" s="2"/>
      <c r="AH768" s="2"/>
      <c r="AK768" t="s">
        <v>184</v>
      </c>
      <c r="AL768" s="2">
        <v>759724</v>
      </c>
      <c r="AM768" s="2">
        <v>0</v>
      </c>
      <c r="AN768" s="2"/>
      <c r="AO768" s="2">
        <v>0</v>
      </c>
      <c r="AP768" s="2">
        <v>759724</v>
      </c>
      <c r="AQ768" s="2">
        <v>0</v>
      </c>
      <c r="AR768" s="2">
        <v>0</v>
      </c>
      <c r="AS768" s="2">
        <v>0</v>
      </c>
      <c r="AT768" s="2">
        <v>0</v>
      </c>
      <c r="AU768" s="2">
        <v>0</v>
      </c>
      <c r="AV768" s="2">
        <v>0</v>
      </c>
      <c r="AW768" s="4"/>
      <c r="AX768" t="s">
        <v>75</v>
      </c>
      <c r="AZ768" t="s">
        <v>88</v>
      </c>
      <c r="BB768" t="s">
        <v>89</v>
      </c>
      <c r="BC768" t="s">
        <v>90</v>
      </c>
      <c r="BF768" s="5"/>
      <c r="BG768" t="s">
        <v>67</v>
      </c>
      <c r="BH768">
        <v>1</v>
      </c>
      <c r="BI768" s="6">
        <v>25000</v>
      </c>
      <c r="BJ768" s="6">
        <v>0</v>
      </c>
      <c r="BK768" s="6">
        <v>0</v>
      </c>
      <c r="BL768" s="6">
        <v>25000</v>
      </c>
      <c r="BM768" s="2">
        <v>25000</v>
      </c>
      <c r="BN768">
        <f>InvoiceTable[[#This Row],[Giảm giá]]*InvoiceTable[[#This Row],[Số lượng]]</f>
        <v>0</v>
      </c>
    </row>
    <row r="769" spans="1:66" x14ac:dyDescent="0.25">
      <c r="A769" t="s">
        <v>65</v>
      </c>
      <c r="B769" t="s">
        <v>2525</v>
      </c>
      <c r="F769" s="2"/>
      <c r="G769" s="3">
        <v>46008.583402662036</v>
      </c>
      <c r="H769" s="3">
        <v>46008.583402812503</v>
      </c>
      <c r="I769" s="4" t="s">
        <v>67</v>
      </c>
      <c r="J769" t="s">
        <v>2526</v>
      </c>
      <c r="K769" t="s">
        <v>67</v>
      </c>
      <c r="L769" t="s">
        <v>2451</v>
      </c>
      <c r="M769" t="s">
        <v>2452</v>
      </c>
      <c r="N769" t="s">
        <v>2453</v>
      </c>
      <c r="O769" t="s">
        <v>2454</v>
      </c>
      <c r="P769" t="s">
        <v>2455</v>
      </c>
      <c r="S769" s="5"/>
      <c r="T769" t="s">
        <v>72</v>
      </c>
      <c r="U769" t="s">
        <v>87</v>
      </c>
      <c r="V769" t="s">
        <v>74</v>
      </c>
      <c r="W769" t="s">
        <v>87</v>
      </c>
      <c r="AE769" s="2"/>
      <c r="AF769" s="2"/>
      <c r="AG769" s="2"/>
      <c r="AH769" s="2"/>
      <c r="AK769" t="s">
        <v>184</v>
      </c>
      <c r="AL769" s="2">
        <v>759724</v>
      </c>
      <c r="AM769" s="2">
        <v>0</v>
      </c>
      <c r="AN769" s="2"/>
      <c r="AO769" s="2">
        <v>0</v>
      </c>
      <c r="AP769" s="2">
        <v>759724</v>
      </c>
      <c r="AQ769" s="2">
        <v>0</v>
      </c>
      <c r="AR769" s="2">
        <v>0</v>
      </c>
      <c r="AS769" s="2">
        <v>0</v>
      </c>
      <c r="AT769" s="2">
        <v>0</v>
      </c>
      <c r="AU769" s="2">
        <v>0</v>
      </c>
      <c r="AV769" s="2">
        <v>0</v>
      </c>
      <c r="AW769" s="4"/>
      <c r="AX769" t="s">
        <v>75</v>
      </c>
      <c r="AZ769" t="s">
        <v>2527</v>
      </c>
      <c r="BA769" t="s">
        <v>67</v>
      </c>
      <c r="BB769" t="s">
        <v>2528</v>
      </c>
      <c r="BC769" t="s">
        <v>822</v>
      </c>
      <c r="BD769" t="s">
        <v>79</v>
      </c>
      <c r="BE769" t="s">
        <v>423</v>
      </c>
      <c r="BF769" s="5">
        <v>47543</v>
      </c>
      <c r="BG769" t="s">
        <v>67</v>
      </c>
      <c r="BH769">
        <v>1</v>
      </c>
      <c r="BI769" s="6">
        <v>1335861.8</v>
      </c>
      <c r="BJ769" s="6">
        <v>45</v>
      </c>
      <c r="BK769" s="6">
        <v>601137.81000000006</v>
      </c>
      <c r="BL769" s="6">
        <v>734723.99</v>
      </c>
      <c r="BM769" s="2">
        <v>734724</v>
      </c>
      <c r="BN769">
        <f>InvoiceTable[[#This Row],[Giảm giá]]*InvoiceTable[[#This Row],[Số lượng]]</f>
        <v>601137.81000000006</v>
      </c>
    </row>
    <row r="770" spans="1:66" x14ac:dyDescent="0.25">
      <c r="A770" t="s">
        <v>65</v>
      </c>
      <c r="B770" t="s">
        <v>2529</v>
      </c>
      <c r="F770" s="2"/>
      <c r="G770" s="3">
        <v>46008.582964270834</v>
      </c>
      <c r="H770" s="3">
        <v>46008.582964351852</v>
      </c>
      <c r="I770" s="4" t="s">
        <v>67</v>
      </c>
      <c r="J770" t="s">
        <v>67</v>
      </c>
      <c r="K770" t="s">
        <v>67</v>
      </c>
      <c r="L770" t="s">
        <v>1875</v>
      </c>
      <c r="M770" t="s">
        <v>1876</v>
      </c>
      <c r="N770" t="s">
        <v>67</v>
      </c>
      <c r="O770" t="s">
        <v>1877</v>
      </c>
      <c r="S770" s="5"/>
      <c r="T770" t="s">
        <v>72</v>
      </c>
      <c r="U770" t="s">
        <v>87</v>
      </c>
      <c r="V770" t="s">
        <v>74</v>
      </c>
      <c r="W770" t="s">
        <v>87</v>
      </c>
      <c r="AE770" s="2"/>
      <c r="AF770" s="2"/>
      <c r="AG770" s="2"/>
      <c r="AH770" s="2"/>
      <c r="AL770" s="2">
        <v>2352000</v>
      </c>
      <c r="AM770" s="2">
        <v>0</v>
      </c>
      <c r="AN770" s="2"/>
      <c r="AO770" s="2">
        <v>0</v>
      </c>
      <c r="AP770" s="2">
        <v>2352000</v>
      </c>
      <c r="AQ770" s="2">
        <v>0</v>
      </c>
      <c r="AR770" s="2">
        <v>0</v>
      </c>
      <c r="AS770" s="2">
        <v>0</v>
      </c>
      <c r="AT770" s="2">
        <v>0</v>
      </c>
      <c r="AU770" s="2">
        <v>0</v>
      </c>
      <c r="AV770" s="2">
        <v>0</v>
      </c>
      <c r="AW770" s="4"/>
      <c r="AX770" t="s">
        <v>75</v>
      </c>
      <c r="AZ770" t="s">
        <v>2530</v>
      </c>
      <c r="BA770" t="s">
        <v>67</v>
      </c>
      <c r="BB770" t="s">
        <v>2531</v>
      </c>
      <c r="BC770" t="s">
        <v>93</v>
      </c>
      <c r="BD770" t="s">
        <v>79</v>
      </c>
      <c r="BE770" t="s">
        <v>131</v>
      </c>
      <c r="BF770" s="5">
        <v>46874</v>
      </c>
      <c r="BG770" t="s">
        <v>67</v>
      </c>
      <c r="BH770">
        <v>20</v>
      </c>
      <c r="BI770" s="6">
        <v>147000</v>
      </c>
      <c r="BJ770" s="6">
        <v>20</v>
      </c>
      <c r="BK770" s="6">
        <v>29400</v>
      </c>
      <c r="BL770" s="6">
        <v>117600</v>
      </c>
      <c r="BM770" s="2">
        <v>2352000</v>
      </c>
      <c r="BN770">
        <f>InvoiceTable[[#This Row],[Giảm giá]]*InvoiceTable[[#This Row],[Số lượng]]</f>
        <v>588000</v>
      </c>
    </row>
    <row r="771" spans="1:66" x14ac:dyDescent="0.25">
      <c r="A771" t="s">
        <v>65</v>
      </c>
      <c r="B771" t="s">
        <v>2529</v>
      </c>
      <c r="F771" s="2"/>
      <c r="G771" s="3">
        <v>46008.582964270834</v>
      </c>
      <c r="H771" s="3">
        <v>46008.582964351852</v>
      </c>
      <c r="I771" s="4" t="s">
        <v>67</v>
      </c>
      <c r="J771" t="s">
        <v>67</v>
      </c>
      <c r="K771" t="s">
        <v>67</v>
      </c>
      <c r="L771" t="s">
        <v>1875</v>
      </c>
      <c r="M771" t="s">
        <v>1876</v>
      </c>
      <c r="N771" t="s">
        <v>67</v>
      </c>
      <c r="O771" t="s">
        <v>1877</v>
      </c>
      <c r="S771" s="5"/>
      <c r="T771" t="s">
        <v>72</v>
      </c>
      <c r="U771" t="s">
        <v>87</v>
      </c>
      <c r="V771" t="s">
        <v>74</v>
      </c>
      <c r="W771" t="s">
        <v>87</v>
      </c>
      <c r="AE771" s="2"/>
      <c r="AF771" s="2"/>
      <c r="AG771" s="2"/>
      <c r="AH771" s="2"/>
      <c r="AL771" s="2">
        <v>2352000</v>
      </c>
      <c r="AM771" s="2">
        <v>0</v>
      </c>
      <c r="AN771" s="2"/>
      <c r="AO771" s="2">
        <v>0</v>
      </c>
      <c r="AP771" s="2">
        <v>2352000</v>
      </c>
      <c r="AQ771" s="2">
        <v>0</v>
      </c>
      <c r="AR771" s="2">
        <v>0</v>
      </c>
      <c r="AS771" s="2">
        <v>0</v>
      </c>
      <c r="AT771" s="2">
        <v>0</v>
      </c>
      <c r="AU771" s="2">
        <v>0</v>
      </c>
      <c r="AV771" s="2">
        <v>0</v>
      </c>
      <c r="AW771" s="4"/>
      <c r="AX771" t="s">
        <v>75</v>
      </c>
      <c r="AZ771" t="s">
        <v>2530</v>
      </c>
      <c r="BA771" t="s">
        <v>67</v>
      </c>
      <c r="BB771" t="s">
        <v>2531</v>
      </c>
      <c r="BC771" t="s">
        <v>93</v>
      </c>
      <c r="BD771" t="s">
        <v>79</v>
      </c>
      <c r="BE771" t="s">
        <v>131</v>
      </c>
      <c r="BF771" s="5">
        <v>46874</v>
      </c>
      <c r="BG771" t="s">
        <v>67</v>
      </c>
      <c r="BH771">
        <v>4</v>
      </c>
      <c r="BI771" s="6">
        <v>147000</v>
      </c>
      <c r="BJ771" s="6">
        <v>0</v>
      </c>
      <c r="BK771" s="6">
        <v>147000</v>
      </c>
      <c r="BL771" s="6">
        <v>0</v>
      </c>
      <c r="BM771" s="2">
        <v>0</v>
      </c>
      <c r="BN771">
        <f>InvoiceTable[[#This Row],[Giảm giá]]*InvoiceTable[[#This Row],[Số lượng]]</f>
        <v>588000</v>
      </c>
    </row>
    <row r="772" spans="1:66" x14ac:dyDescent="0.25">
      <c r="A772" t="s">
        <v>65</v>
      </c>
      <c r="B772" t="s">
        <v>2532</v>
      </c>
      <c r="F772" s="2"/>
      <c r="G772" s="3">
        <v>46008.58245454861</v>
      </c>
      <c r="H772" s="3">
        <v>46008.585558645835</v>
      </c>
      <c r="I772" s="4" t="s">
        <v>67</v>
      </c>
      <c r="J772" t="s">
        <v>67</v>
      </c>
      <c r="K772" t="s">
        <v>67</v>
      </c>
      <c r="L772" t="s">
        <v>111</v>
      </c>
      <c r="M772" t="s">
        <v>112</v>
      </c>
      <c r="N772" t="s">
        <v>67</v>
      </c>
      <c r="O772" t="s">
        <v>113</v>
      </c>
      <c r="P772" t="s">
        <v>114</v>
      </c>
      <c r="Q772" t="s">
        <v>67</v>
      </c>
      <c r="R772" t="s">
        <v>67</v>
      </c>
      <c r="S772" s="5"/>
      <c r="T772" t="s">
        <v>72</v>
      </c>
      <c r="U772" t="s">
        <v>87</v>
      </c>
      <c r="V772" t="s">
        <v>74</v>
      </c>
      <c r="W772" t="s">
        <v>87</v>
      </c>
      <c r="AE772" s="2"/>
      <c r="AF772" s="2"/>
      <c r="AG772" s="2"/>
      <c r="AH772" s="2"/>
      <c r="AL772" s="2">
        <v>6600000</v>
      </c>
      <c r="AM772" s="2">
        <v>0</v>
      </c>
      <c r="AN772" s="2"/>
      <c r="AO772" s="2">
        <v>0</v>
      </c>
      <c r="AP772" s="2">
        <v>6600000</v>
      </c>
      <c r="AQ772" s="2">
        <v>0</v>
      </c>
      <c r="AR772" s="2">
        <v>0</v>
      </c>
      <c r="AS772" s="2">
        <v>0</v>
      </c>
      <c r="AT772" s="2">
        <v>0</v>
      </c>
      <c r="AU772" s="2">
        <v>0</v>
      </c>
      <c r="AV772" s="2">
        <v>0</v>
      </c>
      <c r="AW772" s="4"/>
      <c r="AX772" t="s">
        <v>75</v>
      </c>
      <c r="AZ772" t="s">
        <v>1041</v>
      </c>
      <c r="BB772" t="s">
        <v>1042</v>
      </c>
      <c r="BC772" t="s">
        <v>78</v>
      </c>
      <c r="BD772" t="s">
        <v>79</v>
      </c>
      <c r="BE772" t="s">
        <v>216</v>
      </c>
      <c r="BF772" s="5">
        <v>46784</v>
      </c>
      <c r="BG772" t="s">
        <v>67</v>
      </c>
      <c r="BH772">
        <v>1</v>
      </c>
      <c r="BI772" s="6">
        <v>3350000</v>
      </c>
      <c r="BJ772" s="6">
        <v>50</v>
      </c>
      <c r="BK772" s="6">
        <v>1675000</v>
      </c>
      <c r="BL772" s="6">
        <v>1675000</v>
      </c>
      <c r="BM772" s="2">
        <v>1675000</v>
      </c>
      <c r="BN772">
        <f>InvoiceTable[[#This Row],[Giảm giá]]*InvoiceTable[[#This Row],[Số lượng]]</f>
        <v>1675000</v>
      </c>
    </row>
    <row r="773" spans="1:66" x14ac:dyDescent="0.25">
      <c r="A773" t="s">
        <v>65</v>
      </c>
      <c r="B773" t="s">
        <v>2532</v>
      </c>
      <c r="F773" s="2"/>
      <c r="G773" s="3">
        <v>46008.58245454861</v>
      </c>
      <c r="H773" s="3">
        <v>46008.585558645835</v>
      </c>
      <c r="I773" s="4" t="s">
        <v>67</v>
      </c>
      <c r="J773" t="s">
        <v>67</v>
      </c>
      <c r="K773" t="s">
        <v>67</v>
      </c>
      <c r="L773" t="s">
        <v>111</v>
      </c>
      <c r="M773" t="s">
        <v>112</v>
      </c>
      <c r="N773" t="s">
        <v>67</v>
      </c>
      <c r="O773" t="s">
        <v>113</v>
      </c>
      <c r="P773" t="s">
        <v>114</v>
      </c>
      <c r="Q773" t="s">
        <v>67</v>
      </c>
      <c r="R773" t="s">
        <v>67</v>
      </c>
      <c r="S773" s="5"/>
      <c r="T773" t="s">
        <v>72</v>
      </c>
      <c r="U773" t="s">
        <v>87</v>
      </c>
      <c r="V773" t="s">
        <v>74</v>
      </c>
      <c r="W773" t="s">
        <v>87</v>
      </c>
      <c r="AE773" s="2"/>
      <c r="AF773" s="2"/>
      <c r="AG773" s="2"/>
      <c r="AH773" s="2"/>
      <c r="AL773" s="2">
        <v>6600000</v>
      </c>
      <c r="AM773" s="2">
        <v>0</v>
      </c>
      <c r="AN773" s="2"/>
      <c r="AO773" s="2">
        <v>0</v>
      </c>
      <c r="AP773" s="2">
        <v>6600000</v>
      </c>
      <c r="AQ773" s="2">
        <v>0</v>
      </c>
      <c r="AR773" s="2">
        <v>0</v>
      </c>
      <c r="AS773" s="2">
        <v>0</v>
      </c>
      <c r="AT773" s="2">
        <v>0</v>
      </c>
      <c r="AU773" s="2">
        <v>0</v>
      </c>
      <c r="AV773" s="2">
        <v>0</v>
      </c>
      <c r="AW773" s="4"/>
      <c r="AX773" t="s">
        <v>75</v>
      </c>
      <c r="AZ773" t="s">
        <v>1041</v>
      </c>
      <c r="BB773" t="s">
        <v>1042</v>
      </c>
      <c r="BC773" t="s">
        <v>78</v>
      </c>
      <c r="BD773" t="s">
        <v>79</v>
      </c>
      <c r="BE773" t="s">
        <v>1043</v>
      </c>
      <c r="BF773" s="5">
        <v>46784</v>
      </c>
      <c r="BG773" t="s">
        <v>67</v>
      </c>
      <c r="BH773">
        <v>1</v>
      </c>
      <c r="BI773" s="6">
        <v>3350000</v>
      </c>
      <c r="BJ773" s="6">
        <v>50</v>
      </c>
      <c r="BK773" s="6">
        <v>1675000</v>
      </c>
      <c r="BL773" s="6">
        <v>1675000</v>
      </c>
      <c r="BM773" s="2">
        <v>1675000</v>
      </c>
      <c r="BN773">
        <f>InvoiceTable[[#This Row],[Giảm giá]]*InvoiceTable[[#This Row],[Số lượng]]</f>
        <v>1675000</v>
      </c>
    </row>
    <row r="774" spans="1:66" x14ac:dyDescent="0.25">
      <c r="A774" t="s">
        <v>65</v>
      </c>
      <c r="B774" t="s">
        <v>2532</v>
      </c>
      <c r="F774" s="2"/>
      <c r="G774" s="3">
        <v>46008.58245454861</v>
      </c>
      <c r="H774" s="3">
        <v>46008.585558645835</v>
      </c>
      <c r="I774" s="4" t="s">
        <v>67</v>
      </c>
      <c r="J774" t="s">
        <v>67</v>
      </c>
      <c r="K774" t="s">
        <v>67</v>
      </c>
      <c r="L774" t="s">
        <v>111</v>
      </c>
      <c r="M774" t="s">
        <v>112</v>
      </c>
      <c r="N774" t="s">
        <v>67</v>
      </c>
      <c r="O774" t="s">
        <v>113</v>
      </c>
      <c r="P774" t="s">
        <v>114</v>
      </c>
      <c r="Q774" t="s">
        <v>67</v>
      </c>
      <c r="R774" t="s">
        <v>67</v>
      </c>
      <c r="S774" s="5"/>
      <c r="T774" t="s">
        <v>72</v>
      </c>
      <c r="U774" t="s">
        <v>87</v>
      </c>
      <c r="V774" t="s">
        <v>74</v>
      </c>
      <c r="W774" t="s">
        <v>87</v>
      </c>
      <c r="AE774" s="2"/>
      <c r="AF774" s="2"/>
      <c r="AG774" s="2"/>
      <c r="AH774" s="2"/>
      <c r="AL774" s="2">
        <v>6600000</v>
      </c>
      <c r="AM774" s="2">
        <v>0</v>
      </c>
      <c r="AN774" s="2"/>
      <c r="AO774" s="2">
        <v>0</v>
      </c>
      <c r="AP774" s="2">
        <v>6600000</v>
      </c>
      <c r="AQ774" s="2">
        <v>0</v>
      </c>
      <c r="AR774" s="2">
        <v>0</v>
      </c>
      <c r="AS774" s="2">
        <v>0</v>
      </c>
      <c r="AT774" s="2">
        <v>0</v>
      </c>
      <c r="AU774" s="2">
        <v>0</v>
      </c>
      <c r="AV774" s="2">
        <v>0</v>
      </c>
      <c r="AW774" s="4"/>
      <c r="AX774" t="s">
        <v>75</v>
      </c>
      <c r="AZ774" t="s">
        <v>2533</v>
      </c>
      <c r="BA774" t="s">
        <v>67</v>
      </c>
      <c r="BB774" t="s">
        <v>2534</v>
      </c>
      <c r="BC774" t="s">
        <v>134</v>
      </c>
      <c r="BD774" t="s">
        <v>79</v>
      </c>
      <c r="BE774" t="s">
        <v>2535</v>
      </c>
      <c r="BF774" s="5">
        <v>47331</v>
      </c>
      <c r="BG774" t="s">
        <v>67</v>
      </c>
      <c r="BH774">
        <v>2</v>
      </c>
      <c r="BI774" s="6">
        <v>3250000</v>
      </c>
      <c r="BJ774" s="6">
        <v>50</v>
      </c>
      <c r="BK774" s="6">
        <v>1625000</v>
      </c>
      <c r="BL774" s="6">
        <v>1625000</v>
      </c>
      <c r="BM774" s="2">
        <v>3250000</v>
      </c>
      <c r="BN774">
        <f>InvoiceTable[[#This Row],[Giảm giá]]*InvoiceTable[[#This Row],[Số lượng]]</f>
        <v>3250000</v>
      </c>
    </row>
    <row r="775" spans="1:66" x14ac:dyDescent="0.25">
      <c r="A775" t="s">
        <v>65</v>
      </c>
      <c r="B775" t="s">
        <v>2536</v>
      </c>
      <c r="F775" s="2"/>
      <c r="G775" s="3">
        <v>46008.521509143517</v>
      </c>
      <c r="H775" s="3">
        <v>46008.521509293983</v>
      </c>
      <c r="I775" s="4" t="s">
        <v>2537</v>
      </c>
      <c r="J775" t="s">
        <v>2538</v>
      </c>
      <c r="K775" t="s">
        <v>67</v>
      </c>
      <c r="L775" t="s">
        <v>2118</v>
      </c>
      <c r="M775" t="s">
        <v>2119</v>
      </c>
      <c r="N775" t="s">
        <v>2120</v>
      </c>
      <c r="O775" t="s">
        <v>2121</v>
      </c>
      <c r="P775" t="s">
        <v>2122</v>
      </c>
      <c r="S775" s="5"/>
      <c r="T775" t="s">
        <v>72</v>
      </c>
      <c r="U775" t="s">
        <v>73</v>
      </c>
      <c r="V775" t="s">
        <v>74</v>
      </c>
      <c r="W775" t="s">
        <v>102</v>
      </c>
      <c r="AE775" s="2"/>
      <c r="AF775" s="2"/>
      <c r="AG775" s="2"/>
      <c r="AH775" s="2"/>
      <c r="AK775" t="s">
        <v>67</v>
      </c>
      <c r="AL775" s="2">
        <v>1275000</v>
      </c>
      <c r="AM775" s="2">
        <v>0</v>
      </c>
      <c r="AN775" s="2"/>
      <c r="AO775" s="2">
        <v>0</v>
      </c>
      <c r="AP775" s="2">
        <v>1275000</v>
      </c>
      <c r="AQ775" s="2">
        <v>1275000</v>
      </c>
      <c r="AR775" s="2">
        <v>0</v>
      </c>
      <c r="AS775" s="2">
        <v>0</v>
      </c>
      <c r="AT775" s="2">
        <v>0</v>
      </c>
      <c r="AU775" s="2">
        <v>1275000</v>
      </c>
      <c r="AV775" s="2">
        <v>0</v>
      </c>
      <c r="AW775" s="4"/>
      <c r="AX775" t="s">
        <v>75</v>
      </c>
      <c r="AZ775" t="s">
        <v>2124</v>
      </c>
      <c r="BA775" t="s">
        <v>67</v>
      </c>
      <c r="BB775" t="s">
        <v>2125</v>
      </c>
      <c r="BC775" t="s">
        <v>223</v>
      </c>
      <c r="BD775" t="s">
        <v>79</v>
      </c>
      <c r="BE775" t="s">
        <v>715</v>
      </c>
      <c r="BF775" s="5">
        <v>46631</v>
      </c>
      <c r="BH775">
        <v>1</v>
      </c>
      <c r="BI775" s="6">
        <v>2550000</v>
      </c>
      <c r="BJ775" s="6">
        <v>50</v>
      </c>
      <c r="BK775" s="6">
        <v>1275000</v>
      </c>
      <c r="BL775" s="6">
        <v>1275000</v>
      </c>
      <c r="BM775" s="2">
        <v>1275000</v>
      </c>
      <c r="BN775">
        <f>InvoiceTable[[#This Row],[Giảm giá]]*InvoiceTable[[#This Row],[Số lượng]]</f>
        <v>1275000</v>
      </c>
    </row>
    <row r="776" spans="1:66" x14ac:dyDescent="0.25">
      <c r="A776" t="s">
        <v>65</v>
      </c>
      <c r="B776" t="s">
        <v>2539</v>
      </c>
      <c r="F776" s="2"/>
      <c r="G776" s="3">
        <v>46008.520436307874</v>
      </c>
      <c r="H776" s="3">
        <v>46008.520332256943</v>
      </c>
      <c r="I776" s="4" t="s">
        <v>96</v>
      </c>
      <c r="J776" t="s">
        <v>2540</v>
      </c>
      <c r="K776" t="s">
        <v>67</v>
      </c>
      <c r="L776" t="s">
        <v>2118</v>
      </c>
      <c r="M776" t="s">
        <v>2119</v>
      </c>
      <c r="N776" t="s">
        <v>2120</v>
      </c>
      <c r="O776" t="s">
        <v>2121</v>
      </c>
      <c r="P776" t="s">
        <v>2122</v>
      </c>
      <c r="S776" s="5"/>
      <c r="T776" t="s">
        <v>72</v>
      </c>
      <c r="U776" t="s">
        <v>73</v>
      </c>
      <c r="V776" t="s">
        <v>74</v>
      </c>
      <c r="W776" t="s">
        <v>102</v>
      </c>
      <c r="AE776" s="2"/>
      <c r="AF776" s="2"/>
      <c r="AG776" s="2"/>
      <c r="AH776" s="2"/>
      <c r="AK776" t="s">
        <v>2541</v>
      </c>
      <c r="AL776" s="2">
        <v>390000</v>
      </c>
      <c r="AM776" s="2">
        <v>0</v>
      </c>
      <c r="AN776" s="2"/>
      <c r="AO776" s="2">
        <v>0</v>
      </c>
      <c r="AP776" s="2">
        <v>390000</v>
      </c>
      <c r="AQ776" s="2">
        <v>390000</v>
      </c>
      <c r="AR776" s="2">
        <v>0</v>
      </c>
      <c r="AS776" s="2">
        <v>0</v>
      </c>
      <c r="AT776" s="2">
        <v>0</v>
      </c>
      <c r="AU776" s="2">
        <v>390000</v>
      </c>
      <c r="AV776" s="2">
        <v>0</v>
      </c>
      <c r="AW776" s="4"/>
      <c r="AX776" t="s">
        <v>75</v>
      </c>
      <c r="AZ776" t="s">
        <v>573</v>
      </c>
      <c r="BA776" t="s">
        <v>67</v>
      </c>
      <c r="BB776" t="s">
        <v>89</v>
      </c>
      <c r="BC776" t="s">
        <v>90</v>
      </c>
      <c r="BF776" s="5"/>
      <c r="BG776" t="s">
        <v>67</v>
      </c>
      <c r="BH776">
        <v>1</v>
      </c>
      <c r="BI776" s="6">
        <v>30000</v>
      </c>
      <c r="BJ776" s="6">
        <v>0</v>
      </c>
      <c r="BK776" s="6">
        <v>0</v>
      </c>
      <c r="BL776" s="6">
        <v>30000</v>
      </c>
      <c r="BM776" s="2">
        <v>30000</v>
      </c>
      <c r="BN776">
        <f>InvoiceTable[[#This Row],[Giảm giá]]*InvoiceTable[[#This Row],[Số lượng]]</f>
        <v>0</v>
      </c>
    </row>
    <row r="777" spans="1:66" x14ac:dyDescent="0.25">
      <c r="A777" t="s">
        <v>65</v>
      </c>
      <c r="B777" t="s">
        <v>2539</v>
      </c>
      <c r="F777" s="2"/>
      <c r="G777" s="3">
        <v>46008.520436307874</v>
      </c>
      <c r="H777" s="3">
        <v>46008.520332256943</v>
      </c>
      <c r="I777" s="4" t="s">
        <v>96</v>
      </c>
      <c r="J777" t="s">
        <v>2540</v>
      </c>
      <c r="K777" t="s">
        <v>67</v>
      </c>
      <c r="L777" t="s">
        <v>2118</v>
      </c>
      <c r="M777" t="s">
        <v>2119</v>
      </c>
      <c r="N777" t="s">
        <v>2120</v>
      </c>
      <c r="O777" t="s">
        <v>2121</v>
      </c>
      <c r="P777" t="s">
        <v>2122</v>
      </c>
      <c r="S777" s="5"/>
      <c r="T777" t="s">
        <v>72</v>
      </c>
      <c r="U777" t="s">
        <v>73</v>
      </c>
      <c r="V777" t="s">
        <v>74</v>
      </c>
      <c r="W777" t="s">
        <v>102</v>
      </c>
      <c r="AE777" s="2"/>
      <c r="AF777" s="2"/>
      <c r="AG777" s="2"/>
      <c r="AH777" s="2"/>
      <c r="AK777" t="s">
        <v>2541</v>
      </c>
      <c r="AL777" s="2">
        <v>390000</v>
      </c>
      <c r="AM777" s="2">
        <v>0</v>
      </c>
      <c r="AN777" s="2"/>
      <c r="AO777" s="2">
        <v>0</v>
      </c>
      <c r="AP777" s="2">
        <v>390000</v>
      </c>
      <c r="AQ777" s="2">
        <v>390000</v>
      </c>
      <c r="AR777" s="2">
        <v>0</v>
      </c>
      <c r="AS777" s="2">
        <v>0</v>
      </c>
      <c r="AT777" s="2">
        <v>0</v>
      </c>
      <c r="AU777" s="2">
        <v>390000</v>
      </c>
      <c r="AV777" s="2">
        <v>0</v>
      </c>
      <c r="AW777" s="4"/>
      <c r="AX777" t="s">
        <v>75</v>
      </c>
      <c r="AZ777" t="s">
        <v>2542</v>
      </c>
      <c r="BA777" t="s">
        <v>67</v>
      </c>
      <c r="BB777" t="s">
        <v>2543</v>
      </c>
      <c r="BC777" t="s">
        <v>285</v>
      </c>
      <c r="BD777" t="s">
        <v>79</v>
      </c>
      <c r="BE777" t="s">
        <v>168</v>
      </c>
      <c r="BF777" s="5">
        <v>46388</v>
      </c>
      <c r="BG777" t="s">
        <v>67</v>
      </c>
      <c r="BH777">
        <v>1</v>
      </c>
      <c r="BI777" s="6">
        <v>600000</v>
      </c>
      <c r="BJ777" s="6">
        <v>40</v>
      </c>
      <c r="BK777" s="6">
        <v>240000</v>
      </c>
      <c r="BL777" s="6">
        <v>360000</v>
      </c>
      <c r="BM777" s="2">
        <v>360000</v>
      </c>
      <c r="BN777">
        <f>InvoiceTable[[#This Row],[Giảm giá]]*InvoiceTable[[#This Row],[Số lượng]]</f>
        <v>240000</v>
      </c>
    </row>
    <row r="778" spans="1:66" x14ac:dyDescent="0.25">
      <c r="A778" t="s">
        <v>65</v>
      </c>
      <c r="B778" t="s">
        <v>2544</v>
      </c>
      <c r="F778" s="2"/>
      <c r="G778" s="3">
        <v>46008.490756331019</v>
      </c>
      <c r="H778" s="3">
        <v>46008.490652280096</v>
      </c>
      <c r="I778" s="4" t="s">
        <v>96</v>
      </c>
      <c r="J778" t="s">
        <v>2545</v>
      </c>
      <c r="K778" t="s">
        <v>67</v>
      </c>
      <c r="L778" t="s">
        <v>398</v>
      </c>
      <c r="M778" t="s">
        <v>399</v>
      </c>
      <c r="N778" t="s">
        <v>400</v>
      </c>
      <c r="O778" t="s">
        <v>401</v>
      </c>
      <c r="P778" t="s">
        <v>402</v>
      </c>
      <c r="S778" s="5"/>
      <c r="T778" t="s">
        <v>72</v>
      </c>
      <c r="U778" t="s">
        <v>102</v>
      </c>
      <c r="V778" t="s">
        <v>74</v>
      </c>
      <c r="W778" t="s">
        <v>102</v>
      </c>
      <c r="AE778" s="2"/>
      <c r="AF778" s="2"/>
      <c r="AG778" s="2"/>
      <c r="AH778" s="2"/>
      <c r="AL778" s="2">
        <v>3990000</v>
      </c>
      <c r="AM778" s="2">
        <v>0</v>
      </c>
      <c r="AN778" s="2"/>
      <c r="AO778" s="2">
        <v>0</v>
      </c>
      <c r="AP778" s="2">
        <v>3990000</v>
      </c>
      <c r="AQ778" s="2">
        <v>0</v>
      </c>
      <c r="AR778" s="2">
        <v>0</v>
      </c>
      <c r="AS778" s="2">
        <v>0</v>
      </c>
      <c r="AT778" s="2">
        <v>0</v>
      </c>
      <c r="AU778" s="2">
        <v>0</v>
      </c>
      <c r="AV778" s="2">
        <v>0</v>
      </c>
      <c r="AW778" s="4"/>
      <c r="AX778" t="s">
        <v>75</v>
      </c>
      <c r="AZ778" t="s">
        <v>107</v>
      </c>
      <c r="BA778" t="s">
        <v>67</v>
      </c>
      <c r="BB778" t="s">
        <v>108</v>
      </c>
      <c r="BC778" t="s">
        <v>109</v>
      </c>
      <c r="BD778" t="s">
        <v>79</v>
      </c>
      <c r="BE778" t="s">
        <v>94</v>
      </c>
      <c r="BF778" s="5">
        <v>46692</v>
      </c>
      <c r="BH778">
        <v>1</v>
      </c>
      <c r="BI778" s="6">
        <v>4500000</v>
      </c>
      <c r="BJ778" s="6">
        <v>0</v>
      </c>
      <c r="BK778" s="6">
        <v>1950000</v>
      </c>
      <c r="BL778" s="6">
        <v>2550000</v>
      </c>
      <c r="BM778" s="2">
        <v>2550000</v>
      </c>
      <c r="BN778">
        <f>InvoiceTable[[#This Row],[Giảm giá]]*InvoiceTable[[#This Row],[Số lượng]]</f>
        <v>1950000</v>
      </c>
    </row>
    <row r="779" spans="1:66" x14ac:dyDescent="0.25">
      <c r="A779" t="s">
        <v>65</v>
      </c>
      <c r="B779" t="s">
        <v>2544</v>
      </c>
      <c r="F779" s="2"/>
      <c r="G779" s="3">
        <v>46008.490756331019</v>
      </c>
      <c r="H779" s="3">
        <v>46008.490652280096</v>
      </c>
      <c r="I779" s="4" t="s">
        <v>96</v>
      </c>
      <c r="J779" t="s">
        <v>2545</v>
      </c>
      <c r="K779" t="s">
        <v>67</v>
      </c>
      <c r="L779" t="s">
        <v>398</v>
      </c>
      <c r="M779" t="s">
        <v>399</v>
      </c>
      <c r="N779" t="s">
        <v>400</v>
      </c>
      <c r="O779" t="s">
        <v>401</v>
      </c>
      <c r="P779" t="s">
        <v>402</v>
      </c>
      <c r="S779" s="5"/>
      <c r="T779" t="s">
        <v>72</v>
      </c>
      <c r="U779" t="s">
        <v>102</v>
      </c>
      <c r="V779" t="s">
        <v>74</v>
      </c>
      <c r="W779" t="s">
        <v>102</v>
      </c>
      <c r="AE779" s="2"/>
      <c r="AF779" s="2"/>
      <c r="AG779" s="2"/>
      <c r="AH779" s="2"/>
      <c r="AL779" s="2">
        <v>3990000</v>
      </c>
      <c r="AM779" s="2">
        <v>0</v>
      </c>
      <c r="AN779" s="2"/>
      <c r="AO779" s="2">
        <v>0</v>
      </c>
      <c r="AP779" s="2">
        <v>3990000</v>
      </c>
      <c r="AQ779" s="2">
        <v>0</v>
      </c>
      <c r="AR779" s="2">
        <v>0</v>
      </c>
      <c r="AS779" s="2">
        <v>0</v>
      </c>
      <c r="AT779" s="2">
        <v>0</v>
      </c>
      <c r="AU779" s="2">
        <v>0</v>
      </c>
      <c r="AV779" s="2">
        <v>0</v>
      </c>
      <c r="AW779" s="4"/>
      <c r="AX779" t="s">
        <v>75</v>
      </c>
      <c r="AZ779" t="s">
        <v>2546</v>
      </c>
      <c r="BA779" t="s">
        <v>67</v>
      </c>
      <c r="BB779" t="s">
        <v>2547</v>
      </c>
      <c r="BC779" t="s">
        <v>2548</v>
      </c>
      <c r="BD779" t="s">
        <v>79</v>
      </c>
      <c r="BE779" t="s">
        <v>216</v>
      </c>
      <c r="BF779" s="5">
        <v>46784</v>
      </c>
      <c r="BH779">
        <v>1</v>
      </c>
      <c r="BI779" s="6">
        <v>3000000</v>
      </c>
      <c r="BJ779" s="6">
        <v>52</v>
      </c>
      <c r="BK779" s="6">
        <v>1560000</v>
      </c>
      <c r="BL779" s="6">
        <v>1440000</v>
      </c>
      <c r="BM779" s="2">
        <v>1440000</v>
      </c>
      <c r="BN779">
        <f>InvoiceTable[[#This Row],[Giảm giá]]*InvoiceTable[[#This Row],[Số lượng]]</f>
        <v>1560000</v>
      </c>
    </row>
    <row r="780" spans="1:66" x14ac:dyDescent="0.25">
      <c r="A780" t="s">
        <v>65</v>
      </c>
      <c r="B780" t="s">
        <v>2549</v>
      </c>
      <c r="F780" s="2"/>
      <c r="G780" s="3">
        <v>46008.437628009262</v>
      </c>
      <c r="H780" s="3">
        <v>46008.437628206018</v>
      </c>
      <c r="I780" s="4" t="s">
        <v>67</v>
      </c>
      <c r="J780" t="s">
        <v>2550</v>
      </c>
      <c r="K780" t="s">
        <v>67</v>
      </c>
      <c r="L780" t="s">
        <v>361</v>
      </c>
      <c r="M780" t="s">
        <v>362</v>
      </c>
      <c r="N780" t="s">
        <v>67</v>
      </c>
      <c r="O780" t="s">
        <v>363</v>
      </c>
      <c r="P780" t="s">
        <v>364</v>
      </c>
      <c r="S780" s="5"/>
      <c r="T780" t="s">
        <v>72</v>
      </c>
      <c r="U780" t="s">
        <v>87</v>
      </c>
      <c r="V780" t="s">
        <v>74</v>
      </c>
      <c r="W780" t="s">
        <v>102</v>
      </c>
      <c r="AE780" s="2"/>
      <c r="AF780" s="2"/>
      <c r="AG780" s="2"/>
      <c r="AH780" s="2"/>
      <c r="AK780" t="s">
        <v>2551</v>
      </c>
      <c r="AL780" s="2">
        <v>6200000</v>
      </c>
      <c r="AM780" s="2">
        <v>0</v>
      </c>
      <c r="AN780" s="2"/>
      <c r="AO780" s="2">
        <v>0</v>
      </c>
      <c r="AP780" s="2">
        <v>6200000</v>
      </c>
      <c r="AQ780" s="2">
        <v>6200000</v>
      </c>
      <c r="AR780" s="2">
        <v>0</v>
      </c>
      <c r="AS780" s="2">
        <v>0</v>
      </c>
      <c r="AT780" s="2">
        <v>0</v>
      </c>
      <c r="AU780" s="2">
        <v>6200000</v>
      </c>
      <c r="AV780" s="2">
        <v>0</v>
      </c>
      <c r="AW780" s="4"/>
      <c r="AX780" t="s">
        <v>75</v>
      </c>
      <c r="AZ780" t="s">
        <v>536</v>
      </c>
      <c r="BA780" t="s">
        <v>67</v>
      </c>
      <c r="BB780" t="s">
        <v>537</v>
      </c>
      <c r="BC780" t="s">
        <v>105</v>
      </c>
      <c r="BD780" t="s">
        <v>79</v>
      </c>
      <c r="BE780" t="s">
        <v>94</v>
      </c>
      <c r="BF780" s="5">
        <v>46692</v>
      </c>
      <c r="BH780">
        <v>1</v>
      </c>
      <c r="BI780" s="6">
        <v>7665000</v>
      </c>
      <c r="BJ780" s="6">
        <v>0</v>
      </c>
      <c r="BK780" s="6">
        <v>1465000</v>
      </c>
      <c r="BL780" s="6">
        <v>6200000</v>
      </c>
      <c r="BM780" s="2">
        <v>6200000</v>
      </c>
      <c r="BN780">
        <f>InvoiceTable[[#This Row],[Giảm giá]]*InvoiceTable[[#This Row],[Số lượng]]</f>
        <v>1465000</v>
      </c>
    </row>
    <row r="781" spans="1:66" x14ac:dyDescent="0.25">
      <c r="A781" t="s">
        <v>65</v>
      </c>
      <c r="B781" t="s">
        <v>2552</v>
      </c>
      <c r="F781" s="2"/>
      <c r="G781" s="3">
        <v>46008.430096412034</v>
      </c>
      <c r="H781" s="3">
        <v>46008.43009652778</v>
      </c>
      <c r="I781" s="4" t="s">
        <v>67</v>
      </c>
      <c r="J781" t="s">
        <v>2553</v>
      </c>
      <c r="K781" t="s">
        <v>67</v>
      </c>
      <c r="L781" t="s">
        <v>697</v>
      </c>
      <c r="M781" t="s">
        <v>698</v>
      </c>
      <c r="N781" t="s">
        <v>67</v>
      </c>
      <c r="O781" t="s">
        <v>699</v>
      </c>
      <c r="P781" t="s">
        <v>700</v>
      </c>
      <c r="Q781" t="s">
        <v>67</v>
      </c>
      <c r="R781" t="s">
        <v>67</v>
      </c>
      <c r="S781" s="5"/>
      <c r="T781" t="s">
        <v>72</v>
      </c>
      <c r="U781" t="s">
        <v>87</v>
      </c>
      <c r="V781" t="s">
        <v>74</v>
      </c>
      <c r="W781" t="s">
        <v>102</v>
      </c>
      <c r="AE781" s="2"/>
      <c r="AF781" s="2"/>
      <c r="AG781" s="2"/>
      <c r="AH781" s="2"/>
      <c r="AK781" t="s">
        <v>2554</v>
      </c>
      <c r="AL781" s="2">
        <v>636120</v>
      </c>
      <c r="AM781" s="2">
        <v>0</v>
      </c>
      <c r="AN781" s="2"/>
      <c r="AO781" s="2">
        <v>0</v>
      </c>
      <c r="AP781" s="2">
        <v>636120</v>
      </c>
      <c r="AQ781" s="2">
        <v>0</v>
      </c>
      <c r="AR781" s="2">
        <v>0</v>
      </c>
      <c r="AS781" s="2">
        <v>0</v>
      </c>
      <c r="AT781" s="2">
        <v>0</v>
      </c>
      <c r="AU781" s="2">
        <v>0</v>
      </c>
      <c r="AV781" s="2">
        <v>0</v>
      </c>
      <c r="AW781" s="4"/>
      <c r="AX781" t="s">
        <v>75</v>
      </c>
      <c r="AZ781" t="s">
        <v>2555</v>
      </c>
      <c r="BA781" t="s">
        <v>67</v>
      </c>
      <c r="BB781" t="s">
        <v>2556</v>
      </c>
      <c r="BC781" t="s">
        <v>986</v>
      </c>
      <c r="BD781" t="s">
        <v>79</v>
      </c>
      <c r="BE781" t="s">
        <v>168</v>
      </c>
      <c r="BF781" s="5">
        <v>46388</v>
      </c>
      <c r="BG781" t="s">
        <v>67</v>
      </c>
      <c r="BH781">
        <v>1</v>
      </c>
      <c r="BI781" s="6">
        <v>1026000</v>
      </c>
      <c r="BJ781" s="6">
        <v>38</v>
      </c>
      <c r="BK781" s="6">
        <v>389880</v>
      </c>
      <c r="BL781" s="6">
        <v>636120</v>
      </c>
      <c r="BM781" s="2">
        <v>636120</v>
      </c>
      <c r="BN781">
        <f>InvoiceTable[[#This Row],[Giảm giá]]*InvoiceTable[[#This Row],[Số lượng]]</f>
        <v>389880</v>
      </c>
    </row>
    <row r="782" spans="1:66" x14ac:dyDescent="0.25">
      <c r="A782" t="s">
        <v>65</v>
      </c>
      <c r="B782" t="s">
        <v>2557</v>
      </c>
      <c r="F782" s="2"/>
      <c r="G782" s="3">
        <v>46008.428917210651</v>
      </c>
      <c r="H782" s="3">
        <v>46008.428813194441</v>
      </c>
      <c r="I782" s="4" t="s">
        <v>96</v>
      </c>
      <c r="J782" t="s">
        <v>2558</v>
      </c>
      <c r="K782" t="s">
        <v>67</v>
      </c>
      <c r="L782" t="s">
        <v>2559</v>
      </c>
      <c r="M782" t="s">
        <v>2560</v>
      </c>
      <c r="N782" t="s">
        <v>2561</v>
      </c>
      <c r="O782" t="s">
        <v>2562</v>
      </c>
      <c r="P782" t="s">
        <v>2563</v>
      </c>
      <c r="S782" s="5"/>
      <c r="T782" t="s">
        <v>72</v>
      </c>
      <c r="U782" t="s">
        <v>87</v>
      </c>
      <c r="V782" t="s">
        <v>74</v>
      </c>
      <c r="W782" t="s">
        <v>102</v>
      </c>
      <c r="AE782" s="2"/>
      <c r="AF782" s="2"/>
      <c r="AG782" s="2"/>
      <c r="AH782" s="2"/>
      <c r="AK782" t="s">
        <v>2564</v>
      </c>
      <c r="AL782" s="2">
        <v>3250000</v>
      </c>
      <c r="AM782" s="2">
        <v>0</v>
      </c>
      <c r="AN782" s="2"/>
      <c r="AO782" s="2">
        <v>0</v>
      </c>
      <c r="AP782" s="2">
        <v>3250000</v>
      </c>
      <c r="AQ782" s="2">
        <v>0</v>
      </c>
      <c r="AR782" s="2">
        <v>0</v>
      </c>
      <c r="AS782" s="2">
        <v>0</v>
      </c>
      <c r="AT782" s="2">
        <v>0</v>
      </c>
      <c r="AU782" s="2">
        <v>0</v>
      </c>
      <c r="AV782" s="2">
        <v>0</v>
      </c>
      <c r="AW782" s="4"/>
      <c r="AX782" t="s">
        <v>75</v>
      </c>
      <c r="AZ782" t="s">
        <v>2565</v>
      </c>
      <c r="BA782" t="s">
        <v>67</v>
      </c>
      <c r="BB782" t="s">
        <v>2566</v>
      </c>
      <c r="BC782" t="s">
        <v>2567</v>
      </c>
      <c r="BD782" t="s">
        <v>79</v>
      </c>
      <c r="BE782" t="s">
        <v>159</v>
      </c>
      <c r="BF782" s="5">
        <v>46478</v>
      </c>
      <c r="BG782" t="s">
        <v>67</v>
      </c>
      <c r="BH782">
        <v>50</v>
      </c>
      <c r="BI782" s="6">
        <v>98000</v>
      </c>
      <c r="BJ782" s="6">
        <v>0</v>
      </c>
      <c r="BK782" s="6">
        <v>33000</v>
      </c>
      <c r="BL782" s="6">
        <v>65000</v>
      </c>
      <c r="BM782" s="2">
        <v>3250000</v>
      </c>
      <c r="BN782">
        <f>InvoiceTable[[#This Row],[Giảm giá]]*InvoiceTable[[#This Row],[Số lượng]]</f>
        <v>1650000</v>
      </c>
    </row>
    <row r="783" spans="1:66" x14ac:dyDescent="0.25">
      <c r="A783" t="s">
        <v>65</v>
      </c>
      <c r="B783" t="s">
        <v>2568</v>
      </c>
      <c r="F783" s="2"/>
      <c r="G783" s="3">
        <v>46008.428017557868</v>
      </c>
      <c r="H783" s="3">
        <v>46008.428017673614</v>
      </c>
      <c r="I783" s="4" t="s">
        <v>67</v>
      </c>
      <c r="J783" t="s">
        <v>2569</v>
      </c>
      <c r="K783" t="s">
        <v>67</v>
      </c>
      <c r="L783" t="s">
        <v>2451</v>
      </c>
      <c r="M783" t="s">
        <v>2452</v>
      </c>
      <c r="N783" t="s">
        <v>2453</v>
      </c>
      <c r="O783" t="s">
        <v>2454</v>
      </c>
      <c r="P783" t="s">
        <v>2455</v>
      </c>
      <c r="S783" s="5"/>
      <c r="T783" t="s">
        <v>72</v>
      </c>
      <c r="U783" t="s">
        <v>87</v>
      </c>
      <c r="V783" t="s">
        <v>74</v>
      </c>
      <c r="W783" t="s">
        <v>102</v>
      </c>
      <c r="AE783" s="2"/>
      <c r="AF783" s="2"/>
      <c r="AG783" s="2"/>
      <c r="AH783" s="2"/>
      <c r="AK783" t="s">
        <v>184</v>
      </c>
      <c r="AL783" s="2">
        <v>2500000</v>
      </c>
      <c r="AM783" s="2">
        <v>0</v>
      </c>
      <c r="AN783" s="2"/>
      <c r="AO783" s="2">
        <v>0</v>
      </c>
      <c r="AP783" s="2">
        <v>2500000</v>
      </c>
      <c r="AQ783" s="2">
        <v>0</v>
      </c>
      <c r="AR783" s="2">
        <v>0</v>
      </c>
      <c r="AS783" s="2">
        <v>0</v>
      </c>
      <c r="AT783" s="2">
        <v>0</v>
      </c>
      <c r="AU783" s="2">
        <v>0</v>
      </c>
      <c r="AV783" s="2">
        <v>0</v>
      </c>
      <c r="AW783" s="4"/>
      <c r="AX783" t="s">
        <v>75</v>
      </c>
      <c r="AZ783" t="s">
        <v>107</v>
      </c>
      <c r="BA783" t="s">
        <v>67</v>
      </c>
      <c r="BB783" t="s">
        <v>108</v>
      </c>
      <c r="BC783" t="s">
        <v>109</v>
      </c>
      <c r="BD783" t="s">
        <v>79</v>
      </c>
      <c r="BE783" t="s">
        <v>94</v>
      </c>
      <c r="BF783" s="5">
        <v>46692</v>
      </c>
      <c r="BG783" t="s">
        <v>67</v>
      </c>
      <c r="BH783">
        <v>1</v>
      </c>
      <c r="BI783" s="6">
        <v>4500000</v>
      </c>
      <c r="BJ783" s="6">
        <v>0</v>
      </c>
      <c r="BK783" s="6">
        <v>2000000</v>
      </c>
      <c r="BL783" s="6">
        <v>2500000</v>
      </c>
      <c r="BM783" s="2">
        <v>2500000</v>
      </c>
      <c r="BN783">
        <f>InvoiceTable[[#This Row],[Giảm giá]]*InvoiceTable[[#This Row],[Số lượng]]</f>
        <v>2000000</v>
      </c>
    </row>
    <row r="784" spans="1:66" x14ac:dyDescent="0.25">
      <c r="A784" t="s">
        <v>65</v>
      </c>
      <c r="B784" t="s">
        <v>2570</v>
      </c>
      <c r="F784" s="2"/>
      <c r="G784" s="3">
        <v>46008.427757673613</v>
      </c>
      <c r="H784" s="3">
        <v>46008.427676817133</v>
      </c>
      <c r="I784" s="4" t="s">
        <v>1202</v>
      </c>
      <c r="J784" t="s">
        <v>2571</v>
      </c>
      <c r="K784" t="s">
        <v>67</v>
      </c>
      <c r="L784" t="s">
        <v>1099</v>
      </c>
      <c r="M784" t="s">
        <v>1100</v>
      </c>
      <c r="N784" t="s">
        <v>67</v>
      </c>
      <c r="O784" t="s">
        <v>1101</v>
      </c>
      <c r="P784" t="s">
        <v>1102</v>
      </c>
      <c r="S784" s="5"/>
      <c r="T784" t="s">
        <v>72</v>
      </c>
      <c r="U784" t="s">
        <v>1031</v>
      </c>
      <c r="V784" t="s">
        <v>74</v>
      </c>
      <c r="W784" t="s">
        <v>102</v>
      </c>
      <c r="AE784" s="2"/>
      <c r="AF784" s="2"/>
      <c r="AG784" s="2"/>
      <c r="AH784" s="2"/>
      <c r="AK784" t="s">
        <v>67</v>
      </c>
      <c r="AL784" s="2">
        <v>2100000</v>
      </c>
      <c r="AM784" s="2">
        <v>0</v>
      </c>
      <c r="AN784" s="2"/>
      <c r="AO784" s="2">
        <v>0</v>
      </c>
      <c r="AP784" s="2">
        <v>2100000</v>
      </c>
      <c r="AQ784" s="2">
        <v>0</v>
      </c>
      <c r="AR784" s="2">
        <v>0</v>
      </c>
      <c r="AS784" s="2">
        <v>0</v>
      </c>
      <c r="AT784" s="2">
        <v>0</v>
      </c>
      <c r="AU784" s="2">
        <v>0</v>
      </c>
      <c r="AV784" s="2">
        <v>0</v>
      </c>
      <c r="AW784" s="4"/>
      <c r="AX784" t="s">
        <v>75</v>
      </c>
      <c r="AZ784" t="s">
        <v>588</v>
      </c>
      <c r="BA784" t="s">
        <v>67</v>
      </c>
      <c r="BB784" t="s">
        <v>589</v>
      </c>
      <c r="BC784" t="s">
        <v>590</v>
      </c>
      <c r="BD784" t="s">
        <v>79</v>
      </c>
      <c r="BE784" t="s">
        <v>117</v>
      </c>
      <c r="BF784" s="5">
        <v>46569</v>
      </c>
      <c r="BG784" t="s">
        <v>67</v>
      </c>
      <c r="BH784">
        <v>1</v>
      </c>
      <c r="BI784" s="6">
        <v>2590000</v>
      </c>
      <c r="BJ784" s="6">
        <v>0</v>
      </c>
      <c r="BK784" s="6">
        <v>490000</v>
      </c>
      <c r="BL784" s="6">
        <v>2100000</v>
      </c>
      <c r="BM784" s="2">
        <v>2100000</v>
      </c>
      <c r="BN784">
        <f>InvoiceTable[[#This Row],[Giảm giá]]*InvoiceTable[[#This Row],[Số lượng]]</f>
        <v>490000</v>
      </c>
    </row>
    <row r="785" spans="1:66" x14ac:dyDescent="0.25">
      <c r="A785" t="s">
        <v>65</v>
      </c>
      <c r="B785" t="s">
        <v>2572</v>
      </c>
      <c r="F785" s="2"/>
      <c r="G785" s="3">
        <v>46008.427186539353</v>
      </c>
      <c r="H785" s="3">
        <v>46008.427186655092</v>
      </c>
      <c r="I785" s="4" t="s">
        <v>67</v>
      </c>
      <c r="J785" t="s">
        <v>2573</v>
      </c>
      <c r="K785" t="s">
        <v>67</v>
      </c>
      <c r="L785" t="s">
        <v>474</v>
      </c>
      <c r="M785" t="s">
        <v>475</v>
      </c>
      <c r="N785" t="s">
        <v>476</v>
      </c>
      <c r="O785" t="s">
        <v>477</v>
      </c>
      <c r="P785" t="s">
        <v>478</v>
      </c>
      <c r="S785" s="5"/>
      <c r="T785" t="s">
        <v>72</v>
      </c>
      <c r="U785" t="s">
        <v>102</v>
      </c>
      <c r="V785" t="s">
        <v>74</v>
      </c>
      <c r="W785" t="s">
        <v>102</v>
      </c>
      <c r="AE785" s="2"/>
      <c r="AF785" s="2"/>
      <c r="AG785" s="2"/>
      <c r="AH785" s="2"/>
      <c r="AK785" t="s">
        <v>2574</v>
      </c>
      <c r="AL785" s="2">
        <v>630000</v>
      </c>
      <c r="AM785" s="2">
        <v>0</v>
      </c>
      <c r="AN785" s="2"/>
      <c r="AO785" s="2">
        <v>0</v>
      </c>
      <c r="AP785" s="2">
        <v>630000</v>
      </c>
      <c r="AQ785" s="2">
        <v>0</v>
      </c>
      <c r="AR785" s="2">
        <v>0</v>
      </c>
      <c r="AS785" s="2">
        <v>0</v>
      </c>
      <c r="AT785" s="2">
        <v>0</v>
      </c>
      <c r="AU785" s="2">
        <v>0</v>
      </c>
      <c r="AV785" s="2">
        <v>0</v>
      </c>
      <c r="AW785" s="4"/>
      <c r="AX785" t="s">
        <v>75</v>
      </c>
      <c r="AZ785" t="s">
        <v>124</v>
      </c>
      <c r="BA785" t="s">
        <v>67</v>
      </c>
      <c r="BB785" t="s">
        <v>125</v>
      </c>
      <c r="BC785" t="s">
        <v>126</v>
      </c>
      <c r="BD785" t="s">
        <v>79</v>
      </c>
      <c r="BE785" t="s">
        <v>127</v>
      </c>
      <c r="BF785" s="5">
        <v>46683</v>
      </c>
      <c r="BH785">
        <v>1</v>
      </c>
      <c r="BI785" s="6">
        <v>1200000</v>
      </c>
      <c r="BJ785" s="6">
        <v>0</v>
      </c>
      <c r="BK785" s="6">
        <v>570000</v>
      </c>
      <c r="BL785" s="6">
        <v>630000</v>
      </c>
      <c r="BM785" s="2">
        <v>630000</v>
      </c>
      <c r="BN785">
        <f>InvoiceTable[[#This Row],[Giảm giá]]*InvoiceTable[[#This Row],[Số lượng]]</f>
        <v>570000</v>
      </c>
    </row>
    <row r="786" spans="1:66" x14ac:dyDescent="0.25">
      <c r="A786" t="s">
        <v>65</v>
      </c>
      <c r="B786" t="s">
        <v>2575</v>
      </c>
      <c r="F786" s="2"/>
      <c r="G786" s="3">
        <v>46007.728493634262</v>
      </c>
      <c r="H786" s="3">
        <v>46007.72849371528</v>
      </c>
      <c r="I786" s="4" t="s">
        <v>67</v>
      </c>
      <c r="J786" t="s">
        <v>67</v>
      </c>
      <c r="K786" t="s">
        <v>2576</v>
      </c>
      <c r="L786" t="s">
        <v>845</v>
      </c>
      <c r="M786" t="s">
        <v>846</v>
      </c>
      <c r="N786" t="s">
        <v>67</v>
      </c>
      <c r="O786" t="s">
        <v>847</v>
      </c>
      <c r="P786" t="s">
        <v>848</v>
      </c>
      <c r="S786" s="5"/>
      <c r="T786" t="s">
        <v>72</v>
      </c>
      <c r="U786" t="s">
        <v>87</v>
      </c>
      <c r="V786" t="s">
        <v>74</v>
      </c>
      <c r="W786" t="s">
        <v>87</v>
      </c>
      <c r="AE786" s="2"/>
      <c r="AF786" s="2"/>
      <c r="AG786" s="2"/>
      <c r="AH786" s="2"/>
      <c r="AL786" s="2">
        <v>6747500</v>
      </c>
      <c r="AM786" s="2">
        <v>0</v>
      </c>
      <c r="AN786" s="2"/>
      <c r="AO786" s="2">
        <v>0</v>
      </c>
      <c r="AP786" s="2">
        <v>6747500</v>
      </c>
      <c r="AQ786" s="2">
        <v>0</v>
      </c>
      <c r="AR786" s="2">
        <v>0</v>
      </c>
      <c r="AS786" s="2">
        <v>0</v>
      </c>
      <c r="AT786" s="2">
        <v>0</v>
      </c>
      <c r="AU786" s="2">
        <v>0</v>
      </c>
      <c r="AV786" s="2">
        <v>0</v>
      </c>
      <c r="AW786" s="4"/>
      <c r="AX786" t="s">
        <v>75</v>
      </c>
      <c r="AZ786" t="s">
        <v>2577</v>
      </c>
      <c r="BA786" t="s">
        <v>67</v>
      </c>
      <c r="BB786" t="s">
        <v>2578</v>
      </c>
      <c r="BC786" t="s">
        <v>2579</v>
      </c>
      <c r="BD786" t="s">
        <v>79</v>
      </c>
      <c r="BE786" t="s">
        <v>926</v>
      </c>
      <c r="BF786" s="5">
        <v>46174</v>
      </c>
      <c r="BH786">
        <v>30</v>
      </c>
      <c r="BI786" s="6">
        <v>450000</v>
      </c>
      <c r="BJ786" s="6">
        <v>0</v>
      </c>
      <c r="BK786" s="6">
        <v>270000</v>
      </c>
      <c r="BL786" s="6">
        <v>180000</v>
      </c>
      <c r="BM786" s="2">
        <v>5400000</v>
      </c>
      <c r="BN786">
        <f>InvoiceTable[[#This Row],[Giảm giá]]*InvoiceTable[[#This Row],[Số lượng]]</f>
        <v>8100000</v>
      </c>
    </row>
    <row r="787" spans="1:66" x14ac:dyDescent="0.25">
      <c r="A787" t="s">
        <v>65</v>
      </c>
      <c r="B787" t="s">
        <v>2575</v>
      </c>
      <c r="F787" s="2"/>
      <c r="G787" s="3">
        <v>46007.728493634262</v>
      </c>
      <c r="H787" s="3">
        <v>46007.72849371528</v>
      </c>
      <c r="I787" s="4" t="s">
        <v>67</v>
      </c>
      <c r="J787" t="s">
        <v>67</v>
      </c>
      <c r="K787" t="s">
        <v>2576</v>
      </c>
      <c r="L787" t="s">
        <v>845</v>
      </c>
      <c r="M787" t="s">
        <v>846</v>
      </c>
      <c r="N787" t="s">
        <v>67</v>
      </c>
      <c r="O787" t="s">
        <v>847</v>
      </c>
      <c r="P787" t="s">
        <v>848</v>
      </c>
      <c r="S787" s="5"/>
      <c r="T787" t="s">
        <v>72</v>
      </c>
      <c r="U787" t="s">
        <v>87</v>
      </c>
      <c r="V787" t="s">
        <v>74</v>
      </c>
      <c r="W787" t="s">
        <v>87</v>
      </c>
      <c r="AE787" s="2"/>
      <c r="AF787" s="2"/>
      <c r="AG787" s="2"/>
      <c r="AH787" s="2"/>
      <c r="AL787" s="2">
        <v>6747500</v>
      </c>
      <c r="AM787" s="2">
        <v>0</v>
      </c>
      <c r="AN787" s="2"/>
      <c r="AO787" s="2">
        <v>0</v>
      </c>
      <c r="AP787" s="2">
        <v>6747500</v>
      </c>
      <c r="AQ787" s="2">
        <v>0</v>
      </c>
      <c r="AR787" s="2">
        <v>0</v>
      </c>
      <c r="AS787" s="2">
        <v>0</v>
      </c>
      <c r="AT787" s="2">
        <v>0</v>
      </c>
      <c r="AU787" s="2">
        <v>0</v>
      </c>
      <c r="AV787" s="2">
        <v>0</v>
      </c>
      <c r="AW787" s="4"/>
      <c r="AX787" t="s">
        <v>75</v>
      </c>
      <c r="AZ787" t="s">
        <v>2580</v>
      </c>
      <c r="BA787" t="s">
        <v>67</v>
      </c>
      <c r="BB787" t="s">
        <v>2581</v>
      </c>
      <c r="BC787" t="s">
        <v>2582</v>
      </c>
      <c r="BE787" t="s">
        <v>2583</v>
      </c>
      <c r="BF787" s="5">
        <v>46660</v>
      </c>
      <c r="BG787" t="s">
        <v>67</v>
      </c>
      <c r="BH787">
        <v>5</v>
      </c>
      <c r="BI787" s="6">
        <v>490000</v>
      </c>
      <c r="BJ787" s="6">
        <v>45</v>
      </c>
      <c r="BK787" s="6">
        <v>220500</v>
      </c>
      <c r="BL787" s="6">
        <v>269500</v>
      </c>
      <c r="BM787" s="2">
        <v>1347500</v>
      </c>
      <c r="BN787">
        <f>InvoiceTable[[#This Row],[Giảm giá]]*InvoiceTable[[#This Row],[Số lượng]]</f>
        <v>1102500</v>
      </c>
    </row>
    <row r="788" spans="1:66" x14ac:dyDescent="0.25">
      <c r="A788" t="s">
        <v>65</v>
      </c>
      <c r="B788" t="s">
        <v>2584</v>
      </c>
      <c r="F788" s="2"/>
      <c r="G788" s="3">
        <v>46007.726491701389</v>
      </c>
      <c r="H788" s="3">
        <v>46007.726480243058</v>
      </c>
      <c r="I788" s="4" t="s">
        <v>2585</v>
      </c>
      <c r="J788" t="s">
        <v>67</v>
      </c>
      <c r="K788" t="s">
        <v>67</v>
      </c>
      <c r="L788" t="s">
        <v>845</v>
      </c>
      <c r="M788" t="s">
        <v>846</v>
      </c>
      <c r="N788" t="s">
        <v>67</v>
      </c>
      <c r="O788" t="s">
        <v>847</v>
      </c>
      <c r="P788" t="s">
        <v>848</v>
      </c>
      <c r="S788" s="5"/>
      <c r="T788" t="s">
        <v>72</v>
      </c>
      <c r="U788" t="s">
        <v>87</v>
      </c>
      <c r="V788" t="s">
        <v>74</v>
      </c>
      <c r="W788" t="s">
        <v>87</v>
      </c>
      <c r="AE788" s="2"/>
      <c r="AF788" s="2"/>
      <c r="AG788" s="2"/>
      <c r="AH788" s="2"/>
      <c r="AL788" s="2">
        <v>6100000</v>
      </c>
      <c r="AM788" s="2">
        <v>0</v>
      </c>
      <c r="AN788" s="2"/>
      <c r="AO788" s="2">
        <v>0</v>
      </c>
      <c r="AP788" s="2">
        <v>6100000</v>
      </c>
      <c r="AQ788" s="2">
        <v>0</v>
      </c>
      <c r="AR788" s="2">
        <v>0</v>
      </c>
      <c r="AS788" s="2">
        <v>0</v>
      </c>
      <c r="AT788" s="2">
        <v>0</v>
      </c>
      <c r="AU788" s="2">
        <v>0</v>
      </c>
      <c r="AV788" s="2">
        <v>0</v>
      </c>
      <c r="AW788" s="4"/>
      <c r="AX788" t="s">
        <v>75</v>
      </c>
      <c r="AZ788" t="s">
        <v>124</v>
      </c>
      <c r="BA788" t="s">
        <v>67</v>
      </c>
      <c r="BB788" t="s">
        <v>125</v>
      </c>
      <c r="BC788" t="s">
        <v>126</v>
      </c>
      <c r="BD788" t="s">
        <v>79</v>
      </c>
      <c r="BE788" t="s">
        <v>127</v>
      </c>
      <c r="BF788" s="5">
        <v>46683</v>
      </c>
      <c r="BH788">
        <v>10</v>
      </c>
      <c r="BI788" s="6">
        <v>1200000</v>
      </c>
      <c r="BJ788" s="6">
        <v>49.17</v>
      </c>
      <c r="BK788" s="6">
        <v>590000</v>
      </c>
      <c r="BL788" s="6">
        <v>610000</v>
      </c>
      <c r="BM788" s="2">
        <v>6100000</v>
      </c>
      <c r="BN788">
        <f>InvoiceTable[[#This Row],[Giảm giá]]*InvoiceTable[[#This Row],[Số lượng]]</f>
        <v>5900000</v>
      </c>
    </row>
    <row r="789" spans="1:66" x14ac:dyDescent="0.25">
      <c r="A789" t="s">
        <v>65</v>
      </c>
      <c r="B789" t="s">
        <v>2586</v>
      </c>
      <c r="F789" s="2"/>
      <c r="G789" s="3">
        <v>46007.725297569443</v>
      </c>
      <c r="H789" s="3">
        <v>46007.725297685189</v>
      </c>
      <c r="I789" s="4" t="s">
        <v>67</v>
      </c>
      <c r="J789" t="s">
        <v>67</v>
      </c>
      <c r="K789" t="s">
        <v>67</v>
      </c>
      <c r="L789" t="s">
        <v>2587</v>
      </c>
      <c r="M789" t="s">
        <v>2588</v>
      </c>
      <c r="N789" t="s">
        <v>2589</v>
      </c>
      <c r="O789" t="s">
        <v>2590</v>
      </c>
      <c r="P789" t="s">
        <v>2591</v>
      </c>
      <c r="S789" s="5"/>
      <c r="T789" t="s">
        <v>72</v>
      </c>
      <c r="U789" t="s">
        <v>102</v>
      </c>
      <c r="V789" t="s">
        <v>74</v>
      </c>
      <c r="W789" t="s">
        <v>102</v>
      </c>
      <c r="AE789" s="2"/>
      <c r="AF789" s="2"/>
      <c r="AG789" s="2"/>
      <c r="AH789" s="2"/>
      <c r="AL789" s="2">
        <v>691920</v>
      </c>
      <c r="AM789" s="2">
        <v>0</v>
      </c>
      <c r="AN789" s="2"/>
      <c r="AO789" s="2">
        <v>0</v>
      </c>
      <c r="AP789" s="2">
        <v>691920</v>
      </c>
      <c r="AQ789" s="2">
        <v>0</v>
      </c>
      <c r="AR789" s="2">
        <v>0</v>
      </c>
      <c r="AS789" s="2">
        <v>0</v>
      </c>
      <c r="AT789" s="2">
        <v>0</v>
      </c>
      <c r="AU789" s="2">
        <v>0</v>
      </c>
      <c r="AV789" s="2">
        <v>0</v>
      </c>
      <c r="AW789" s="4"/>
      <c r="AX789" t="s">
        <v>75</v>
      </c>
      <c r="AZ789" t="s">
        <v>2153</v>
      </c>
      <c r="BA789" t="s">
        <v>67</v>
      </c>
      <c r="BB789" t="s">
        <v>2154</v>
      </c>
      <c r="BC789" t="s">
        <v>1714</v>
      </c>
      <c r="BD789" t="s">
        <v>79</v>
      </c>
      <c r="BE789" t="s">
        <v>228</v>
      </c>
      <c r="BF789" s="5">
        <v>46813</v>
      </c>
      <c r="BH789">
        <v>2</v>
      </c>
      <c r="BI789" s="6">
        <v>558000</v>
      </c>
      <c r="BJ789" s="6">
        <v>38</v>
      </c>
      <c r="BK789" s="6">
        <v>212040</v>
      </c>
      <c r="BL789" s="6">
        <v>345960</v>
      </c>
      <c r="BM789" s="2">
        <v>691920</v>
      </c>
      <c r="BN789">
        <f>InvoiceTable[[#This Row],[Giảm giá]]*InvoiceTable[[#This Row],[Số lượng]]</f>
        <v>424080</v>
      </c>
    </row>
    <row r="790" spans="1:66" x14ac:dyDescent="0.25">
      <c r="A790" t="s">
        <v>65</v>
      </c>
      <c r="B790" t="s">
        <v>2592</v>
      </c>
      <c r="F790" s="2"/>
      <c r="G790" s="3">
        <v>46007.72031689815</v>
      </c>
      <c r="H790" s="3">
        <v>46007.72025914352</v>
      </c>
      <c r="I790" s="4" t="s">
        <v>1682</v>
      </c>
      <c r="J790" t="s">
        <v>67</v>
      </c>
      <c r="K790" t="s">
        <v>67</v>
      </c>
      <c r="L790" t="s">
        <v>303</v>
      </c>
      <c r="M790" t="s">
        <v>304</v>
      </c>
      <c r="N790" t="s">
        <v>67</v>
      </c>
      <c r="O790" t="s">
        <v>305</v>
      </c>
      <c r="P790" t="s">
        <v>306</v>
      </c>
      <c r="Q790" t="s">
        <v>67</v>
      </c>
      <c r="R790" t="s">
        <v>67</v>
      </c>
      <c r="S790" s="5"/>
      <c r="T790" t="s">
        <v>72</v>
      </c>
      <c r="U790" t="s">
        <v>87</v>
      </c>
      <c r="V790" t="s">
        <v>74</v>
      </c>
      <c r="W790" t="s">
        <v>87</v>
      </c>
      <c r="AE790" s="2"/>
      <c r="AF790" s="2"/>
      <c r="AG790" s="2"/>
      <c r="AH790" s="2"/>
      <c r="AL790" s="2">
        <v>0</v>
      </c>
      <c r="AM790" s="2">
        <v>0</v>
      </c>
      <c r="AN790" s="2"/>
      <c r="AO790" s="2">
        <v>0</v>
      </c>
      <c r="AP790" s="2">
        <v>0</v>
      </c>
      <c r="AQ790" s="2">
        <v>0</v>
      </c>
      <c r="AR790" s="2">
        <v>0</v>
      </c>
      <c r="AS790" s="2">
        <v>0</v>
      </c>
      <c r="AT790" s="2">
        <v>0</v>
      </c>
      <c r="AU790" s="2">
        <v>0</v>
      </c>
      <c r="AV790" s="2">
        <v>0</v>
      </c>
      <c r="AW790" s="4"/>
      <c r="AX790" t="s">
        <v>75</v>
      </c>
      <c r="AZ790" t="s">
        <v>404</v>
      </c>
      <c r="BA790" t="s">
        <v>67</v>
      </c>
      <c r="BB790" t="s">
        <v>405</v>
      </c>
      <c r="BC790" t="s">
        <v>406</v>
      </c>
      <c r="BD790" t="s">
        <v>79</v>
      </c>
      <c r="BE790" t="s">
        <v>131</v>
      </c>
      <c r="BF790" s="5">
        <v>46874</v>
      </c>
      <c r="BH790">
        <v>1</v>
      </c>
      <c r="BI790" s="6">
        <v>990000</v>
      </c>
      <c r="BJ790" s="6">
        <v>0</v>
      </c>
      <c r="BK790" s="6">
        <v>990000</v>
      </c>
      <c r="BL790" s="6">
        <v>0</v>
      </c>
      <c r="BM790" s="2">
        <v>0</v>
      </c>
      <c r="BN790">
        <f>InvoiceTable[[#This Row],[Giảm giá]]*InvoiceTable[[#This Row],[Số lượng]]</f>
        <v>990000</v>
      </c>
    </row>
    <row r="791" spans="1:66" x14ac:dyDescent="0.25">
      <c r="A791" t="s">
        <v>65</v>
      </c>
      <c r="B791" t="s">
        <v>2593</v>
      </c>
      <c r="F791" s="2"/>
      <c r="G791" s="3">
        <v>46007.711752083334</v>
      </c>
      <c r="H791" s="3">
        <v>46007.71175234954</v>
      </c>
      <c r="I791" s="4" t="s">
        <v>67</v>
      </c>
      <c r="J791" t="s">
        <v>2594</v>
      </c>
      <c r="K791" t="s">
        <v>67</v>
      </c>
      <c r="L791" t="s">
        <v>180</v>
      </c>
      <c r="M791" t="s">
        <v>181</v>
      </c>
      <c r="N791" t="s">
        <v>67</v>
      </c>
      <c r="O791" t="s">
        <v>182</v>
      </c>
      <c r="P791" t="s">
        <v>183</v>
      </c>
      <c r="S791" s="5"/>
      <c r="T791" t="s">
        <v>72</v>
      </c>
      <c r="U791" t="s">
        <v>73</v>
      </c>
      <c r="V791" t="s">
        <v>74</v>
      </c>
      <c r="W791" t="s">
        <v>87</v>
      </c>
      <c r="AE791" s="2"/>
      <c r="AF791" s="2"/>
      <c r="AG791" s="2"/>
      <c r="AH791" s="2"/>
      <c r="AK791" t="s">
        <v>67</v>
      </c>
      <c r="AL791" s="2">
        <v>954000</v>
      </c>
      <c r="AM791" s="2">
        <v>0</v>
      </c>
      <c r="AN791" s="2"/>
      <c r="AO791" s="2">
        <v>0</v>
      </c>
      <c r="AP791" s="2">
        <v>954000</v>
      </c>
      <c r="AQ791" s="2">
        <v>0</v>
      </c>
      <c r="AR791" s="2">
        <v>0</v>
      </c>
      <c r="AS791" s="2">
        <v>0</v>
      </c>
      <c r="AT791" s="2">
        <v>0</v>
      </c>
      <c r="AU791" s="2">
        <v>0</v>
      </c>
      <c r="AV791" s="2">
        <v>0</v>
      </c>
      <c r="AW791" s="4"/>
      <c r="AX791" t="s">
        <v>75</v>
      </c>
      <c r="AZ791" t="s">
        <v>2595</v>
      </c>
      <c r="BA791" t="s">
        <v>67</v>
      </c>
      <c r="BB791" t="s">
        <v>2596</v>
      </c>
      <c r="BC791" t="s">
        <v>347</v>
      </c>
      <c r="BD791" t="s">
        <v>79</v>
      </c>
      <c r="BE791" t="s">
        <v>423</v>
      </c>
      <c r="BF791" s="5">
        <v>47543</v>
      </c>
      <c r="BG791" t="s">
        <v>67</v>
      </c>
      <c r="BH791">
        <v>2</v>
      </c>
      <c r="BI791" s="6">
        <v>480000</v>
      </c>
      <c r="BJ791" s="6">
        <v>35</v>
      </c>
      <c r="BK791" s="6">
        <v>168000</v>
      </c>
      <c r="BL791" s="6">
        <v>312000</v>
      </c>
      <c r="BM791" s="2">
        <v>624000</v>
      </c>
      <c r="BN791">
        <f>InvoiceTable[[#This Row],[Giảm giá]]*InvoiceTable[[#This Row],[Số lượng]]</f>
        <v>336000</v>
      </c>
    </row>
    <row r="792" spans="1:66" x14ac:dyDescent="0.25">
      <c r="A792" t="s">
        <v>65</v>
      </c>
      <c r="B792" t="s">
        <v>2593</v>
      </c>
      <c r="F792" s="2"/>
      <c r="G792" s="3">
        <v>46007.711752083334</v>
      </c>
      <c r="H792" s="3">
        <v>46007.71175234954</v>
      </c>
      <c r="I792" s="4" t="s">
        <v>67</v>
      </c>
      <c r="J792" t="s">
        <v>2594</v>
      </c>
      <c r="K792" t="s">
        <v>67</v>
      </c>
      <c r="L792" t="s">
        <v>180</v>
      </c>
      <c r="M792" t="s">
        <v>181</v>
      </c>
      <c r="N792" t="s">
        <v>67</v>
      </c>
      <c r="O792" t="s">
        <v>182</v>
      </c>
      <c r="P792" t="s">
        <v>183</v>
      </c>
      <c r="S792" s="5"/>
      <c r="T792" t="s">
        <v>72</v>
      </c>
      <c r="U792" t="s">
        <v>73</v>
      </c>
      <c r="V792" t="s">
        <v>74</v>
      </c>
      <c r="W792" t="s">
        <v>87</v>
      </c>
      <c r="AE792" s="2"/>
      <c r="AF792" s="2"/>
      <c r="AG792" s="2"/>
      <c r="AH792" s="2"/>
      <c r="AK792" t="s">
        <v>67</v>
      </c>
      <c r="AL792" s="2">
        <v>954000</v>
      </c>
      <c r="AM792" s="2">
        <v>0</v>
      </c>
      <c r="AN792" s="2"/>
      <c r="AO792" s="2">
        <v>0</v>
      </c>
      <c r="AP792" s="2">
        <v>954000</v>
      </c>
      <c r="AQ792" s="2">
        <v>0</v>
      </c>
      <c r="AR792" s="2">
        <v>0</v>
      </c>
      <c r="AS792" s="2">
        <v>0</v>
      </c>
      <c r="AT792" s="2">
        <v>0</v>
      </c>
      <c r="AU792" s="2">
        <v>0</v>
      </c>
      <c r="AV792" s="2">
        <v>0</v>
      </c>
      <c r="AW792" s="4"/>
      <c r="AX792" t="s">
        <v>75</v>
      </c>
      <c r="AZ792" t="s">
        <v>192</v>
      </c>
      <c r="BA792" t="s">
        <v>67</v>
      </c>
      <c r="BB792" t="s">
        <v>193</v>
      </c>
      <c r="BC792" t="s">
        <v>194</v>
      </c>
      <c r="BD792" t="s">
        <v>79</v>
      </c>
      <c r="BE792" t="s">
        <v>195</v>
      </c>
      <c r="BF792" s="5">
        <v>46419</v>
      </c>
      <c r="BG792" t="s">
        <v>67</v>
      </c>
      <c r="BH792">
        <v>3</v>
      </c>
      <c r="BI792" s="6">
        <v>250000</v>
      </c>
      <c r="BJ792" s="6">
        <v>0</v>
      </c>
      <c r="BK792" s="6">
        <v>140000</v>
      </c>
      <c r="BL792" s="6">
        <v>110000</v>
      </c>
      <c r="BM792" s="2">
        <v>330000</v>
      </c>
      <c r="BN792">
        <f>InvoiceTable[[#This Row],[Giảm giá]]*InvoiceTable[[#This Row],[Số lượng]]</f>
        <v>420000</v>
      </c>
    </row>
    <row r="793" spans="1:66" x14ac:dyDescent="0.25">
      <c r="A793" t="s">
        <v>65</v>
      </c>
      <c r="B793" t="s">
        <v>2597</v>
      </c>
      <c r="F793" s="2"/>
      <c r="G793" s="3">
        <v>46007.711377546293</v>
      </c>
      <c r="H793" s="3">
        <v>46007.711342939816</v>
      </c>
      <c r="I793" s="4" t="s">
        <v>2290</v>
      </c>
      <c r="J793" t="s">
        <v>2598</v>
      </c>
      <c r="K793" t="s">
        <v>67</v>
      </c>
      <c r="L793" t="s">
        <v>1892</v>
      </c>
      <c r="M793" t="s">
        <v>1893</v>
      </c>
      <c r="N793" t="s">
        <v>1894</v>
      </c>
      <c r="O793" t="s">
        <v>1895</v>
      </c>
      <c r="P793" t="s">
        <v>1896</v>
      </c>
      <c r="S793" s="5"/>
      <c r="T793" t="s">
        <v>72</v>
      </c>
      <c r="U793" t="s">
        <v>73</v>
      </c>
      <c r="V793" t="s">
        <v>74</v>
      </c>
      <c r="W793" t="s">
        <v>87</v>
      </c>
      <c r="AE793" s="2"/>
      <c r="AF793" s="2"/>
      <c r="AG793" s="2"/>
      <c r="AH793" s="2"/>
      <c r="AK793" t="s">
        <v>2599</v>
      </c>
      <c r="AL793" s="2">
        <v>527820</v>
      </c>
      <c r="AM793" s="2">
        <v>0</v>
      </c>
      <c r="AN793" s="2"/>
      <c r="AO793" s="2">
        <v>0</v>
      </c>
      <c r="AP793" s="2">
        <v>527820</v>
      </c>
      <c r="AQ793" s="2">
        <v>0</v>
      </c>
      <c r="AR793" s="2">
        <v>0</v>
      </c>
      <c r="AS793" s="2">
        <v>0</v>
      </c>
      <c r="AT793" s="2">
        <v>0</v>
      </c>
      <c r="AU793" s="2">
        <v>0</v>
      </c>
      <c r="AV793" s="2">
        <v>0</v>
      </c>
      <c r="AW793" s="4"/>
      <c r="AX793" t="s">
        <v>75</v>
      </c>
      <c r="AZ793" t="s">
        <v>2352</v>
      </c>
      <c r="BA793" t="s">
        <v>67</v>
      </c>
      <c r="BB793" t="s">
        <v>2353</v>
      </c>
      <c r="BC793" t="s">
        <v>1616</v>
      </c>
      <c r="BD793" t="s">
        <v>79</v>
      </c>
      <c r="BE793" t="s">
        <v>139</v>
      </c>
      <c r="BF793" s="5">
        <v>46447</v>
      </c>
      <c r="BG793" t="s">
        <v>67</v>
      </c>
      <c r="BH793">
        <v>1</v>
      </c>
      <c r="BI793" s="6">
        <v>501000</v>
      </c>
      <c r="BJ793" s="6">
        <v>18</v>
      </c>
      <c r="BK793" s="6">
        <v>90180</v>
      </c>
      <c r="BL793" s="6">
        <v>410820</v>
      </c>
      <c r="BM793" s="2">
        <v>410820</v>
      </c>
      <c r="BN793">
        <f>InvoiceTable[[#This Row],[Giảm giá]]*InvoiceTable[[#This Row],[Số lượng]]</f>
        <v>90180</v>
      </c>
    </row>
    <row r="794" spans="1:66" x14ac:dyDescent="0.25">
      <c r="A794" t="s">
        <v>65</v>
      </c>
      <c r="B794" t="s">
        <v>2597</v>
      </c>
      <c r="F794" s="2"/>
      <c r="G794" s="3">
        <v>46007.711377546293</v>
      </c>
      <c r="H794" s="3">
        <v>46007.711342939816</v>
      </c>
      <c r="I794" s="4" t="s">
        <v>2290</v>
      </c>
      <c r="J794" t="s">
        <v>2598</v>
      </c>
      <c r="K794" t="s">
        <v>67</v>
      </c>
      <c r="L794" t="s">
        <v>1892</v>
      </c>
      <c r="M794" t="s">
        <v>1893</v>
      </c>
      <c r="N794" t="s">
        <v>1894</v>
      </c>
      <c r="O794" t="s">
        <v>1895</v>
      </c>
      <c r="P794" t="s">
        <v>1896</v>
      </c>
      <c r="S794" s="5"/>
      <c r="T794" t="s">
        <v>72</v>
      </c>
      <c r="U794" t="s">
        <v>73</v>
      </c>
      <c r="V794" t="s">
        <v>74</v>
      </c>
      <c r="W794" t="s">
        <v>87</v>
      </c>
      <c r="AE794" s="2"/>
      <c r="AF794" s="2"/>
      <c r="AG794" s="2"/>
      <c r="AH794" s="2"/>
      <c r="AK794" t="s">
        <v>2599</v>
      </c>
      <c r="AL794" s="2">
        <v>527820</v>
      </c>
      <c r="AM794" s="2">
        <v>0</v>
      </c>
      <c r="AN794" s="2"/>
      <c r="AO794" s="2">
        <v>0</v>
      </c>
      <c r="AP794" s="2">
        <v>527820</v>
      </c>
      <c r="AQ794" s="2">
        <v>0</v>
      </c>
      <c r="AR794" s="2">
        <v>0</v>
      </c>
      <c r="AS794" s="2">
        <v>0</v>
      </c>
      <c r="AT794" s="2">
        <v>0</v>
      </c>
      <c r="AU794" s="2">
        <v>0</v>
      </c>
      <c r="AV794" s="2">
        <v>0</v>
      </c>
      <c r="AW794" s="4"/>
      <c r="AX794" t="s">
        <v>75</v>
      </c>
      <c r="AZ794" t="s">
        <v>1910</v>
      </c>
      <c r="BA794" t="s">
        <v>67</v>
      </c>
      <c r="BB794" t="s">
        <v>1911</v>
      </c>
      <c r="BC794" t="s">
        <v>1912</v>
      </c>
      <c r="BD794" t="s">
        <v>79</v>
      </c>
      <c r="BE794" t="s">
        <v>198</v>
      </c>
      <c r="BF794" s="5">
        <v>46753</v>
      </c>
      <c r="BG794" t="s">
        <v>67</v>
      </c>
      <c r="BH794">
        <v>1</v>
      </c>
      <c r="BI794" s="6">
        <v>195000</v>
      </c>
      <c r="BJ794" s="6">
        <v>40</v>
      </c>
      <c r="BK794" s="6">
        <v>78000</v>
      </c>
      <c r="BL794" s="6">
        <v>117000</v>
      </c>
      <c r="BM794" s="2">
        <v>117000</v>
      </c>
      <c r="BN794">
        <f>InvoiceTable[[#This Row],[Giảm giá]]*InvoiceTable[[#This Row],[Số lượng]]</f>
        <v>78000</v>
      </c>
    </row>
    <row r="795" spans="1:66" x14ac:dyDescent="0.25">
      <c r="A795" t="s">
        <v>65</v>
      </c>
      <c r="B795" t="s">
        <v>2600</v>
      </c>
      <c r="F795" s="2"/>
      <c r="G795" s="3">
        <v>46007.685543055559</v>
      </c>
      <c r="H795" s="3">
        <v>46007.685543321757</v>
      </c>
      <c r="I795" s="4" t="s">
        <v>67</v>
      </c>
      <c r="J795" t="s">
        <v>2601</v>
      </c>
      <c r="K795" t="s">
        <v>67</v>
      </c>
      <c r="L795" t="s">
        <v>1441</v>
      </c>
      <c r="M795" t="s">
        <v>1442</v>
      </c>
      <c r="N795" t="s">
        <v>67</v>
      </c>
      <c r="O795" t="s">
        <v>1443</v>
      </c>
      <c r="Q795" t="s">
        <v>67</v>
      </c>
      <c r="R795" t="s">
        <v>67</v>
      </c>
      <c r="S795" s="5"/>
      <c r="T795" t="s">
        <v>72</v>
      </c>
      <c r="U795" t="s">
        <v>102</v>
      </c>
      <c r="V795" t="s">
        <v>74</v>
      </c>
      <c r="W795" t="s">
        <v>87</v>
      </c>
      <c r="AE795" s="2"/>
      <c r="AF795" s="2"/>
      <c r="AG795" s="2"/>
      <c r="AH795" s="2"/>
      <c r="AK795" t="s">
        <v>1003</v>
      </c>
      <c r="AL795" s="2">
        <v>373920</v>
      </c>
      <c r="AM795" s="2">
        <v>0</v>
      </c>
      <c r="AN795" s="2"/>
      <c r="AO795" s="2">
        <v>0</v>
      </c>
      <c r="AP795" s="2">
        <v>373920</v>
      </c>
      <c r="AQ795" s="2">
        <v>0</v>
      </c>
      <c r="AR795" s="2">
        <v>0</v>
      </c>
      <c r="AS795" s="2">
        <v>0</v>
      </c>
      <c r="AT795" s="2">
        <v>0</v>
      </c>
      <c r="AU795" s="2">
        <v>0</v>
      </c>
      <c r="AV795" s="2">
        <v>0</v>
      </c>
      <c r="AW795" s="4"/>
      <c r="AX795" t="s">
        <v>75</v>
      </c>
      <c r="AZ795" t="s">
        <v>2602</v>
      </c>
      <c r="BA795" t="s">
        <v>67</v>
      </c>
      <c r="BB795" t="s">
        <v>2603</v>
      </c>
      <c r="BC795" t="s">
        <v>2604</v>
      </c>
      <c r="BD795" t="s">
        <v>79</v>
      </c>
      <c r="BE795" t="s">
        <v>139</v>
      </c>
      <c r="BF795" s="5">
        <v>46447</v>
      </c>
      <c r="BG795" t="s">
        <v>67</v>
      </c>
      <c r="BH795">
        <v>1</v>
      </c>
      <c r="BI795" s="6">
        <v>656000</v>
      </c>
      <c r="BJ795" s="6">
        <v>43</v>
      </c>
      <c r="BK795" s="6">
        <v>282080</v>
      </c>
      <c r="BL795" s="6">
        <v>373920</v>
      </c>
      <c r="BM795" s="2">
        <v>373920</v>
      </c>
      <c r="BN795">
        <f>InvoiceTable[[#This Row],[Giảm giá]]*InvoiceTable[[#This Row],[Số lượng]]</f>
        <v>282080</v>
      </c>
    </row>
    <row r="796" spans="1:66" x14ac:dyDescent="0.25">
      <c r="A796" t="s">
        <v>65</v>
      </c>
      <c r="B796" t="s">
        <v>2605</v>
      </c>
      <c r="F796" s="2"/>
      <c r="G796" s="3">
        <v>46007.679575613423</v>
      </c>
      <c r="H796" s="3">
        <v>46007.679610416664</v>
      </c>
      <c r="I796" s="4" t="s">
        <v>1465</v>
      </c>
      <c r="J796" t="s">
        <v>67</v>
      </c>
      <c r="K796" t="s">
        <v>2606</v>
      </c>
      <c r="L796" t="s">
        <v>1045</v>
      </c>
      <c r="M796" t="s">
        <v>1046</v>
      </c>
      <c r="N796" t="s">
        <v>67</v>
      </c>
      <c r="Q796" t="s">
        <v>67</v>
      </c>
      <c r="R796" t="s">
        <v>67</v>
      </c>
      <c r="S796" s="5"/>
      <c r="T796" t="s">
        <v>72</v>
      </c>
      <c r="U796" t="s">
        <v>87</v>
      </c>
      <c r="V796" t="s">
        <v>74</v>
      </c>
      <c r="W796" t="s">
        <v>87</v>
      </c>
      <c r="AE796" s="2"/>
      <c r="AF796" s="2"/>
      <c r="AG796" s="2"/>
      <c r="AH796" s="2"/>
      <c r="AK796" t="s">
        <v>2607</v>
      </c>
      <c r="AL796" s="2">
        <v>2805000</v>
      </c>
      <c r="AM796" s="2">
        <v>0</v>
      </c>
      <c r="AN796" s="2"/>
      <c r="AO796" s="2">
        <v>0</v>
      </c>
      <c r="AP796" s="2">
        <v>2805000</v>
      </c>
      <c r="AQ796" s="2">
        <v>0</v>
      </c>
      <c r="AR796" s="2">
        <v>0</v>
      </c>
      <c r="AS796" s="2">
        <v>0</v>
      </c>
      <c r="AT796" s="2">
        <v>0</v>
      </c>
      <c r="AU796" s="2">
        <v>0</v>
      </c>
      <c r="AV796" s="2">
        <v>0</v>
      </c>
      <c r="AW796" s="4"/>
      <c r="AX796" t="s">
        <v>75</v>
      </c>
      <c r="AZ796" t="s">
        <v>2608</v>
      </c>
      <c r="BA796" t="s">
        <v>67</v>
      </c>
      <c r="BB796" t="s">
        <v>2609</v>
      </c>
      <c r="BC796" t="s">
        <v>223</v>
      </c>
      <c r="BD796" t="s">
        <v>79</v>
      </c>
      <c r="BE796" t="s">
        <v>2610</v>
      </c>
      <c r="BF796" s="5">
        <v>46377</v>
      </c>
      <c r="BG796" t="s">
        <v>67</v>
      </c>
      <c r="BH796">
        <v>2</v>
      </c>
      <c r="BI796" s="6">
        <v>2550000</v>
      </c>
      <c r="BJ796" s="6">
        <v>45</v>
      </c>
      <c r="BK796" s="6">
        <v>1147500</v>
      </c>
      <c r="BL796" s="6">
        <v>1402500</v>
      </c>
      <c r="BM796" s="2">
        <v>2805000</v>
      </c>
      <c r="BN796">
        <f>InvoiceTable[[#This Row],[Giảm giá]]*InvoiceTable[[#This Row],[Số lượng]]</f>
        <v>2295000</v>
      </c>
    </row>
    <row r="797" spans="1:66" x14ac:dyDescent="0.25">
      <c r="A797" t="s">
        <v>65</v>
      </c>
      <c r="B797" t="s">
        <v>2611</v>
      </c>
      <c r="F797" s="2"/>
      <c r="G797" s="3">
        <v>46007.678714270834</v>
      </c>
      <c r="H797" s="3">
        <v>46007.678714502312</v>
      </c>
      <c r="I797" s="4" t="s">
        <v>67</v>
      </c>
      <c r="J797" t="s">
        <v>67</v>
      </c>
      <c r="K797" t="s">
        <v>67</v>
      </c>
      <c r="L797" t="s">
        <v>1045</v>
      </c>
      <c r="M797" t="s">
        <v>1046</v>
      </c>
      <c r="N797" t="s">
        <v>67</v>
      </c>
      <c r="Q797" t="s">
        <v>67</v>
      </c>
      <c r="R797" t="s">
        <v>67</v>
      </c>
      <c r="S797" s="5"/>
      <c r="T797" t="s">
        <v>72</v>
      </c>
      <c r="U797" t="s">
        <v>87</v>
      </c>
      <c r="V797" t="s">
        <v>74</v>
      </c>
      <c r="W797" t="s">
        <v>87</v>
      </c>
      <c r="AE797" s="2"/>
      <c r="AF797" s="2"/>
      <c r="AG797" s="2"/>
      <c r="AH797" s="2"/>
      <c r="AL797" s="2">
        <v>14466000</v>
      </c>
      <c r="AM797" s="2">
        <v>0</v>
      </c>
      <c r="AN797" s="2"/>
      <c r="AO797" s="2">
        <v>0</v>
      </c>
      <c r="AP797" s="2">
        <v>14466000</v>
      </c>
      <c r="AQ797" s="2">
        <v>0</v>
      </c>
      <c r="AR797" s="2">
        <v>0</v>
      </c>
      <c r="AS797" s="2">
        <v>0</v>
      </c>
      <c r="AT797" s="2">
        <v>0</v>
      </c>
      <c r="AU797" s="2">
        <v>0</v>
      </c>
      <c r="AV797" s="2">
        <v>0</v>
      </c>
      <c r="AW797" s="4"/>
      <c r="AX797" t="s">
        <v>75</v>
      </c>
      <c r="AZ797" t="s">
        <v>2017</v>
      </c>
      <c r="BA797" t="s">
        <v>67</v>
      </c>
      <c r="BB797" t="s">
        <v>2018</v>
      </c>
      <c r="BC797" t="s">
        <v>223</v>
      </c>
      <c r="BD797" t="s">
        <v>79</v>
      </c>
      <c r="BE797" t="s">
        <v>177</v>
      </c>
      <c r="BF797" s="5">
        <v>47027</v>
      </c>
      <c r="BH797">
        <v>12</v>
      </c>
      <c r="BI797" s="6">
        <v>1900000</v>
      </c>
      <c r="BJ797" s="6">
        <v>53</v>
      </c>
      <c r="BK797" s="6">
        <v>1007000</v>
      </c>
      <c r="BL797" s="6">
        <v>893000</v>
      </c>
      <c r="BM797" s="2">
        <v>10716000</v>
      </c>
      <c r="BN797">
        <f>InvoiceTable[[#This Row],[Giảm giá]]*InvoiceTable[[#This Row],[Số lượng]]</f>
        <v>12084000</v>
      </c>
    </row>
    <row r="798" spans="1:66" x14ac:dyDescent="0.25">
      <c r="A798" t="s">
        <v>65</v>
      </c>
      <c r="B798" t="s">
        <v>2611</v>
      </c>
      <c r="F798" s="2"/>
      <c r="G798" s="3">
        <v>46007.678714270834</v>
      </c>
      <c r="H798" s="3">
        <v>46007.678714502312</v>
      </c>
      <c r="I798" s="4" t="s">
        <v>67</v>
      </c>
      <c r="J798" t="s">
        <v>67</v>
      </c>
      <c r="K798" t="s">
        <v>67</v>
      </c>
      <c r="L798" t="s">
        <v>1045</v>
      </c>
      <c r="M798" t="s">
        <v>1046</v>
      </c>
      <c r="N798" t="s">
        <v>67</v>
      </c>
      <c r="Q798" t="s">
        <v>67</v>
      </c>
      <c r="R798" t="s">
        <v>67</v>
      </c>
      <c r="S798" s="5"/>
      <c r="T798" t="s">
        <v>72</v>
      </c>
      <c r="U798" t="s">
        <v>87</v>
      </c>
      <c r="V798" t="s">
        <v>74</v>
      </c>
      <c r="W798" t="s">
        <v>87</v>
      </c>
      <c r="AE798" s="2"/>
      <c r="AF798" s="2"/>
      <c r="AG798" s="2"/>
      <c r="AH798" s="2"/>
      <c r="AL798" s="2">
        <v>14466000</v>
      </c>
      <c r="AM798" s="2">
        <v>0</v>
      </c>
      <c r="AN798" s="2"/>
      <c r="AO798" s="2">
        <v>0</v>
      </c>
      <c r="AP798" s="2">
        <v>14466000</v>
      </c>
      <c r="AQ798" s="2">
        <v>0</v>
      </c>
      <c r="AR798" s="2">
        <v>0</v>
      </c>
      <c r="AS798" s="2">
        <v>0</v>
      </c>
      <c r="AT798" s="2">
        <v>0</v>
      </c>
      <c r="AU798" s="2">
        <v>0</v>
      </c>
      <c r="AV798" s="2">
        <v>0</v>
      </c>
      <c r="AW798" s="4"/>
      <c r="AX798" t="s">
        <v>75</v>
      </c>
      <c r="AZ798" t="s">
        <v>659</v>
      </c>
      <c r="BA798" t="s">
        <v>67</v>
      </c>
      <c r="BB798" t="s">
        <v>660</v>
      </c>
      <c r="BC798" t="s">
        <v>223</v>
      </c>
      <c r="BD798" t="s">
        <v>79</v>
      </c>
      <c r="BE798" t="s">
        <v>661</v>
      </c>
      <c r="BF798" s="5">
        <v>47025</v>
      </c>
      <c r="BH798">
        <v>6</v>
      </c>
      <c r="BI798" s="6">
        <v>1250000</v>
      </c>
      <c r="BJ798" s="6">
        <v>50</v>
      </c>
      <c r="BK798" s="6">
        <v>625000</v>
      </c>
      <c r="BL798" s="6">
        <v>625000</v>
      </c>
      <c r="BM798" s="2">
        <v>3750000</v>
      </c>
      <c r="BN798">
        <f>InvoiceTable[[#This Row],[Giảm giá]]*InvoiceTable[[#This Row],[Số lượng]]</f>
        <v>3750000</v>
      </c>
    </row>
    <row r="799" spans="1:66" x14ac:dyDescent="0.25">
      <c r="A799" t="s">
        <v>65</v>
      </c>
      <c r="B799" t="s">
        <v>2612</v>
      </c>
      <c r="F799" s="2"/>
      <c r="G799" s="3">
        <v>46007.677274918984</v>
      </c>
      <c r="H799" s="3">
        <v>46007.677275034723</v>
      </c>
      <c r="I799" s="4" t="s">
        <v>67</v>
      </c>
      <c r="J799" t="s">
        <v>67</v>
      </c>
      <c r="K799" t="s">
        <v>67</v>
      </c>
      <c r="L799" t="s">
        <v>2613</v>
      </c>
      <c r="M799" t="s">
        <v>2614</v>
      </c>
      <c r="N799" t="s">
        <v>67</v>
      </c>
      <c r="O799" t="s">
        <v>2615</v>
      </c>
      <c r="P799" t="s">
        <v>2616</v>
      </c>
      <c r="S799" s="5"/>
      <c r="T799" t="s">
        <v>72</v>
      </c>
      <c r="U799" t="s">
        <v>87</v>
      </c>
      <c r="V799" t="s">
        <v>74</v>
      </c>
      <c r="W799" t="s">
        <v>87</v>
      </c>
      <c r="AE799" s="2"/>
      <c r="AF799" s="2"/>
      <c r="AG799" s="2"/>
      <c r="AH799" s="2"/>
      <c r="AL799" s="2">
        <v>2499500</v>
      </c>
      <c r="AM799" s="2">
        <v>0</v>
      </c>
      <c r="AN799" s="2"/>
      <c r="AO799" s="2">
        <v>0</v>
      </c>
      <c r="AP799" s="2">
        <v>2499500</v>
      </c>
      <c r="AQ799" s="2">
        <v>2499500</v>
      </c>
      <c r="AR799" s="2">
        <v>0</v>
      </c>
      <c r="AS799" s="2">
        <v>0</v>
      </c>
      <c r="AT799" s="2">
        <v>0</v>
      </c>
      <c r="AU799" s="2">
        <v>2499500</v>
      </c>
      <c r="AV799" s="2">
        <v>0</v>
      </c>
      <c r="AW799" s="4"/>
      <c r="AX799" t="s">
        <v>75</v>
      </c>
      <c r="AZ799" t="s">
        <v>345</v>
      </c>
      <c r="BA799" t="s">
        <v>67</v>
      </c>
      <c r="BB799" t="s">
        <v>346</v>
      </c>
      <c r="BC799" t="s">
        <v>347</v>
      </c>
      <c r="BD799" t="s">
        <v>79</v>
      </c>
      <c r="BE799" t="s">
        <v>348</v>
      </c>
      <c r="BF799" s="5">
        <v>47484</v>
      </c>
      <c r="BG799" t="s">
        <v>67</v>
      </c>
      <c r="BH799">
        <v>3</v>
      </c>
      <c r="BI799" s="6">
        <v>780000</v>
      </c>
      <c r="BJ799" s="6">
        <v>35</v>
      </c>
      <c r="BK799" s="6">
        <v>273000</v>
      </c>
      <c r="BL799" s="6">
        <v>507000</v>
      </c>
      <c r="BM799" s="2">
        <v>1521000</v>
      </c>
      <c r="BN799">
        <f>InvoiceTable[[#This Row],[Giảm giá]]*InvoiceTable[[#This Row],[Số lượng]]</f>
        <v>819000</v>
      </c>
    </row>
    <row r="800" spans="1:66" x14ac:dyDescent="0.25">
      <c r="A800" t="s">
        <v>65</v>
      </c>
      <c r="B800" t="s">
        <v>2612</v>
      </c>
      <c r="F800" s="2"/>
      <c r="G800" s="3">
        <v>46007.677274918984</v>
      </c>
      <c r="H800" s="3">
        <v>46007.677275034723</v>
      </c>
      <c r="I800" s="4" t="s">
        <v>67</v>
      </c>
      <c r="J800" t="s">
        <v>67</v>
      </c>
      <c r="K800" t="s">
        <v>67</v>
      </c>
      <c r="L800" t="s">
        <v>2613</v>
      </c>
      <c r="M800" t="s">
        <v>2614</v>
      </c>
      <c r="N800" t="s">
        <v>67</v>
      </c>
      <c r="O800" t="s">
        <v>2615</v>
      </c>
      <c r="P800" t="s">
        <v>2616</v>
      </c>
      <c r="S800" s="5"/>
      <c r="T800" t="s">
        <v>72</v>
      </c>
      <c r="U800" t="s">
        <v>87</v>
      </c>
      <c r="V800" t="s">
        <v>74</v>
      </c>
      <c r="W800" t="s">
        <v>87</v>
      </c>
      <c r="AE800" s="2"/>
      <c r="AF800" s="2"/>
      <c r="AG800" s="2"/>
      <c r="AH800" s="2"/>
      <c r="AL800" s="2">
        <v>2499500</v>
      </c>
      <c r="AM800" s="2">
        <v>0</v>
      </c>
      <c r="AN800" s="2"/>
      <c r="AO800" s="2">
        <v>0</v>
      </c>
      <c r="AP800" s="2">
        <v>2499500</v>
      </c>
      <c r="AQ800" s="2">
        <v>2499500</v>
      </c>
      <c r="AR800" s="2">
        <v>0</v>
      </c>
      <c r="AS800" s="2">
        <v>0</v>
      </c>
      <c r="AT800" s="2">
        <v>0</v>
      </c>
      <c r="AU800" s="2">
        <v>2499500</v>
      </c>
      <c r="AV800" s="2">
        <v>0</v>
      </c>
      <c r="AW800" s="4"/>
      <c r="AX800" t="s">
        <v>75</v>
      </c>
      <c r="AZ800" t="s">
        <v>2617</v>
      </c>
      <c r="BA800" t="s">
        <v>67</v>
      </c>
      <c r="BB800" t="s">
        <v>2618</v>
      </c>
      <c r="BC800" t="s">
        <v>347</v>
      </c>
      <c r="BD800" t="s">
        <v>79</v>
      </c>
      <c r="BE800" t="s">
        <v>2619</v>
      </c>
      <c r="BF800" s="5">
        <v>47542</v>
      </c>
      <c r="BG800" t="s">
        <v>67</v>
      </c>
      <c r="BH800">
        <v>1</v>
      </c>
      <c r="BI800" s="6">
        <v>490000</v>
      </c>
      <c r="BJ800" s="6">
        <v>35</v>
      </c>
      <c r="BK800" s="6">
        <v>171500</v>
      </c>
      <c r="BL800" s="6">
        <v>318500</v>
      </c>
      <c r="BM800" s="2">
        <v>318500</v>
      </c>
      <c r="BN800">
        <f>InvoiceTable[[#This Row],[Giảm giá]]*InvoiceTable[[#This Row],[Số lượng]]</f>
        <v>171500</v>
      </c>
    </row>
    <row r="801" spans="1:66" x14ac:dyDescent="0.25">
      <c r="A801" t="s">
        <v>65</v>
      </c>
      <c r="B801" t="s">
        <v>2612</v>
      </c>
      <c r="F801" s="2"/>
      <c r="G801" s="3">
        <v>46007.677274918984</v>
      </c>
      <c r="H801" s="3">
        <v>46007.677275034723</v>
      </c>
      <c r="I801" s="4" t="s">
        <v>67</v>
      </c>
      <c r="J801" t="s">
        <v>67</v>
      </c>
      <c r="K801" t="s">
        <v>67</v>
      </c>
      <c r="L801" t="s">
        <v>2613</v>
      </c>
      <c r="M801" t="s">
        <v>2614</v>
      </c>
      <c r="N801" t="s">
        <v>67</v>
      </c>
      <c r="O801" t="s">
        <v>2615</v>
      </c>
      <c r="P801" t="s">
        <v>2616</v>
      </c>
      <c r="S801" s="5"/>
      <c r="T801" t="s">
        <v>72</v>
      </c>
      <c r="U801" t="s">
        <v>87</v>
      </c>
      <c r="V801" t="s">
        <v>74</v>
      </c>
      <c r="W801" t="s">
        <v>87</v>
      </c>
      <c r="AE801" s="2"/>
      <c r="AF801" s="2"/>
      <c r="AG801" s="2"/>
      <c r="AH801" s="2"/>
      <c r="AL801" s="2">
        <v>2499500</v>
      </c>
      <c r="AM801" s="2">
        <v>0</v>
      </c>
      <c r="AN801" s="2"/>
      <c r="AO801" s="2">
        <v>0</v>
      </c>
      <c r="AP801" s="2">
        <v>2499500</v>
      </c>
      <c r="AQ801" s="2">
        <v>2499500</v>
      </c>
      <c r="AR801" s="2">
        <v>0</v>
      </c>
      <c r="AS801" s="2">
        <v>0</v>
      </c>
      <c r="AT801" s="2">
        <v>0</v>
      </c>
      <c r="AU801" s="2">
        <v>2499500</v>
      </c>
      <c r="AV801" s="2">
        <v>0</v>
      </c>
      <c r="AW801" s="4"/>
      <c r="AX801" t="s">
        <v>75</v>
      </c>
      <c r="AZ801" t="s">
        <v>2620</v>
      </c>
      <c r="BA801" t="s">
        <v>67</v>
      </c>
      <c r="BB801" t="s">
        <v>2621</v>
      </c>
      <c r="BC801" t="s">
        <v>2023</v>
      </c>
      <c r="BD801" t="s">
        <v>79</v>
      </c>
      <c r="BE801" t="s">
        <v>2622</v>
      </c>
      <c r="BF801" s="5">
        <v>46662</v>
      </c>
      <c r="BH801">
        <v>1</v>
      </c>
      <c r="BI801" s="6">
        <v>1100000</v>
      </c>
      <c r="BJ801" s="6">
        <v>40</v>
      </c>
      <c r="BK801" s="6">
        <v>440000</v>
      </c>
      <c r="BL801" s="6">
        <v>660000</v>
      </c>
      <c r="BM801" s="2">
        <v>660000</v>
      </c>
      <c r="BN801">
        <f>InvoiceTable[[#This Row],[Giảm giá]]*InvoiceTable[[#This Row],[Số lượng]]</f>
        <v>440000</v>
      </c>
    </row>
    <row r="802" spans="1:66" x14ac:dyDescent="0.25">
      <c r="A802" t="s">
        <v>65</v>
      </c>
      <c r="B802" t="s">
        <v>2623</v>
      </c>
      <c r="F802" s="2"/>
      <c r="G802" s="3">
        <v>46007.675713275465</v>
      </c>
      <c r="H802" s="3">
        <v>46007.675713460645</v>
      </c>
      <c r="I802" s="4" t="s">
        <v>67</v>
      </c>
      <c r="J802" t="s">
        <v>2624</v>
      </c>
      <c r="K802" t="s">
        <v>67</v>
      </c>
      <c r="L802" t="s">
        <v>2509</v>
      </c>
      <c r="M802" t="s">
        <v>2510</v>
      </c>
      <c r="N802" t="s">
        <v>67</v>
      </c>
      <c r="O802" t="s">
        <v>2511</v>
      </c>
      <c r="P802" t="s">
        <v>2512</v>
      </c>
      <c r="Q802" t="s">
        <v>2408</v>
      </c>
      <c r="R802" t="s">
        <v>2513</v>
      </c>
      <c r="S802" s="5"/>
      <c r="T802" t="s">
        <v>72</v>
      </c>
      <c r="U802" t="s">
        <v>102</v>
      </c>
      <c r="V802" t="s">
        <v>74</v>
      </c>
      <c r="W802" t="s">
        <v>87</v>
      </c>
      <c r="AE802" s="2"/>
      <c r="AF802" s="2"/>
      <c r="AG802" s="2"/>
      <c r="AH802" s="2"/>
      <c r="AK802" t="s">
        <v>2625</v>
      </c>
      <c r="AL802" s="2">
        <v>337900</v>
      </c>
      <c r="AM802" s="2">
        <v>0</v>
      </c>
      <c r="AN802" s="2"/>
      <c r="AO802" s="2">
        <v>0</v>
      </c>
      <c r="AP802" s="2">
        <v>337900</v>
      </c>
      <c r="AQ802" s="2">
        <v>0</v>
      </c>
      <c r="AR802" s="2">
        <v>0</v>
      </c>
      <c r="AS802" s="2">
        <v>0</v>
      </c>
      <c r="AT802" s="2">
        <v>0</v>
      </c>
      <c r="AU802" s="2">
        <v>0</v>
      </c>
      <c r="AV802" s="2">
        <v>0</v>
      </c>
      <c r="AW802" s="4"/>
      <c r="AX802" t="s">
        <v>75</v>
      </c>
      <c r="AZ802" t="s">
        <v>1712</v>
      </c>
      <c r="BA802" t="s">
        <v>67</v>
      </c>
      <c r="BB802" t="s">
        <v>1713</v>
      </c>
      <c r="BC802" t="s">
        <v>1714</v>
      </c>
      <c r="BD802" t="s">
        <v>79</v>
      </c>
      <c r="BE802" t="s">
        <v>317</v>
      </c>
      <c r="BF802" s="5">
        <v>46935</v>
      </c>
      <c r="BG802" t="s">
        <v>67</v>
      </c>
      <c r="BH802">
        <v>1</v>
      </c>
      <c r="BI802" s="6">
        <v>545000</v>
      </c>
      <c r="BJ802" s="6">
        <v>38</v>
      </c>
      <c r="BK802" s="6">
        <v>207100</v>
      </c>
      <c r="BL802" s="6">
        <v>337900</v>
      </c>
      <c r="BM802" s="2">
        <v>337900</v>
      </c>
      <c r="BN802">
        <f>InvoiceTable[[#This Row],[Giảm giá]]*InvoiceTable[[#This Row],[Số lượng]]</f>
        <v>207100</v>
      </c>
    </row>
    <row r="803" spans="1:66" x14ac:dyDescent="0.25">
      <c r="A803" t="s">
        <v>65</v>
      </c>
      <c r="B803" t="s">
        <v>2626</v>
      </c>
      <c r="F803" s="2"/>
      <c r="G803" s="3">
        <v>46007.675394409722</v>
      </c>
      <c r="H803" s="3">
        <v>46007.675382986112</v>
      </c>
      <c r="I803" s="4" t="s">
        <v>2585</v>
      </c>
      <c r="J803" t="s">
        <v>2627</v>
      </c>
      <c r="K803" t="s">
        <v>67</v>
      </c>
      <c r="L803" t="s">
        <v>2509</v>
      </c>
      <c r="M803" t="s">
        <v>2510</v>
      </c>
      <c r="N803" t="s">
        <v>67</v>
      </c>
      <c r="O803" t="s">
        <v>2511</v>
      </c>
      <c r="P803" t="s">
        <v>2512</v>
      </c>
      <c r="Q803" t="s">
        <v>2408</v>
      </c>
      <c r="R803" t="s">
        <v>2513</v>
      </c>
      <c r="S803" s="5"/>
      <c r="T803" t="s">
        <v>72</v>
      </c>
      <c r="U803" t="s">
        <v>102</v>
      </c>
      <c r="V803" t="s">
        <v>74</v>
      </c>
      <c r="W803" t="s">
        <v>87</v>
      </c>
      <c r="AE803" s="2"/>
      <c r="AF803" s="2"/>
      <c r="AG803" s="2"/>
      <c r="AH803" s="2"/>
      <c r="AK803" t="s">
        <v>2625</v>
      </c>
      <c r="AL803" s="2">
        <v>2750000</v>
      </c>
      <c r="AM803" s="2">
        <v>0</v>
      </c>
      <c r="AN803" s="2"/>
      <c r="AO803" s="2">
        <v>0</v>
      </c>
      <c r="AP803" s="2">
        <v>2750000</v>
      </c>
      <c r="AQ803" s="2">
        <v>0</v>
      </c>
      <c r="AR803" s="2">
        <v>0</v>
      </c>
      <c r="AS803" s="2">
        <v>0</v>
      </c>
      <c r="AT803" s="2">
        <v>0</v>
      </c>
      <c r="AU803" s="2">
        <v>0</v>
      </c>
      <c r="AV803" s="2">
        <v>0</v>
      </c>
      <c r="AW803" s="4"/>
      <c r="AX803" t="s">
        <v>75</v>
      </c>
      <c r="AZ803" t="s">
        <v>435</v>
      </c>
      <c r="BA803" t="s">
        <v>67</v>
      </c>
      <c r="BB803" t="s">
        <v>436</v>
      </c>
      <c r="BC803" t="s">
        <v>437</v>
      </c>
      <c r="BD803" t="s">
        <v>79</v>
      </c>
      <c r="BE803" t="s">
        <v>142</v>
      </c>
      <c r="BF803" s="5">
        <v>46844</v>
      </c>
      <c r="BH803">
        <v>1</v>
      </c>
      <c r="BI803" s="6">
        <v>1200000</v>
      </c>
      <c r="BJ803" s="6">
        <v>0</v>
      </c>
      <c r="BK803" s="6">
        <v>550000</v>
      </c>
      <c r="BL803" s="6">
        <v>650000</v>
      </c>
      <c r="BM803" s="2">
        <v>650000</v>
      </c>
      <c r="BN803">
        <f>InvoiceTable[[#This Row],[Giảm giá]]*InvoiceTable[[#This Row],[Số lượng]]</f>
        <v>550000</v>
      </c>
    </row>
    <row r="804" spans="1:66" x14ac:dyDescent="0.25">
      <c r="A804" t="s">
        <v>65</v>
      </c>
      <c r="B804" t="s">
        <v>2626</v>
      </c>
      <c r="F804" s="2"/>
      <c r="G804" s="3">
        <v>46007.675394409722</v>
      </c>
      <c r="H804" s="3">
        <v>46007.675382986112</v>
      </c>
      <c r="I804" s="4" t="s">
        <v>2585</v>
      </c>
      <c r="J804" t="s">
        <v>2627</v>
      </c>
      <c r="K804" t="s">
        <v>67</v>
      </c>
      <c r="L804" t="s">
        <v>2509</v>
      </c>
      <c r="M804" t="s">
        <v>2510</v>
      </c>
      <c r="N804" t="s">
        <v>67</v>
      </c>
      <c r="O804" t="s">
        <v>2511</v>
      </c>
      <c r="P804" t="s">
        <v>2512</v>
      </c>
      <c r="Q804" t="s">
        <v>2408</v>
      </c>
      <c r="R804" t="s">
        <v>2513</v>
      </c>
      <c r="S804" s="5"/>
      <c r="T804" t="s">
        <v>72</v>
      </c>
      <c r="U804" t="s">
        <v>102</v>
      </c>
      <c r="V804" t="s">
        <v>74</v>
      </c>
      <c r="W804" t="s">
        <v>87</v>
      </c>
      <c r="AE804" s="2"/>
      <c r="AF804" s="2"/>
      <c r="AG804" s="2"/>
      <c r="AH804" s="2"/>
      <c r="AK804" t="s">
        <v>2625</v>
      </c>
      <c r="AL804" s="2">
        <v>2750000</v>
      </c>
      <c r="AM804" s="2">
        <v>0</v>
      </c>
      <c r="AN804" s="2"/>
      <c r="AO804" s="2">
        <v>0</v>
      </c>
      <c r="AP804" s="2">
        <v>2750000</v>
      </c>
      <c r="AQ804" s="2">
        <v>0</v>
      </c>
      <c r="AR804" s="2">
        <v>0</v>
      </c>
      <c r="AS804" s="2">
        <v>0</v>
      </c>
      <c r="AT804" s="2">
        <v>0</v>
      </c>
      <c r="AU804" s="2">
        <v>0</v>
      </c>
      <c r="AV804" s="2">
        <v>0</v>
      </c>
      <c r="AW804" s="4"/>
      <c r="AX804" t="s">
        <v>75</v>
      </c>
      <c r="AZ804" t="s">
        <v>748</v>
      </c>
      <c r="BA804" t="s">
        <v>67</v>
      </c>
      <c r="BB804" t="s">
        <v>749</v>
      </c>
      <c r="BC804" t="s">
        <v>750</v>
      </c>
      <c r="BD804" t="s">
        <v>79</v>
      </c>
      <c r="BE804" t="s">
        <v>117</v>
      </c>
      <c r="BF804" s="5">
        <v>46569</v>
      </c>
      <c r="BH804">
        <v>2</v>
      </c>
      <c r="BI804" s="6">
        <v>1500000</v>
      </c>
      <c r="BJ804" s="6">
        <v>0</v>
      </c>
      <c r="BK804" s="6">
        <v>450000</v>
      </c>
      <c r="BL804" s="6">
        <v>1050000</v>
      </c>
      <c r="BM804" s="2">
        <v>2100000</v>
      </c>
      <c r="BN804">
        <f>InvoiceTable[[#This Row],[Giảm giá]]*InvoiceTable[[#This Row],[Số lượng]]</f>
        <v>900000</v>
      </c>
    </row>
    <row r="805" spans="1:66" x14ac:dyDescent="0.25">
      <c r="A805" t="s">
        <v>65</v>
      </c>
      <c r="B805" t="s">
        <v>2628</v>
      </c>
      <c r="F805" s="2"/>
      <c r="G805" s="3">
        <v>46007.627603437497</v>
      </c>
      <c r="H805" s="3">
        <v>46007.627568865741</v>
      </c>
      <c r="I805" s="4" t="s">
        <v>2290</v>
      </c>
      <c r="J805" t="s">
        <v>2629</v>
      </c>
      <c r="K805" t="s">
        <v>67</v>
      </c>
      <c r="L805" t="s">
        <v>119</v>
      </c>
      <c r="M805" t="s">
        <v>120</v>
      </c>
      <c r="N805" t="s">
        <v>67</v>
      </c>
      <c r="O805" t="s">
        <v>121</v>
      </c>
      <c r="Q805" t="s">
        <v>122</v>
      </c>
      <c r="R805" t="s">
        <v>123</v>
      </c>
      <c r="S805" s="5"/>
      <c r="T805" t="s">
        <v>72</v>
      </c>
      <c r="U805" t="s">
        <v>102</v>
      </c>
      <c r="V805" t="s">
        <v>74</v>
      </c>
      <c r="W805" t="s">
        <v>87</v>
      </c>
      <c r="AE805" s="2"/>
      <c r="AF805" s="2"/>
      <c r="AG805" s="2"/>
      <c r="AH805" s="2"/>
      <c r="AK805" t="s">
        <v>1003</v>
      </c>
      <c r="AL805" s="2">
        <v>16942000</v>
      </c>
      <c r="AM805" s="2">
        <v>0</v>
      </c>
      <c r="AN805" s="2"/>
      <c r="AO805" s="2">
        <v>0</v>
      </c>
      <c r="AP805" s="2">
        <v>16942000</v>
      </c>
      <c r="AQ805" s="2">
        <v>0</v>
      </c>
      <c r="AR805" s="2">
        <v>0</v>
      </c>
      <c r="AS805" s="2">
        <v>0</v>
      </c>
      <c r="AT805" s="2">
        <v>0</v>
      </c>
      <c r="AU805" s="2">
        <v>0</v>
      </c>
      <c r="AV805" s="2">
        <v>0</v>
      </c>
      <c r="AW805" s="4"/>
      <c r="AX805" t="s">
        <v>75</v>
      </c>
      <c r="AZ805" t="s">
        <v>723</v>
      </c>
      <c r="BA805" t="s">
        <v>67</v>
      </c>
      <c r="BB805" t="s">
        <v>724</v>
      </c>
      <c r="BC805" t="s">
        <v>285</v>
      </c>
      <c r="BD805" t="s">
        <v>79</v>
      </c>
      <c r="BE805" t="s">
        <v>117</v>
      </c>
      <c r="BF805" s="5">
        <v>46569</v>
      </c>
      <c r="BH805">
        <v>2</v>
      </c>
      <c r="BI805" s="6">
        <v>1200000</v>
      </c>
      <c r="BJ805" s="6">
        <v>47</v>
      </c>
      <c r="BK805" s="6">
        <v>564000</v>
      </c>
      <c r="BL805" s="6">
        <v>636000</v>
      </c>
      <c r="BM805" s="2">
        <v>1272000</v>
      </c>
      <c r="BN805">
        <f>InvoiceTable[[#This Row],[Giảm giá]]*InvoiceTable[[#This Row],[Số lượng]]</f>
        <v>1128000</v>
      </c>
    </row>
    <row r="806" spans="1:66" x14ac:dyDescent="0.25">
      <c r="A806" t="s">
        <v>65</v>
      </c>
      <c r="B806" t="s">
        <v>2628</v>
      </c>
      <c r="F806" s="2"/>
      <c r="G806" s="3">
        <v>46007.627603437497</v>
      </c>
      <c r="H806" s="3">
        <v>46007.627568865741</v>
      </c>
      <c r="I806" s="4" t="s">
        <v>2290</v>
      </c>
      <c r="J806" t="s">
        <v>2629</v>
      </c>
      <c r="K806" t="s">
        <v>67</v>
      </c>
      <c r="L806" t="s">
        <v>119</v>
      </c>
      <c r="M806" t="s">
        <v>120</v>
      </c>
      <c r="N806" t="s">
        <v>67</v>
      </c>
      <c r="O806" t="s">
        <v>121</v>
      </c>
      <c r="Q806" t="s">
        <v>122</v>
      </c>
      <c r="R806" t="s">
        <v>123</v>
      </c>
      <c r="S806" s="5"/>
      <c r="T806" t="s">
        <v>72</v>
      </c>
      <c r="U806" t="s">
        <v>102</v>
      </c>
      <c r="V806" t="s">
        <v>74</v>
      </c>
      <c r="W806" t="s">
        <v>87</v>
      </c>
      <c r="AE806" s="2"/>
      <c r="AF806" s="2"/>
      <c r="AG806" s="2"/>
      <c r="AH806" s="2"/>
      <c r="AK806" t="s">
        <v>1003</v>
      </c>
      <c r="AL806" s="2">
        <v>16942000</v>
      </c>
      <c r="AM806" s="2">
        <v>0</v>
      </c>
      <c r="AN806" s="2"/>
      <c r="AO806" s="2">
        <v>0</v>
      </c>
      <c r="AP806" s="2">
        <v>16942000</v>
      </c>
      <c r="AQ806" s="2">
        <v>0</v>
      </c>
      <c r="AR806" s="2">
        <v>0</v>
      </c>
      <c r="AS806" s="2">
        <v>0</v>
      </c>
      <c r="AT806" s="2">
        <v>0</v>
      </c>
      <c r="AU806" s="2">
        <v>0</v>
      </c>
      <c r="AV806" s="2">
        <v>0</v>
      </c>
      <c r="AW806" s="4"/>
      <c r="AX806" t="s">
        <v>75</v>
      </c>
      <c r="AZ806" t="s">
        <v>480</v>
      </c>
      <c r="BA806" t="s">
        <v>67</v>
      </c>
      <c r="BB806" t="s">
        <v>481</v>
      </c>
      <c r="BC806" t="s">
        <v>90</v>
      </c>
      <c r="BD806" t="s">
        <v>79</v>
      </c>
      <c r="BE806" t="s">
        <v>482</v>
      </c>
      <c r="BF806" s="5">
        <v>46773</v>
      </c>
      <c r="BG806" t="s">
        <v>67</v>
      </c>
      <c r="BH806">
        <v>1</v>
      </c>
      <c r="BI806" s="6">
        <v>1800000</v>
      </c>
      <c r="BJ806" s="6">
        <v>0</v>
      </c>
      <c r="BK806" s="6">
        <v>950000</v>
      </c>
      <c r="BL806" s="6">
        <v>850000</v>
      </c>
      <c r="BM806" s="2">
        <v>850000</v>
      </c>
      <c r="BN806">
        <f>InvoiceTable[[#This Row],[Giảm giá]]*InvoiceTable[[#This Row],[Số lượng]]</f>
        <v>950000</v>
      </c>
    </row>
    <row r="807" spans="1:66" x14ac:dyDescent="0.25">
      <c r="A807" t="s">
        <v>65</v>
      </c>
      <c r="B807" t="s">
        <v>2628</v>
      </c>
      <c r="F807" s="2"/>
      <c r="G807" s="3">
        <v>46007.627603437497</v>
      </c>
      <c r="H807" s="3">
        <v>46007.627568865741</v>
      </c>
      <c r="I807" s="4" t="s">
        <v>2290</v>
      </c>
      <c r="J807" t="s">
        <v>2629</v>
      </c>
      <c r="K807" t="s">
        <v>67</v>
      </c>
      <c r="L807" t="s">
        <v>119</v>
      </c>
      <c r="M807" t="s">
        <v>120</v>
      </c>
      <c r="N807" t="s">
        <v>67</v>
      </c>
      <c r="O807" t="s">
        <v>121</v>
      </c>
      <c r="Q807" t="s">
        <v>122</v>
      </c>
      <c r="R807" t="s">
        <v>123</v>
      </c>
      <c r="S807" s="5"/>
      <c r="T807" t="s">
        <v>72</v>
      </c>
      <c r="U807" t="s">
        <v>102</v>
      </c>
      <c r="V807" t="s">
        <v>74</v>
      </c>
      <c r="W807" t="s">
        <v>87</v>
      </c>
      <c r="AE807" s="2"/>
      <c r="AF807" s="2"/>
      <c r="AG807" s="2"/>
      <c r="AH807" s="2"/>
      <c r="AK807" t="s">
        <v>1003</v>
      </c>
      <c r="AL807" s="2">
        <v>16942000</v>
      </c>
      <c r="AM807" s="2">
        <v>0</v>
      </c>
      <c r="AN807" s="2"/>
      <c r="AO807" s="2">
        <v>0</v>
      </c>
      <c r="AP807" s="2">
        <v>16942000</v>
      </c>
      <c r="AQ807" s="2">
        <v>0</v>
      </c>
      <c r="AR807" s="2">
        <v>0</v>
      </c>
      <c r="AS807" s="2">
        <v>0</v>
      </c>
      <c r="AT807" s="2">
        <v>0</v>
      </c>
      <c r="AU807" s="2">
        <v>0</v>
      </c>
      <c r="AV807" s="2">
        <v>0</v>
      </c>
      <c r="AW807" s="4"/>
      <c r="AX807" t="s">
        <v>75</v>
      </c>
      <c r="AZ807" t="s">
        <v>107</v>
      </c>
      <c r="BA807" t="s">
        <v>67</v>
      </c>
      <c r="BB807" t="s">
        <v>108</v>
      </c>
      <c r="BC807" t="s">
        <v>109</v>
      </c>
      <c r="BD807" t="s">
        <v>79</v>
      </c>
      <c r="BE807" t="s">
        <v>94</v>
      </c>
      <c r="BF807" s="5">
        <v>46692</v>
      </c>
      <c r="BH807">
        <v>6</v>
      </c>
      <c r="BI807" s="6">
        <v>4500000</v>
      </c>
      <c r="BJ807" s="6">
        <v>45.11</v>
      </c>
      <c r="BK807" s="6">
        <v>2030000</v>
      </c>
      <c r="BL807" s="6">
        <v>2470000</v>
      </c>
      <c r="BM807" s="2">
        <v>14820000</v>
      </c>
      <c r="BN807">
        <f>InvoiceTable[[#This Row],[Giảm giá]]*InvoiceTable[[#This Row],[Số lượng]]</f>
        <v>12180000</v>
      </c>
    </row>
    <row r="808" spans="1:66" x14ac:dyDescent="0.25">
      <c r="A808" t="s">
        <v>65</v>
      </c>
      <c r="B808" t="s">
        <v>2630</v>
      </c>
      <c r="F808" s="2"/>
      <c r="G808" s="3">
        <v>46007.626976192128</v>
      </c>
      <c r="H808" s="3">
        <v>46007.626976354164</v>
      </c>
      <c r="I808" s="4" t="s">
        <v>2631</v>
      </c>
      <c r="J808" t="s">
        <v>67</v>
      </c>
      <c r="K808" t="s">
        <v>67</v>
      </c>
      <c r="L808" t="s">
        <v>2632</v>
      </c>
      <c r="M808" t="s">
        <v>2633</v>
      </c>
      <c r="N808" t="s">
        <v>67</v>
      </c>
      <c r="O808" t="s">
        <v>2634</v>
      </c>
      <c r="P808" t="s">
        <v>2635</v>
      </c>
      <c r="Q808" t="s">
        <v>67</v>
      </c>
      <c r="R808" t="s">
        <v>67</v>
      </c>
      <c r="S808" s="5"/>
      <c r="T808" t="s">
        <v>72</v>
      </c>
      <c r="U808" t="s">
        <v>87</v>
      </c>
      <c r="V808" t="s">
        <v>74</v>
      </c>
      <c r="W808" t="s">
        <v>87</v>
      </c>
      <c r="AE808" s="2"/>
      <c r="AF808" s="2"/>
      <c r="AG808" s="2"/>
      <c r="AH808" s="2"/>
      <c r="AK808" t="s">
        <v>909</v>
      </c>
      <c r="AL808" s="2">
        <v>1309000</v>
      </c>
      <c r="AM808" s="2">
        <v>0</v>
      </c>
      <c r="AN808" s="2"/>
      <c r="AO808" s="2">
        <v>0</v>
      </c>
      <c r="AP808" s="2">
        <v>1309000</v>
      </c>
      <c r="AQ808" s="2">
        <v>0</v>
      </c>
      <c r="AR808" s="2">
        <v>0</v>
      </c>
      <c r="AS808" s="2">
        <v>0</v>
      </c>
      <c r="AT808" s="2">
        <v>0</v>
      </c>
      <c r="AU808" s="2">
        <v>0</v>
      </c>
      <c r="AV808" s="2">
        <v>0</v>
      </c>
      <c r="AW808" s="4"/>
      <c r="AX808" t="s">
        <v>75</v>
      </c>
      <c r="AZ808" t="s">
        <v>318</v>
      </c>
      <c r="BA808" t="s">
        <v>67</v>
      </c>
      <c r="BB808" t="s">
        <v>319</v>
      </c>
      <c r="BC808" t="s">
        <v>154</v>
      </c>
      <c r="BD808" t="s">
        <v>79</v>
      </c>
      <c r="BE808" t="s">
        <v>317</v>
      </c>
      <c r="BF808" s="5">
        <v>46935</v>
      </c>
      <c r="BG808" t="s">
        <v>67</v>
      </c>
      <c r="BH808">
        <v>2</v>
      </c>
      <c r="BI808" s="6">
        <v>1190000</v>
      </c>
      <c r="BJ808" s="6">
        <v>45</v>
      </c>
      <c r="BK808" s="6">
        <v>535500</v>
      </c>
      <c r="BL808" s="6">
        <v>654500</v>
      </c>
      <c r="BM808" s="2">
        <v>1309000</v>
      </c>
      <c r="BN808">
        <f>InvoiceTable[[#This Row],[Giảm giá]]*InvoiceTable[[#This Row],[Số lượng]]</f>
        <v>1071000</v>
      </c>
    </row>
    <row r="809" spans="1:66" x14ac:dyDescent="0.25">
      <c r="A809" t="s">
        <v>65</v>
      </c>
      <c r="B809" t="s">
        <v>2636</v>
      </c>
      <c r="F809" s="2"/>
      <c r="G809" s="3">
        <v>46007.626293020832</v>
      </c>
      <c r="H809" s="3">
        <v>46007.626293136571</v>
      </c>
      <c r="I809" s="4" t="s">
        <v>67</v>
      </c>
      <c r="J809" t="s">
        <v>2637</v>
      </c>
      <c r="K809" t="s">
        <v>67</v>
      </c>
      <c r="L809" t="s">
        <v>119</v>
      </c>
      <c r="M809" t="s">
        <v>120</v>
      </c>
      <c r="N809" t="s">
        <v>67</v>
      </c>
      <c r="O809" t="s">
        <v>121</v>
      </c>
      <c r="Q809" t="s">
        <v>122</v>
      </c>
      <c r="R809" t="s">
        <v>123</v>
      </c>
      <c r="S809" s="5"/>
      <c r="T809" t="s">
        <v>72</v>
      </c>
      <c r="U809" t="s">
        <v>102</v>
      </c>
      <c r="V809" t="s">
        <v>74</v>
      </c>
      <c r="W809" t="s">
        <v>87</v>
      </c>
      <c r="AE809" s="2"/>
      <c r="AF809" s="2"/>
      <c r="AG809" s="2"/>
      <c r="AH809" s="2"/>
      <c r="AK809" t="s">
        <v>1003</v>
      </c>
      <c r="AL809" s="2">
        <v>3313500</v>
      </c>
      <c r="AM809" s="2">
        <v>0</v>
      </c>
      <c r="AN809" s="2"/>
      <c r="AO809" s="2">
        <v>0</v>
      </c>
      <c r="AP809" s="2">
        <v>3313500</v>
      </c>
      <c r="AQ809" s="2">
        <v>0</v>
      </c>
      <c r="AR809" s="2">
        <v>0</v>
      </c>
      <c r="AS809" s="2">
        <v>0</v>
      </c>
      <c r="AT809" s="2">
        <v>0</v>
      </c>
      <c r="AU809" s="2">
        <v>0</v>
      </c>
      <c r="AV809" s="2">
        <v>0</v>
      </c>
      <c r="AW809" s="4"/>
      <c r="AX809" t="s">
        <v>75</v>
      </c>
      <c r="AZ809" t="s">
        <v>905</v>
      </c>
      <c r="BA809" t="s">
        <v>67</v>
      </c>
      <c r="BB809" t="s">
        <v>906</v>
      </c>
      <c r="BC809" t="s">
        <v>285</v>
      </c>
      <c r="BD809" t="s">
        <v>79</v>
      </c>
      <c r="BE809" t="s">
        <v>117</v>
      </c>
      <c r="BF809" s="5">
        <v>46569</v>
      </c>
      <c r="BH809">
        <v>1</v>
      </c>
      <c r="BI809" s="6">
        <v>3950000</v>
      </c>
      <c r="BJ809" s="6">
        <v>47</v>
      </c>
      <c r="BK809" s="6">
        <v>1856500</v>
      </c>
      <c r="BL809" s="6">
        <v>2093500</v>
      </c>
      <c r="BM809" s="2">
        <v>2093500</v>
      </c>
      <c r="BN809">
        <f>InvoiceTable[[#This Row],[Giảm giá]]*InvoiceTable[[#This Row],[Số lượng]]</f>
        <v>1856500</v>
      </c>
    </row>
    <row r="810" spans="1:66" x14ac:dyDescent="0.25">
      <c r="A810" t="s">
        <v>65</v>
      </c>
      <c r="B810" t="s">
        <v>2636</v>
      </c>
      <c r="F810" s="2"/>
      <c r="G810" s="3">
        <v>46007.626293020832</v>
      </c>
      <c r="H810" s="3">
        <v>46007.626293136571</v>
      </c>
      <c r="I810" s="4" t="s">
        <v>67</v>
      </c>
      <c r="J810" t="s">
        <v>2637</v>
      </c>
      <c r="K810" t="s">
        <v>67</v>
      </c>
      <c r="L810" t="s">
        <v>119</v>
      </c>
      <c r="M810" t="s">
        <v>120</v>
      </c>
      <c r="N810" t="s">
        <v>67</v>
      </c>
      <c r="O810" t="s">
        <v>121</v>
      </c>
      <c r="Q810" t="s">
        <v>122</v>
      </c>
      <c r="R810" t="s">
        <v>123</v>
      </c>
      <c r="S810" s="5"/>
      <c r="T810" t="s">
        <v>72</v>
      </c>
      <c r="U810" t="s">
        <v>102</v>
      </c>
      <c r="V810" t="s">
        <v>74</v>
      </c>
      <c r="W810" t="s">
        <v>87</v>
      </c>
      <c r="AE810" s="2"/>
      <c r="AF810" s="2"/>
      <c r="AG810" s="2"/>
      <c r="AH810" s="2"/>
      <c r="AK810" t="s">
        <v>1003</v>
      </c>
      <c r="AL810" s="2">
        <v>3313500</v>
      </c>
      <c r="AM810" s="2">
        <v>0</v>
      </c>
      <c r="AN810" s="2"/>
      <c r="AO810" s="2">
        <v>0</v>
      </c>
      <c r="AP810" s="2">
        <v>3313500</v>
      </c>
      <c r="AQ810" s="2">
        <v>0</v>
      </c>
      <c r="AR810" s="2">
        <v>0</v>
      </c>
      <c r="AS810" s="2">
        <v>0</v>
      </c>
      <c r="AT810" s="2">
        <v>0</v>
      </c>
      <c r="AU810" s="2">
        <v>0</v>
      </c>
      <c r="AV810" s="2">
        <v>0</v>
      </c>
      <c r="AW810" s="4"/>
      <c r="AX810" t="s">
        <v>75</v>
      </c>
      <c r="AZ810" t="s">
        <v>325</v>
      </c>
      <c r="BA810" t="s">
        <v>67</v>
      </c>
      <c r="BB810" t="s">
        <v>326</v>
      </c>
      <c r="BC810" t="s">
        <v>327</v>
      </c>
      <c r="BD810" t="s">
        <v>79</v>
      </c>
      <c r="BE810" t="s">
        <v>131</v>
      </c>
      <c r="BF810" s="5">
        <v>46874</v>
      </c>
      <c r="BH810">
        <v>20</v>
      </c>
      <c r="BI810" s="6">
        <v>120000</v>
      </c>
      <c r="BJ810" s="6">
        <v>0</v>
      </c>
      <c r="BK810" s="6">
        <v>59000</v>
      </c>
      <c r="BL810" s="6">
        <v>61000</v>
      </c>
      <c r="BM810" s="2">
        <v>1220000</v>
      </c>
      <c r="BN810">
        <f>InvoiceTable[[#This Row],[Giảm giá]]*InvoiceTable[[#This Row],[Số lượng]]</f>
        <v>1180000</v>
      </c>
    </row>
    <row r="811" spans="1:66" x14ac:dyDescent="0.25">
      <c r="A811" t="s">
        <v>65</v>
      </c>
      <c r="B811" t="s">
        <v>2638</v>
      </c>
      <c r="F811" s="2"/>
      <c r="G811" s="3">
        <v>46007.62572827546</v>
      </c>
      <c r="H811" s="3">
        <v>46007.625728437502</v>
      </c>
      <c r="I811" s="4" t="s">
        <v>67</v>
      </c>
      <c r="J811" t="s">
        <v>67</v>
      </c>
      <c r="K811" t="s">
        <v>67</v>
      </c>
      <c r="L811" t="s">
        <v>1368</v>
      </c>
      <c r="M811" t="s">
        <v>1369</v>
      </c>
      <c r="N811" t="s">
        <v>67</v>
      </c>
      <c r="O811" t="s">
        <v>1370</v>
      </c>
      <c r="Q811" t="s">
        <v>67</v>
      </c>
      <c r="R811" t="s">
        <v>67</v>
      </c>
      <c r="S811" s="5"/>
      <c r="T811" t="s">
        <v>72</v>
      </c>
      <c r="U811" t="s">
        <v>87</v>
      </c>
      <c r="V811" t="s">
        <v>74</v>
      </c>
      <c r="W811" t="s">
        <v>87</v>
      </c>
      <c r="AE811" s="2"/>
      <c r="AF811" s="2"/>
      <c r="AG811" s="2"/>
      <c r="AH811" s="2"/>
      <c r="AL811" s="2">
        <v>2723300</v>
      </c>
      <c r="AM811" s="2">
        <v>0</v>
      </c>
      <c r="AN811" s="2"/>
      <c r="AO811" s="2">
        <v>0</v>
      </c>
      <c r="AP811" s="2">
        <v>2723300</v>
      </c>
      <c r="AQ811" s="2">
        <v>0</v>
      </c>
      <c r="AR811" s="2">
        <v>0</v>
      </c>
      <c r="AS811" s="2">
        <v>0</v>
      </c>
      <c r="AT811" s="2">
        <v>0</v>
      </c>
      <c r="AU811" s="2">
        <v>0</v>
      </c>
      <c r="AV811" s="2">
        <v>0</v>
      </c>
      <c r="AW811" s="4"/>
      <c r="AX811" t="s">
        <v>75</v>
      </c>
      <c r="AZ811" t="s">
        <v>427</v>
      </c>
      <c r="BA811" t="s">
        <v>67</v>
      </c>
      <c r="BB811" t="s">
        <v>428</v>
      </c>
      <c r="BC811" t="s">
        <v>367</v>
      </c>
      <c r="BD811" t="s">
        <v>79</v>
      </c>
      <c r="BE811" t="s">
        <v>228</v>
      </c>
      <c r="BF811" s="5">
        <v>46813</v>
      </c>
      <c r="BH811">
        <v>3</v>
      </c>
      <c r="BI811" s="6">
        <v>535000</v>
      </c>
      <c r="BJ811" s="6">
        <v>30</v>
      </c>
      <c r="BK811" s="6">
        <v>160500</v>
      </c>
      <c r="BL811" s="6">
        <v>374500</v>
      </c>
      <c r="BM811" s="2">
        <v>1123500</v>
      </c>
      <c r="BN811">
        <f>InvoiceTable[[#This Row],[Giảm giá]]*InvoiceTable[[#This Row],[Số lượng]]</f>
        <v>481500</v>
      </c>
    </row>
    <row r="812" spans="1:66" x14ac:dyDescent="0.25">
      <c r="A812" t="s">
        <v>65</v>
      </c>
      <c r="B812" t="s">
        <v>2638</v>
      </c>
      <c r="F812" s="2"/>
      <c r="G812" s="3">
        <v>46007.62572827546</v>
      </c>
      <c r="H812" s="3">
        <v>46007.625728437502</v>
      </c>
      <c r="I812" s="4" t="s">
        <v>67</v>
      </c>
      <c r="J812" t="s">
        <v>67</v>
      </c>
      <c r="K812" t="s">
        <v>67</v>
      </c>
      <c r="L812" t="s">
        <v>1368</v>
      </c>
      <c r="M812" t="s">
        <v>1369</v>
      </c>
      <c r="N812" t="s">
        <v>67</v>
      </c>
      <c r="O812" t="s">
        <v>1370</v>
      </c>
      <c r="Q812" t="s">
        <v>67</v>
      </c>
      <c r="R812" t="s">
        <v>67</v>
      </c>
      <c r="S812" s="5"/>
      <c r="T812" t="s">
        <v>72</v>
      </c>
      <c r="U812" t="s">
        <v>87</v>
      </c>
      <c r="V812" t="s">
        <v>74</v>
      </c>
      <c r="W812" t="s">
        <v>87</v>
      </c>
      <c r="AE812" s="2"/>
      <c r="AF812" s="2"/>
      <c r="AG812" s="2"/>
      <c r="AH812" s="2"/>
      <c r="AL812" s="2">
        <v>2723300</v>
      </c>
      <c r="AM812" s="2">
        <v>0</v>
      </c>
      <c r="AN812" s="2"/>
      <c r="AO812" s="2">
        <v>0</v>
      </c>
      <c r="AP812" s="2">
        <v>2723300</v>
      </c>
      <c r="AQ812" s="2">
        <v>0</v>
      </c>
      <c r="AR812" s="2">
        <v>0</v>
      </c>
      <c r="AS812" s="2">
        <v>0</v>
      </c>
      <c r="AT812" s="2">
        <v>0</v>
      </c>
      <c r="AU812" s="2">
        <v>0</v>
      </c>
      <c r="AV812" s="2">
        <v>0</v>
      </c>
      <c r="AW812" s="4"/>
      <c r="AX812" t="s">
        <v>75</v>
      </c>
      <c r="AZ812" t="s">
        <v>659</v>
      </c>
      <c r="BA812" t="s">
        <v>67</v>
      </c>
      <c r="BB812" t="s">
        <v>660</v>
      </c>
      <c r="BC812" t="s">
        <v>223</v>
      </c>
      <c r="BD812" t="s">
        <v>79</v>
      </c>
      <c r="BE812" t="s">
        <v>661</v>
      </c>
      <c r="BF812" s="5">
        <v>47025</v>
      </c>
      <c r="BH812">
        <v>1</v>
      </c>
      <c r="BI812" s="6">
        <v>1250000</v>
      </c>
      <c r="BJ812" s="6">
        <v>47</v>
      </c>
      <c r="BK812" s="6">
        <v>587500</v>
      </c>
      <c r="BL812" s="6">
        <v>662500</v>
      </c>
      <c r="BM812" s="2">
        <v>662500</v>
      </c>
      <c r="BN812">
        <f>InvoiceTable[[#This Row],[Giảm giá]]*InvoiceTable[[#This Row],[Số lượng]]</f>
        <v>587500</v>
      </c>
    </row>
    <row r="813" spans="1:66" x14ac:dyDescent="0.25">
      <c r="A813" t="s">
        <v>65</v>
      </c>
      <c r="B813" t="s">
        <v>2638</v>
      </c>
      <c r="F813" s="2"/>
      <c r="G813" s="3">
        <v>46007.62572827546</v>
      </c>
      <c r="H813" s="3">
        <v>46007.625728437502</v>
      </c>
      <c r="I813" s="4" t="s">
        <v>67</v>
      </c>
      <c r="J813" t="s">
        <v>67</v>
      </c>
      <c r="K813" t="s">
        <v>67</v>
      </c>
      <c r="L813" t="s">
        <v>1368</v>
      </c>
      <c r="M813" t="s">
        <v>1369</v>
      </c>
      <c r="N813" t="s">
        <v>67</v>
      </c>
      <c r="O813" t="s">
        <v>1370</v>
      </c>
      <c r="Q813" t="s">
        <v>67</v>
      </c>
      <c r="R813" t="s">
        <v>67</v>
      </c>
      <c r="S813" s="5"/>
      <c r="T813" t="s">
        <v>72</v>
      </c>
      <c r="U813" t="s">
        <v>87</v>
      </c>
      <c r="V813" t="s">
        <v>74</v>
      </c>
      <c r="W813" t="s">
        <v>87</v>
      </c>
      <c r="AE813" s="2"/>
      <c r="AF813" s="2"/>
      <c r="AG813" s="2"/>
      <c r="AH813" s="2"/>
      <c r="AL813" s="2">
        <v>2723300</v>
      </c>
      <c r="AM813" s="2">
        <v>0</v>
      </c>
      <c r="AN813" s="2"/>
      <c r="AO813" s="2">
        <v>0</v>
      </c>
      <c r="AP813" s="2">
        <v>2723300</v>
      </c>
      <c r="AQ813" s="2">
        <v>0</v>
      </c>
      <c r="AR813" s="2">
        <v>0</v>
      </c>
      <c r="AS813" s="2">
        <v>0</v>
      </c>
      <c r="AT813" s="2">
        <v>0</v>
      </c>
      <c r="AU813" s="2">
        <v>0</v>
      </c>
      <c r="AV813" s="2">
        <v>0</v>
      </c>
      <c r="AW813" s="4"/>
      <c r="AX813" t="s">
        <v>75</v>
      </c>
      <c r="AZ813" t="s">
        <v>1777</v>
      </c>
      <c r="BA813" t="s">
        <v>67</v>
      </c>
      <c r="BB813" t="s">
        <v>1778</v>
      </c>
      <c r="BC813" t="s">
        <v>1779</v>
      </c>
      <c r="BD813" t="s">
        <v>79</v>
      </c>
      <c r="BE813" t="s">
        <v>1780</v>
      </c>
      <c r="BF813" s="5">
        <v>46956</v>
      </c>
      <c r="BG813" t="s">
        <v>67</v>
      </c>
      <c r="BH813">
        <v>1</v>
      </c>
      <c r="BI813" s="6">
        <v>380000</v>
      </c>
      <c r="BJ813" s="6">
        <v>40</v>
      </c>
      <c r="BK813" s="6">
        <v>152000</v>
      </c>
      <c r="BL813" s="6">
        <v>228000</v>
      </c>
      <c r="BM813" s="2">
        <v>228000</v>
      </c>
      <c r="BN813">
        <f>InvoiceTable[[#This Row],[Giảm giá]]*InvoiceTable[[#This Row],[Số lượng]]</f>
        <v>152000</v>
      </c>
    </row>
    <row r="814" spans="1:66" x14ac:dyDescent="0.25">
      <c r="A814" t="s">
        <v>65</v>
      </c>
      <c r="B814" t="s">
        <v>2638</v>
      </c>
      <c r="F814" s="2"/>
      <c r="G814" s="3">
        <v>46007.62572827546</v>
      </c>
      <c r="H814" s="3">
        <v>46007.625728437502</v>
      </c>
      <c r="I814" s="4" t="s">
        <v>67</v>
      </c>
      <c r="J814" t="s">
        <v>67</v>
      </c>
      <c r="K814" t="s">
        <v>67</v>
      </c>
      <c r="L814" t="s">
        <v>1368</v>
      </c>
      <c r="M814" t="s">
        <v>1369</v>
      </c>
      <c r="N814" t="s">
        <v>67</v>
      </c>
      <c r="O814" t="s">
        <v>1370</v>
      </c>
      <c r="Q814" t="s">
        <v>67</v>
      </c>
      <c r="R814" t="s">
        <v>67</v>
      </c>
      <c r="S814" s="5"/>
      <c r="T814" t="s">
        <v>72</v>
      </c>
      <c r="U814" t="s">
        <v>87</v>
      </c>
      <c r="V814" t="s">
        <v>74</v>
      </c>
      <c r="W814" t="s">
        <v>87</v>
      </c>
      <c r="AE814" s="2"/>
      <c r="AF814" s="2"/>
      <c r="AG814" s="2"/>
      <c r="AH814" s="2"/>
      <c r="AL814" s="2">
        <v>2723300</v>
      </c>
      <c r="AM814" s="2">
        <v>0</v>
      </c>
      <c r="AN814" s="2"/>
      <c r="AO814" s="2">
        <v>0</v>
      </c>
      <c r="AP814" s="2">
        <v>2723300</v>
      </c>
      <c r="AQ814" s="2">
        <v>0</v>
      </c>
      <c r="AR814" s="2">
        <v>0</v>
      </c>
      <c r="AS814" s="2">
        <v>0</v>
      </c>
      <c r="AT814" s="2">
        <v>0</v>
      </c>
      <c r="AU814" s="2">
        <v>0</v>
      </c>
      <c r="AV814" s="2">
        <v>0</v>
      </c>
      <c r="AW814" s="4"/>
      <c r="AX814" t="s">
        <v>75</v>
      </c>
      <c r="AZ814" t="s">
        <v>691</v>
      </c>
      <c r="BA814" t="s">
        <v>67</v>
      </c>
      <c r="BB814" t="s">
        <v>692</v>
      </c>
      <c r="BC814" t="s">
        <v>215</v>
      </c>
      <c r="BD814" t="s">
        <v>79</v>
      </c>
      <c r="BE814" t="s">
        <v>216</v>
      </c>
      <c r="BF814" s="5">
        <v>46784</v>
      </c>
      <c r="BH814">
        <v>1</v>
      </c>
      <c r="BI814" s="6">
        <v>760000</v>
      </c>
      <c r="BJ814" s="6">
        <v>52</v>
      </c>
      <c r="BK814" s="6">
        <v>395200</v>
      </c>
      <c r="BL814" s="6">
        <v>364800</v>
      </c>
      <c r="BM814" s="2">
        <v>364800</v>
      </c>
      <c r="BN814">
        <f>InvoiceTable[[#This Row],[Giảm giá]]*InvoiceTable[[#This Row],[Số lượng]]</f>
        <v>395200</v>
      </c>
    </row>
    <row r="815" spans="1:66" x14ac:dyDescent="0.25">
      <c r="A815" t="s">
        <v>65</v>
      </c>
      <c r="B815" t="s">
        <v>2638</v>
      </c>
      <c r="F815" s="2"/>
      <c r="G815" s="3">
        <v>46007.62572827546</v>
      </c>
      <c r="H815" s="3">
        <v>46007.625728437502</v>
      </c>
      <c r="I815" s="4" t="s">
        <v>67</v>
      </c>
      <c r="J815" t="s">
        <v>67</v>
      </c>
      <c r="K815" t="s">
        <v>67</v>
      </c>
      <c r="L815" t="s">
        <v>1368</v>
      </c>
      <c r="M815" t="s">
        <v>1369</v>
      </c>
      <c r="N815" t="s">
        <v>67</v>
      </c>
      <c r="O815" t="s">
        <v>1370</v>
      </c>
      <c r="Q815" t="s">
        <v>67</v>
      </c>
      <c r="R815" t="s">
        <v>67</v>
      </c>
      <c r="S815" s="5"/>
      <c r="T815" t="s">
        <v>72</v>
      </c>
      <c r="U815" t="s">
        <v>87</v>
      </c>
      <c r="V815" t="s">
        <v>74</v>
      </c>
      <c r="W815" t="s">
        <v>87</v>
      </c>
      <c r="AE815" s="2"/>
      <c r="AF815" s="2"/>
      <c r="AG815" s="2"/>
      <c r="AH815" s="2"/>
      <c r="AL815" s="2">
        <v>2723300</v>
      </c>
      <c r="AM815" s="2">
        <v>0</v>
      </c>
      <c r="AN815" s="2"/>
      <c r="AO815" s="2">
        <v>0</v>
      </c>
      <c r="AP815" s="2">
        <v>2723300</v>
      </c>
      <c r="AQ815" s="2">
        <v>0</v>
      </c>
      <c r="AR815" s="2">
        <v>0</v>
      </c>
      <c r="AS815" s="2">
        <v>0</v>
      </c>
      <c r="AT815" s="2">
        <v>0</v>
      </c>
      <c r="AU815" s="2">
        <v>0</v>
      </c>
      <c r="AV815" s="2">
        <v>0</v>
      </c>
      <c r="AW815" s="4"/>
      <c r="AX815" t="s">
        <v>75</v>
      </c>
      <c r="AZ815" t="s">
        <v>1897</v>
      </c>
      <c r="BA815" t="s">
        <v>67</v>
      </c>
      <c r="BB815" t="s">
        <v>1898</v>
      </c>
      <c r="BC815" t="s">
        <v>703</v>
      </c>
      <c r="BD815" t="s">
        <v>79</v>
      </c>
      <c r="BE815" t="s">
        <v>1899</v>
      </c>
      <c r="BF815" s="5">
        <v>47150</v>
      </c>
      <c r="BH815">
        <v>1</v>
      </c>
      <c r="BI815" s="6">
        <v>650000</v>
      </c>
      <c r="BJ815" s="6">
        <v>47</v>
      </c>
      <c r="BK815" s="6">
        <v>305500</v>
      </c>
      <c r="BL815" s="6">
        <v>344500</v>
      </c>
      <c r="BM815" s="2">
        <v>344500</v>
      </c>
      <c r="BN815">
        <f>InvoiceTable[[#This Row],[Giảm giá]]*InvoiceTable[[#This Row],[Số lượng]]</f>
        <v>305500</v>
      </c>
    </row>
    <row r="816" spans="1:66" x14ac:dyDescent="0.25">
      <c r="A816" t="s">
        <v>65</v>
      </c>
      <c r="B816" t="s">
        <v>2639</v>
      </c>
      <c r="F816" s="2"/>
      <c r="G816" s="3">
        <v>46007.624695752318</v>
      </c>
      <c r="H816" s="3">
        <v>46007.624580127318</v>
      </c>
      <c r="I816" s="4" t="s">
        <v>96</v>
      </c>
      <c r="J816" t="s">
        <v>67</v>
      </c>
      <c r="K816" t="s">
        <v>67</v>
      </c>
      <c r="L816" t="s">
        <v>1368</v>
      </c>
      <c r="M816" t="s">
        <v>1369</v>
      </c>
      <c r="N816" t="s">
        <v>67</v>
      </c>
      <c r="O816" t="s">
        <v>1370</v>
      </c>
      <c r="Q816" t="s">
        <v>67</v>
      </c>
      <c r="R816" t="s">
        <v>67</v>
      </c>
      <c r="S816" s="5"/>
      <c r="T816" t="s">
        <v>72</v>
      </c>
      <c r="U816" t="s">
        <v>87</v>
      </c>
      <c r="V816" t="s">
        <v>74</v>
      </c>
      <c r="W816" t="s">
        <v>87</v>
      </c>
      <c r="AE816" s="2"/>
      <c r="AF816" s="2"/>
      <c r="AG816" s="2"/>
      <c r="AH816" s="2"/>
      <c r="AL816" s="2">
        <v>115000</v>
      </c>
      <c r="AM816" s="2">
        <v>0</v>
      </c>
      <c r="AN816" s="2"/>
      <c r="AO816" s="2">
        <v>0</v>
      </c>
      <c r="AP816" s="2">
        <v>115000</v>
      </c>
      <c r="AQ816" s="2">
        <v>0</v>
      </c>
      <c r="AR816" s="2">
        <v>0</v>
      </c>
      <c r="AS816" s="2">
        <v>0</v>
      </c>
      <c r="AT816" s="2">
        <v>0</v>
      </c>
      <c r="AU816" s="2">
        <v>0</v>
      </c>
      <c r="AV816" s="2">
        <v>0</v>
      </c>
      <c r="AW816" s="4"/>
      <c r="AX816" t="s">
        <v>75</v>
      </c>
      <c r="AZ816" t="s">
        <v>2640</v>
      </c>
      <c r="BA816" t="s">
        <v>67</v>
      </c>
      <c r="BB816" t="s">
        <v>2641</v>
      </c>
      <c r="BC816" t="s">
        <v>126</v>
      </c>
      <c r="BD816" t="s">
        <v>79</v>
      </c>
      <c r="BE816" t="s">
        <v>715</v>
      </c>
      <c r="BF816" s="5">
        <v>46631</v>
      </c>
      <c r="BH816">
        <v>1</v>
      </c>
      <c r="BI816" s="6">
        <v>230000</v>
      </c>
      <c r="BJ816" s="6">
        <v>0</v>
      </c>
      <c r="BK816" s="6">
        <v>115000</v>
      </c>
      <c r="BL816" s="6">
        <v>115000</v>
      </c>
      <c r="BM816" s="2">
        <v>115000</v>
      </c>
      <c r="BN816">
        <f>InvoiceTable[[#This Row],[Giảm giá]]*InvoiceTable[[#This Row],[Số lượng]]</f>
        <v>115000</v>
      </c>
    </row>
    <row r="817" spans="1:66" x14ac:dyDescent="0.25">
      <c r="A817" t="s">
        <v>65</v>
      </c>
      <c r="B817" t="s">
        <v>2642</v>
      </c>
      <c r="F817" s="2"/>
      <c r="G817" s="3">
        <v>46007.624269872686</v>
      </c>
      <c r="H817" s="3">
        <v>46007.624246793981</v>
      </c>
      <c r="I817" s="4" t="s">
        <v>2643</v>
      </c>
      <c r="J817" t="s">
        <v>67</v>
      </c>
      <c r="K817" t="s">
        <v>67</v>
      </c>
      <c r="L817" t="s">
        <v>2613</v>
      </c>
      <c r="M817" t="s">
        <v>2614</v>
      </c>
      <c r="N817" t="s">
        <v>67</v>
      </c>
      <c r="O817" t="s">
        <v>2615</v>
      </c>
      <c r="P817" t="s">
        <v>2616</v>
      </c>
      <c r="S817" s="5"/>
      <c r="T817" t="s">
        <v>72</v>
      </c>
      <c r="U817" t="s">
        <v>87</v>
      </c>
      <c r="V817" t="s">
        <v>74</v>
      </c>
      <c r="W817" t="s">
        <v>87</v>
      </c>
      <c r="AE817" s="2"/>
      <c r="AF817" s="2"/>
      <c r="AG817" s="2"/>
      <c r="AH817" s="2"/>
      <c r="AL817" s="2">
        <v>8104000</v>
      </c>
      <c r="AM817" s="2">
        <v>0</v>
      </c>
      <c r="AN817" s="2"/>
      <c r="AO817" s="2">
        <v>0</v>
      </c>
      <c r="AP817" s="2">
        <v>8104000</v>
      </c>
      <c r="AQ817" s="2">
        <v>8104000</v>
      </c>
      <c r="AR817" s="2">
        <v>0</v>
      </c>
      <c r="AS817" s="2">
        <v>0</v>
      </c>
      <c r="AT817" s="2">
        <v>0</v>
      </c>
      <c r="AU817" s="2">
        <v>8104000</v>
      </c>
      <c r="AV817" s="2">
        <v>0</v>
      </c>
      <c r="AW817" s="4"/>
      <c r="AX817" t="s">
        <v>75</v>
      </c>
      <c r="AZ817" t="s">
        <v>669</v>
      </c>
      <c r="BA817" t="s">
        <v>67</v>
      </c>
      <c r="BB817" t="s">
        <v>670</v>
      </c>
      <c r="BC817" t="s">
        <v>126</v>
      </c>
      <c r="BD817" t="s">
        <v>79</v>
      </c>
      <c r="BE817" t="s">
        <v>159</v>
      </c>
      <c r="BF817" s="5">
        <v>46478</v>
      </c>
      <c r="BH817">
        <v>5</v>
      </c>
      <c r="BI817" s="6">
        <v>350000</v>
      </c>
      <c r="BJ817" s="6">
        <v>0</v>
      </c>
      <c r="BK817" s="6">
        <v>200000</v>
      </c>
      <c r="BL817" s="6">
        <v>150000</v>
      </c>
      <c r="BM817" s="2">
        <v>750000</v>
      </c>
      <c r="BN817">
        <f>InvoiceTable[[#This Row],[Giảm giá]]*InvoiceTable[[#This Row],[Số lượng]]</f>
        <v>1000000</v>
      </c>
    </row>
    <row r="818" spans="1:66" x14ac:dyDescent="0.25">
      <c r="A818" t="s">
        <v>65</v>
      </c>
      <c r="B818" t="s">
        <v>2642</v>
      </c>
      <c r="F818" s="2"/>
      <c r="G818" s="3">
        <v>46007.624269872686</v>
      </c>
      <c r="H818" s="3">
        <v>46007.624246793981</v>
      </c>
      <c r="I818" s="4" t="s">
        <v>2643</v>
      </c>
      <c r="J818" t="s">
        <v>67</v>
      </c>
      <c r="K818" t="s">
        <v>67</v>
      </c>
      <c r="L818" t="s">
        <v>2613</v>
      </c>
      <c r="M818" t="s">
        <v>2614</v>
      </c>
      <c r="N818" t="s">
        <v>67</v>
      </c>
      <c r="O818" t="s">
        <v>2615</v>
      </c>
      <c r="P818" t="s">
        <v>2616</v>
      </c>
      <c r="S818" s="5"/>
      <c r="T818" t="s">
        <v>72</v>
      </c>
      <c r="U818" t="s">
        <v>87</v>
      </c>
      <c r="V818" t="s">
        <v>74</v>
      </c>
      <c r="W818" t="s">
        <v>87</v>
      </c>
      <c r="AE818" s="2"/>
      <c r="AF818" s="2"/>
      <c r="AG818" s="2"/>
      <c r="AH818" s="2"/>
      <c r="AL818" s="2">
        <v>8104000</v>
      </c>
      <c r="AM818" s="2">
        <v>0</v>
      </c>
      <c r="AN818" s="2"/>
      <c r="AO818" s="2">
        <v>0</v>
      </c>
      <c r="AP818" s="2">
        <v>8104000</v>
      </c>
      <c r="AQ818" s="2">
        <v>8104000</v>
      </c>
      <c r="AR818" s="2">
        <v>0</v>
      </c>
      <c r="AS818" s="2">
        <v>0</v>
      </c>
      <c r="AT818" s="2">
        <v>0</v>
      </c>
      <c r="AU818" s="2">
        <v>8104000</v>
      </c>
      <c r="AV818" s="2">
        <v>0</v>
      </c>
      <c r="AW818" s="4"/>
      <c r="AX818" t="s">
        <v>75</v>
      </c>
      <c r="AZ818" t="s">
        <v>307</v>
      </c>
      <c r="BA818" t="s">
        <v>67</v>
      </c>
      <c r="BB818" t="s">
        <v>308</v>
      </c>
      <c r="BC818" t="s">
        <v>309</v>
      </c>
      <c r="BD818" t="s">
        <v>79</v>
      </c>
      <c r="BE818" t="s">
        <v>310</v>
      </c>
      <c r="BF818" s="5">
        <v>46919</v>
      </c>
      <c r="BG818" t="s">
        <v>67</v>
      </c>
      <c r="BH818">
        <v>1</v>
      </c>
      <c r="BI818" s="6">
        <v>6500000</v>
      </c>
      <c r="BJ818" s="6">
        <v>0</v>
      </c>
      <c r="BK818" s="6">
        <v>650000</v>
      </c>
      <c r="BL818" s="6">
        <v>5850000</v>
      </c>
      <c r="BM818" s="2">
        <v>5850000</v>
      </c>
      <c r="BN818">
        <f>InvoiceTable[[#This Row],[Giảm giá]]*InvoiceTable[[#This Row],[Số lượng]]</f>
        <v>650000</v>
      </c>
    </row>
    <row r="819" spans="1:66" x14ac:dyDescent="0.25">
      <c r="A819" t="s">
        <v>65</v>
      </c>
      <c r="B819" t="s">
        <v>2642</v>
      </c>
      <c r="F819" s="2"/>
      <c r="G819" s="3">
        <v>46007.624269872686</v>
      </c>
      <c r="H819" s="3">
        <v>46007.624246793981</v>
      </c>
      <c r="I819" s="4" t="s">
        <v>2643</v>
      </c>
      <c r="J819" t="s">
        <v>67</v>
      </c>
      <c r="K819" t="s">
        <v>67</v>
      </c>
      <c r="L819" t="s">
        <v>2613</v>
      </c>
      <c r="M819" t="s">
        <v>2614</v>
      </c>
      <c r="N819" t="s">
        <v>67</v>
      </c>
      <c r="O819" t="s">
        <v>2615</v>
      </c>
      <c r="P819" t="s">
        <v>2616</v>
      </c>
      <c r="S819" s="5"/>
      <c r="T819" t="s">
        <v>72</v>
      </c>
      <c r="U819" t="s">
        <v>87</v>
      </c>
      <c r="V819" t="s">
        <v>74</v>
      </c>
      <c r="W819" t="s">
        <v>87</v>
      </c>
      <c r="AE819" s="2"/>
      <c r="AF819" s="2"/>
      <c r="AG819" s="2"/>
      <c r="AH819" s="2"/>
      <c r="AL819" s="2">
        <v>8104000</v>
      </c>
      <c r="AM819" s="2">
        <v>0</v>
      </c>
      <c r="AN819" s="2"/>
      <c r="AO819" s="2">
        <v>0</v>
      </c>
      <c r="AP819" s="2">
        <v>8104000</v>
      </c>
      <c r="AQ819" s="2">
        <v>8104000</v>
      </c>
      <c r="AR819" s="2">
        <v>0</v>
      </c>
      <c r="AS819" s="2">
        <v>0</v>
      </c>
      <c r="AT819" s="2">
        <v>0</v>
      </c>
      <c r="AU819" s="2">
        <v>8104000</v>
      </c>
      <c r="AV819" s="2">
        <v>0</v>
      </c>
      <c r="AW819" s="4"/>
      <c r="AX819" t="s">
        <v>75</v>
      </c>
      <c r="AZ819" t="s">
        <v>2644</v>
      </c>
      <c r="BA819" t="s">
        <v>67</v>
      </c>
      <c r="BB819" t="s">
        <v>2645</v>
      </c>
      <c r="BC819" t="s">
        <v>1183</v>
      </c>
      <c r="BD819" t="s">
        <v>79</v>
      </c>
      <c r="BE819" t="s">
        <v>293</v>
      </c>
      <c r="BF819" s="5">
        <v>46722</v>
      </c>
      <c r="BG819" t="s">
        <v>67</v>
      </c>
      <c r="BH819">
        <v>1</v>
      </c>
      <c r="BI819" s="6">
        <v>3200000</v>
      </c>
      <c r="BJ819" s="6">
        <v>53</v>
      </c>
      <c r="BK819" s="6">
        <v>1696000</v>
      </c>
      <c r="BL819" s="6">
        <v>1504000</v>
      </c>
      <c r="BM819" s="2">
        <v>1504000</v>
      </c>
      <c r="BN819">
        <f>InvoiceTable[[#This Row],[Giảm giá]]*InvoiceTable[[#This Row],[Số lượng]]</f>
        <v>1696000</v>
      </c>
    </row>
    <row r="820" spans="1:66" x14ac:dyDescent="0.25">
      <c r="A820" t="s">
        <v>65</v>
      </c>
      <c r="B820" t="s">
        <v>2646</v>
      </c>
      <c r="F820" s="2"/>
      <c r="G820" s="3">
        <v>46007.619300196762</v>
      </c>
      <c r="H820" s="3">
        <v>46007.619300497689</v>
      </c>
      <c r="I820" s="4" t="s">
        <v>67</v>
      </c>
      <c r="J820" t="s">
        <v>67</v>
      </c>
      <c r="K820" t="s">
        <v>67</v>
      </c>
      <c r="L820" t="s">
        <v>654</v>
      </c>
      <c r="M820" t="s">
        <v>655</v>
      </c>
      <c r="N820" t="s">
        <v>67</v>
      </c>
      <c r="O820" t="s">
        <v>656</v>
      </c>
      <c r="P820" t="s">
        <v>657</v>
      </c>
      <c r="Q820" t="s">
        <v>658</v>
      </c>
      <c r="R820" t="s">
        <v>67</v>
      </c>
      <c r="S820" s="5"/>
      <c r="T820" t="s">
        <v>72</v>
      </c>
      <c r="U820" t="s">
        <v>87</v>
      </c>
      <c r="V820" t="s">
        <v>74</v>
      </c>
      <c r="W820" t="s">
        <v>87</v>
      </c>
      <c r="AE820" s="2"/>
      <c r="AF820" s="2"/>
      <c r="AG820" s="2"/>
      <c r="AH820" s="2"/>
      <c r="AL820" s="2">
        <v>1350000</v>
      </c>
      <c r="AM820" s="2">
        <v>0</v>
      </c>
      <c r="AN820" s="2"/>
      <c r="AO820" s="2">
        <v>0</v>
      </c>
      <c r="AP820" s="2">
        <v>1350000</v>
      </c>
      <c r="AQ820" s="2">
        <v>0</v>
      </c>
      <c r="AR820" s="2">
        <v>0</v>
      </c>
      <c r="AS820" s="2">
        <v>0</v>
      </c>
      <c r="AT820" s="2">
        <v>0</v>
      </c>
      <c r="AU820" s="2">
        <v>0</v>
      </c>
      <c r="AV820" s="2">
        <v>0</v>
      </c>
      <c r="AW820" s="4"/>
      <c r="AX820" t="s">
        <v>75</v>
      </c>
      <c r="AZ820" t="s">
        <v>669</v>
      </c>
      <c r="BA820" t="s">
        <v>67</v>
      </c>
      <c r="BB820" t="s">
        <v>670</v>
      </c>
      <c r="BC820" t="s">
        <v>126</v>
      </c>
      <c r="BD820" t="s">
        <v>79</v>
      </c>
      <c r="BE820" t="s">
        <v>159</v>
      </c>
      <c r="BF820" s="5">
        <v>46478</v>
      </c>
      <c r="BH820">
        <v>10</v>
      </c>
      <c r="BI820" s="6">
        <v>350000</v>
      </c>
      <c r="BJ820" s="6">
        <v>0</v>
      </c>
      <c r="BK820" s="6">
        <v>215000</v>
      </c>
      <c r="BL820" s="6">
        <v>135000</v>
      </c>
      <c r="BM820" s="2">
        <v>1350000</v>
      </c>
      <c r="BN820">
        <f>InvoiceTable[[#This Row],[Giảm giá]]*InvoiceTable[[#This Row],[Số lượng]]</f>
        <v>2150000</v>
      </c>
    </row>
    <row r="821" spans="1:66" x14ac:dyDescent="0.25">
      <c r="A821" t="s">
        <v>65</v>
      </c>
      <c r="B821" t="s">
        <v>2647</v>
      </c>
      <c r="F821" s="2"/>
      <c r="G821" s="3">
        <v>46007.618835995374</v>
      </c>
      <c r="H821" s="3">
        <v>46007.618836076392</v>
      </c>
      <c r="I821" s="4" t="s">
        <v>67</v>
      </c>
      <c r="J821" t="s">
        <v>67</v>
      </c>
      <c r="K821" t="s">
        <v>67</v>
      </c>
      <c r="L821" t="s">
        <v>654</v>
      </c>
      <c r="M821" t="s">
        <v>655</v>
      </c>
      <c r="N821" t="s">
        <v>67</v>
      </c>
      <c r="O821" t="s">
        <v>656</v>
      </c>
      <c r="P821" t="s">
        <v>657</v>
      </c>
      <c r="Q821" t="s">
        <v>658</v>
      </c>
      <c r="R821" t="s">
        <v>67</v>
      </c>
      <c r="S821" s="5"/>
      <c r="T821" t="s">
        <v>72</v>
      </c>
      <c r="U821" t="s">
        <v>87</v>
      </c>
      <c r="V821" t="s">
        <v>74</v>
      </c>
      <c r="W821" t="s">
        <v>87</v>
      </c>
      <c r="AE821" s="2"/>
      <c r="AF821" s="2"/>
      <c r="AG821" s="2"/>
      <c r="AH821" s="2"/>
      <c r="AK821" t="s">
        <v>2648</v>
      </c>
      <c r="AL821" s="2">
        <v>1885210</v>
      </c>
      <c r="AM821" s="2">
        <v>0</v>
      </c>
      <c r="AN821" s="2"/>
      <c r="AO821" s="2">
        <v>0</v>
      </c>
      <c r="AP821" s="2">
        <v>1885210</v>
      </c>
      <c r="AQ821" s="2">
        <v>0</v>
      </c>
      <c r="AR821" s="2">
        <v>0</v>
      </c>
      <c r="AS821" s="2">
        <v>0</v>
      </c>
      <c r="AT821" s="2">
        <v>0</v>
      </c>
      <c r="AU821" s="2">
        <v>0</v>
      </c>
      <c r="AV821" s="2">
        <v>0</v>
      </c>
      <c r="AW821" s="4"/>
      <c r="AX821" t="s">
        <v>75</v>
      </c>
      <c r="AZ821" t="s">
        <v>2649</v>
      </c>
      <c r="BA821" t="s">
        <v>67</v>
      </c>
      <c r="BB821" t="s">
        <v>2650</v>
      </c>
      <c r="BC821" t="s">
        <v>187</v>
      </c>
      <c r="BD821" t="s">
        <v>79</v>
      </c>
      <c r="BE821" t="s">
        <v>201</v>
      </c>
      <c r="BF821" s="5">
        <v>46966</v>
      </c>
      <c r="BH821">
        <v>1</v>
      </c>
      <c r="BI821" s="6">
        <v>320000</v>
      </c>
      <c r="BJ821" s="6">
        <v>60</v>
      </c>
      <c r="BK821" s="6">
        <v>192000</v>
      </c>
      <c r="BL821" s="6">
        <v>128000</v>
      </c>
      <c r="BM821" s="2">
        <v>128000</v>
      </c>
      <c r="BN821">
        <f>InvoiceTable[[#This Row],[Giảm giá]]*InvoiceTable[[#This Row],[Số lượng]]</f>
        <v>192000</v>
      </c>
    </row>
    <row r="822" spans="1:66" x14ac:dyDescent="0.25">
      <c r="A822" t="s">
        <v>65</v>
      </c>
      <c r="B822" t="s">
        <v>2647</v>
      </c>
      <c r="F822" s="2"/>
      <c r="G822" s="3">
        <v>46007.618835995374</v>
      </c>
      <c r="H822" s="3">
        <v>46007.618836076392</v>
      </c>
      <c r="I822" s="4" t="s">
        <v>67</v>
      </c>
      <c r="J822" t="s">
        <v>67</v>
      </c>
      <c r="K822" t="s">
        <v>67</v>
      </c>
      <c r="L822" t="s">
        <v>654</v>
      </c>
      <c r="M822" t="s">
        <v>655</v>
      </c>
      <c r="N822" t="s">
        <v>67</v>
      </c>
      <c r="O822" t="s">
        <v>656</v>
      </c>
      <c r="P822" t="s">
        <v>657</v>
      </c>
      <c r="Q822" t="s">
        <v>658</v>
      </c>
      <c r="R822" t="s">
        <v>67</v>
      </c>
      <c r="S822" s="5"/>
      <c r="T822" t="s">
        <v>72</v>
      </c>
      <c r="U822" t="s">
        <v>87</v>
      </c>
      <c r="V822" t="s">
        <v>74</v>
      </c>
      <c r="W822" t="s">
        <v>87</v>
      </c>
      <c r="AE822" s="2"/>
      <c r="AF822" s="2"/>
      <c r="AG822" s="2"/>
      <c r="AH822" s="2"/>
      <c r="AK822" t="s">
        <v>2648</v>
      </c>
      <c r="AL822" s="2">
        <v>1885210</v>
      </c>
      <c r="AM822" s="2">
        <v>0</v>
      </c>
      <c r="AN822" s="2"/>
      <c r="AO822" s="2">
        <v>0</v>
      </c>
      <c r="AP822" s="2">
        <v>1885210</v>
      </c>
      <c r="AQ822" s="2">
        <v>0</v>
      </c>
      <c r="AR822" s="2">
        <v>0</v>
      </c>
      <c r="AS822" s="2">
        <v>0</v>
      </c>
      <c r="AT822" s="2">
        <v>0</v>
      </c>
      <c r="AU822" s="2">
        <v>0</v>
      </c>
      <c r="AV822" s="2">
        <v>0</v>
      </c>
      <c r="AW822" s="4"/>
      <c r="AX822" t="s">
        <v>75</v>
      </c>
      <c r="AZ822" t="s">
        <v>2651</v>
      </c>
      <c r="BA822" t="s">
        <v>67</v>
      </c>
      <c r="BB822" t="s">
        <v>2652</v>
      </c>
      <c r="BC822" t="s">
        <v>187</v>
      </c>
      <c r="BD822" t="s">
        <v>79</v>
      </c>
      <c r="BE822" t="s">
        <v>142</v>
      </c>
      <c r="BF822" s="5">
        <v>46844</v>
      </c>
      <c r="BH822">
        <v>1</v>
      </c>
      <c r="BI822" s="6">
        <v>350000</v>
      </c>
      <c r="BJ822" s="6">
        <v>60</v>
      </c>
      <c r="BK822" s="6">
        <v>210000</v>
      </c>
      <c r="BL822" s="6">
        <v>140000</v>
      </c>
      <c r="BM822" s="2">
        <v>140000</v>
      </c>
      <c r="BN822">
        <f>InvoiceTable[[#This Row],[Giảm giá]]*InvoiceTable[[#This Row],[Số lượng]]</f>
        <v>210000</v>
      </c>
    </row>
    <row r="823" spans="1:66" x14ac:dyDescent="0.25">
      <c r="A823" t="s">
        <v>65</v>
      </c>
      <c r="B823" t="s">
        <v>2647</v>
      </c>
      <c r="F823" s="2"/>
      <c r="G823" s="3">
        <v>46007.618835995374</v>
      </c>
      <c r="H823" s="3">
        <v>46007.618836076392</v>
      </c>
      <c r="I823" s="4" t="s">
        <v>67</v>
      </c>
      <c r="J823" t="s">
        <v>67</v>
      </c>
      <c r="K823" t="s">
        <v>67</v>
      </c>
      <c r="L823" t="s">
        <v>654</v>
      </c>
      <c r="M823" t="s">
        <v>655</v>
      </c>
      <c r="N823" t="s">
        <v>67</v>
      </c>
      <c r="O823" t="s">
        <v>656</v>
      </c>
      <c r="P823" t="s">
        <v>657</v>
      </c>
      <c r="Q823" t="s">
        <v>658</v>
      </c>
      <c r="R823" t="s">
        <v>67</v>
      </c>
      <c r="S823" s="5"/>
      <c r="T823" t="s">
        <v>72</v>
      </c>
      <c r="U823" t="s">
        <v>87</v>
      </c>
      <c r="V823" t="s">
        <v>74</v>
      </c>
      <c r="W823" t="s">
        <v>87</v>
      </c>
      <c r="AE823" s="2"/>
      <c r="AF823" s="2"/>
      <c r="AG823" s="2"/>
      <c r="AH823" s="2"/>
      <c r="AK823" t="s">
        <v>2648</v>
      </c>
      <c r="AL823" s="2">
        <v>1885210</v>
      </c>
      <c r="AM823" s="2">
        <v>0</v>
      </c>
      <c r="AN823" s="2"/>
      <c r="AO823" s="2">
        <v>0</v>
      </c>
      <c r="AP823" s="2">
        <v>1885210</v>
      </c>
      <c r="AQ823" s="2">
        <v>0</v>
      </c>
      <c r="AR823" s="2">
        <v>0</v>
      </c>
      <c r="AS823" s="2">
        <v>0</v>
      </c>
      <c r="AT823" s="2">
        <v>0</v>
      </c>
      <c r="AU823" s="2">
        <v>0</v>
      </c>
      <c r="AV823" s="2">
        <v>0</v>
      </c>
      <c r="AW823" s="4"/>
      <c r="AX823" t="s">
        <v>75</v>
      </c>
      <c r="AZ823" t="s">
        <v>1667</v>
      </c>
      <c r="BA823" t="s">
        <v>67</v>
      </c>
      <c r="BB823" t="s">
        <v>1668</v>
      </c>
      <c r="BC823" t="s">
        <v>93</v>
      </c>
      <c r="BD823" t="s">
        <v>79</v>
      </c>
      <c r="BE823" t="s">
        <v>94</v>
      </c>
      <c r="BF823" s="5">
        <v>46692</v>
      </c>
      <c r="BH823">
        <v>2</v>
      </c>
      <c r="BI823" s="6">
        <v>466000</v>
      </c>
      <c r="BJ823" s="6">
        <v>37</v>
      </c>
      <c r="BK823" s="6">
        <v>172420</v>
      </c>
      <c r="BL823" s="6">
        <v>293580</v>
      </c>
      <c r="BM823" s="2">
        <v>587160</v>
      </c>
      <c r="BN823">
        <f>InvoiceTable[[#This Row],[Giảm giá]]*InvoiceTable[[#This Row],[Số lượng]]</f>
        <v>344840</v>
      </c>
    </row>
    <row r="824" spans="1:66" x14ac:dyDescent="0.25">
      <c r="A824" t="s">
        <v>65</v>
      </c>
      <c r="B824" t="s">
        <v>2647</v>
      </c>
      <c r="F824" s="2"/>
      <c r="G824" s="3">
        <v>46007.618835995374</v>
      </c>
      <c r="H824" s="3">
        <v>46007.618836076392</v>
      </c>
      <c r="I824" s="4" t="s">
        <v>67</v>
      </c>
      <c r="J824" t="s">
        <v>67</v>
      </c>
      <c r="K824" t="s">
        <v>67</v>
      </c>
      <c r="L824" t="s">
        <v>654</v>
      </c>
      <c r="M824" t="s">
        <v>655</v>
      </c>
      <c r="N824" t="s">
        <v>67</v>
      </c>
      <c r="O824" t="s">
        <v>656</v>
      </c>
      <c r="P824" t="s">
        <v>657</v>
      </c>
      <c r="Q824" t="s">
        <v>658</v>
      </c>
      <c r="R824" t="s">
        <v>67</v>
      </c>
      <c r="S824" s="5"/>
      <c r="T824" t="s">
        <v>72</v>
      </c>
      <c r="U824" t="s">
        <v>87</v>
      </c>
      <c r="V824" t="s">
        <v>74</v>
      </c>
      <c r="W824" t="s">
        <v>87</v>
      </c>
      <c r="AE824" s="2"/>
      <c r="AF824" s="2"/>
      <c r="AG824" s="2"/>
      <c r="AH824" s="2"/>
      <c r="AK824" t="s">
        <v>2648</v>
      </c>
      <c r="AL824" s="2">
        <v>1885210</v>
      </c>
      <c r="AM824" s="2">
        <v>0</v>
      </c>
      <c r="AN824" s="2"/>
      <c r="AO824" s="2">
        <v>0</v>
      </c>
      <c r="AP824" s="2">
        <v>1885210</v>
      </c>
      <c r="AQ824" s="2">
        <v>0</v>
      </c>
      <c r="AR824" s="2">
        <v>0</v>
      </c>
      <c r="AS824" s="2">
        <v>0</v>
      </c>
      <c r="AT824" s="2">
        <v>0</v>
      </c>
      <c r="AU824" s="2">
        <v>0</v>
      </c>
      <c r="AV824" s="2">
        <v>0</v>
      </c>
      <c r="AW824" s="4"/>
      <c r="AX824" t="s">
        <v>75</v>
      </c>
      <c r="AZ824" t="s">
        <v>226</v>
      </c>
      <c r="BA824" t="s">
        <v>67</v>
      </c>
      <c r="BB824" t="s">
        <v>227</v>
      </c>
      <c r="BC824" t="s">
        <v>93</v>
      </c>
      <c r="BD824" t="s">
        <v>79</v>
      </c>
      <c r="BE824" t="s">
        <v>228</v>
      </c>
      <c r="BF824" s="5">
        <v>46813</v>
      </c>
      <c r="BH824">
        <v>3</v>
      </c>
      <c r="BI824" s="6">
        <v>545000</v>
      </c>
      <c r="BJ824" s="6">
        <v>37</v>
      </c>
      <c r="BK824" s="6">
        <v>201650</v>
      </c>
      <c r="BL824" s="6">
        <v>343350</v>
      </c>
      <c r="BM824" s="2">
        <v>1030050</v>
      </c>
      <c r="BN824">
        <f>InvoiceTable[[#This Row],[Giảm giá]]*InvoiceTable[[#This Row],[Số lượng]]</f>
        <v>604950</v>
      </c>
    </row>
    <row r="825" spans="1:66" x14ac:dyDescent="0.25">
      <c r="A825" t="s">
        <v>65</v>
      </c>
      <c r="B825" t="s">
        <v>2653</v>
      </c>
      <c r="F825" s="2"/>
      <c r="G825" s="3">
        <v>46007.578287349534</v>
      </c>
      <c r="H825" s="3">
        <v>46007.57828746528</v>
      </c>
      <c r="I825" s="4" t="s">
        <v>67</v>
      </c>
      <c r="J825" t="s">
        <v>67</v>
      </c>
      <c r="K825" t="s">
        <v>67</v>
      </c>
      <c r="L825" t="s">
        <v>1353</v>
      </c>
      <c r="M825" t="s">
        <v>1354</v>
      </c>
      <c r="N825" t="s">
        <v>1355</v>
      </c>
      <c r="O825" t="s">
        <v>1356</v>
      </c>
      <c r="P825" t="s">
        <v>1357</v>
      </c>
      <c r="S825" s="5"/>
      <c r="T825" t="s">
        <v>72</v>
      </c>
      <c r="U825" t="s">
        <v>102</v>
      </c>
      <c r="V825" t="s">
        <v>74</v>
      </c>
      <c r="W825" t="s">
        <v>102</v>
      </c>
      <c r="AE825" s="2"/>
      <c r="AF825" s="2"/>
      <c r="AG825" s="2"/>
      <c r="AH825" s="2"/>
      <c r="AK825" t="s">
        <v>2654</v>
      </c>
      <c r="AL825" s="2">
        <v>248950</v>
      </c>
      <c r="AM825" s="2">
        <v>0</v>
      </c>
      <c r="AN825" s="2"/>
      <c r="AO825" s="2">
        <v>0</v>
      </c>
      <c r="AP825" s="2">
        <v>248950</v>
      </c>
      <c r="AQ825" s="2">
        <v>0</v>
      </c>
      <c r="AR825" s="2">
        <v>0</v>
      </c>
      <c r="AS825" s="2">
        <v>0</v>
      </c>
      <c r="AT825" s="2">
        <v>0</v>
      </c>
      <c r="AU825" s="2">
        <v>0</v>
      </c>
      <c r="AV825" s="2">
        <v>0</v>
      </c>
      <c r="AW825" s="4"/>
      <c r="AX825" t="s">
        <v>75</v>
      </c>
      <c r="AZ825" t="s">
        <v>2340</v>
      </c>
      <c r="BA825" t="s">
        <v>67</v>
      </c>
      <c r="BB825" t="s">
        <v>2341</v>
      </c>
      <c r="BC825" t="s">
        <v>93</v>
      </c>
      <c r="BD825" t="s">
        <v>79</v>
      </c>
      <c r="BE825" t="s">
        <v>198</v>
      </c>
      <c r="BF825" s="5">
        <v>46753</v>
      </c>
      <c r="BH825">
        <v>1</v>
      </c>
      <c r="BI825" s="6">
        <v>383000</v>
      </c>
      <c r="BJ825" s="6">
        <v>35</v>
      </c>
      <c r="BK825" s="6">
        <v>134050</v>
      </c>
      <c r="BL825" s="6">
        <v>248950</v>
      </c>
      <c r="BM825" s="2">
        <v>248950</v>
      </c>
      <c r="BN825">
        <f>InvoiceTable[[#This Row],[Giảm giá]]*InvoiceTable[[#This Row],[Số lượng]]</f>
        <v>134050</v>
      </c>
    </row>
    <row r="826" spans="1:66" x14ac:dyDescent="0.25">
      <c r="A826" t="s">
        <v>65</v>
      </c>
      <c r="B826" t="s">
        <v>2655</v>
      </c>
      <c r="F826" s="2"/>
      <c r="G826" s="3">
        <v>46007.573374224536</v>
      </c>
      <c r="H826" s="3">
        <v>46007.573374305553</v>
      </c>
      <c r="I826" s="4" t="s">
        <v>67</v>
      </c>
      <c r="J826" t="s">
        <v>67</v>
      </c>
      <c r="K826" t="s">
        <v>67</v>
      </c>
      <c r="L826" t="s">
        <v>111</v>
      </c>
      <c r="M826" t="s">
        <v>112</v>
      </c>
      <c r="N826" t="s">
        <v>67</v>
      </c>
      <c r="O826" t="s">
        <v>113</v>
      </c>
      <c r="P826" t="s">
        <v>114</v>
      </c>
      <c r="Q826" t="s">
        <v>67</v>
      </c>
      <c r="R826" t="s">
        <v>67</v>
      </c>
      <c r="S826" s="5"/>
      <c r="T826" t="s">
        <v>72</v>
      </c>
      <c r="U826" t="s">
        <v>87</v>
      </c>
      <c r="V826" t="s">
        <v>74</v>
      </c>
      <c r="W826" t="s">
        <v>87</v>
      </c>
      <c r="AE826" s="2"/>
      <c r="AF826" s="2"/>
      <c r="AG826" s="2"/>
      <c r="AH826" s="2"/>
      <c r="AL826" s="2">
        <v>990000</v>
      </c>
      <c r="AM826" s="2">
        <v>0</v>
      </c>
      <c r="AN826" s="2"/>
      <c r="AO826" s="2">
        <v>0</v>
      </c>
      <c r="AP826" s="2">
        <v>990000</v>
      </c>
      <c r="AQ826" s="2">
        <v>0</v>
      </c>
      <c r="AR826" s="2">
        <v>0</v>
      </c>
      <c r="AS826" s="2">
        <v>0</v>
      </c>
      <c r="AT826" s="2">
        <v>0</v>
      </c>
      <c r="AU826" s="2">
        <v>0</v>
      </c>
      <c r="AV826" s="2">
        <v>0</v>
      </c>
      <c r="AW826" s="4"/>
      <c r="AX826" t="s">
        <v>75</v>
      </c>
      <c r="AZ826" t="s">
        <v>2656</v>
      </c>
      <c r="BA826" t="s">
        <v>67</v>
      </c>
      <c r="BB826" t="s">
        <v>2657</v>
      </c>
      <c r="BC826" t="s">
        <v>138</v>
      </c>
      <c r="BD826" t="s">
        <v>79</v>
      </c>
      <c r="BE826" t="s">
        <v>434</v>
      </c>
      <c r="BF826" s="5">
        <v>46661</v>
      </c>
      <c r="BH826">
        <v>2</v>
      </c>
      <c r="BI826" s="6">
        <v>990000</v>
      </c>
      <c r="BJ826" s="6">
        <v>50</v>
      </c>
      <c r="BK826" s="6">
        <v>495000</v>
      </c>
      <c r="BL826" s="6">
        <v>495000</v>
      </c>
      <c r="BM826" s="2">
        <v>990000</v>
      </c>
      <c r="BN826">
        <f>InvoiceTable[[#This Row],[Giảm giá]]*InvoiceTable[[#This Row],[Số lượng]]</f>
        <v>990000</v>
      </c>
    </row>
    <row r="827" spans="1:66" x14ac:dyDescent="0.25">
      <c r="A827" t="s">
        <v>65</v>
      </c>
      <c r="B827" t="s">
        <v>2658</v>
      </c>
      <c r="F827" s="2"/>
      <c r="G827" s="3">
        <v>46007.572364386571</v>
      </c>
      <c r="H827" s="3">
        <v>46007.572364502317</v>
      </c>
      <c r="I827" s="4" t="s">
        <v>67</v>
      </c>
      <c r="J827" t="s">
        <v>2659</v>
      </c>
      <c r="K827" t="s">
        <v>67</v>
      </c>
      <c r="L827" t="s">
        <v>914</v>
      </c>
      <c r="M827" t="s">
        <v>915</v>
      </c>
      <c r="N827" t="s">
        <v>916</v>
      </c>
      <c r="O827" t="s">
        <v>917</v>
      </c>
      <c r="P827" t="s">
        <v>918</v>
      </c>
      <c r="S827" s="5"/>
      <c r="T827" t="s">
        <v>72</v>
      </c>
      <c r="U827" t="s">
        <v>87</v>
      </c>
      <c r="V827" t="s">
        <v>74</v>
      </c>
      <c r="W827" t="s">
        <v>87</v>
      </c>
      <c r="AE827" s="2"/>
      <c r="AF827" s="2"/>
      <c r="AG827" s="2"/>
      <c r="AH827" s="2"/>
      <c r="AL827" s="2">
        <v>1611750</v>
      </c>
      <c r="AM827" s="2">
        <v>0</v>
      </c>
      <c r="AN827" s="2"/>
      <c r="AO827" s="2">
        <v>0</v>
      </c>
      <c r="AP827" s="2">
        <v>1611750</v>
      </c>
      <c r="AQ827" s="2">
        <v>0</v>
      </c>
      <c r="AR827" s="2">
        <v>0</v>
      </c>
      <c r="AS827" s="2">
        <v>0</v>
      </c>
      <c r="AT827" s="2">
        <v>0</v>
      </c>
      <c r="AU827" s="2">
        <v>0</v>
      </c>
      <c r="AV827" s="2">
        <v>0</v>
      </c>
      <c r="AW827" s="4"/>
      <c r="AX827" t="s">
        <v>75</v>
      </c>
      <c r="AZ827" t="s">
        <v>2660</v>
      </c>
      <c r="BA827" t="s">
        <v>67</v>
      </c>
      <c r="BB827" t="s">
        <v>2661</v>
      </c>
      <c r="BC827" t="s">
        <v>138</v>
      </c>
      <c r="BD827" t="s">
        <v>79</v>
      </c>
      <c r="BE827" t="s">
        <v>142</v>
      </c>
      <c r="BF827" s="5">
        <v>46844</v>
      </c>
      <c r="BH827">
        <v>1</v>
      </c>
      <c r="BI827" s="6">
        <v>1150000</v>
      </c>
      <c r="BJ827" s="6">
        <v>45</v>
      </c>
      <c r="BK827" s="6">
        <v>517500</v>
      </c>
      <c r="BL827" s="6">
        <v>632500</v>
      </c>
      <c r="BM827" s="2">
        <v>632500</v>
      </c>
      <c r="BN827">
        <f>InvoiceTable[[#This Row],[Giảm giá]]*InvoiceTable[[#This Row],[Số lượng]]</f>
        <v>517500</v>
      </c>
    </row>
    <row r="828" spans="1:66" x14ac:dyDescent="0.25">
      <c r="A828" t="s">
        <v>65</v>
      </c>
      <c r="B828" t="s">
        <v>2658</v>
      </c>
      <c r="F828" s="2"/>
      <c r="G828" s="3">
        <v>46007.572364386571</v>
      </c>
      <c r="H828" s="3">
        <v>46007.572364502317</v>
      </c>
      <c r="I828" s="4" t="s">
        <v>67</v>
      </c>
      <c r="J828" t="s">
        <v>2659</v>
      </c>
      <c r="K828" t="s">
        <v>67</v>
      </c>
      <c r="L828" t="s">
        <v>914</v>
      </c>
      <c r="M828" t="s">
        <v>915</v>
      </c>
      <c r="N828" t="s">
        <v>916</v>
      </c>
      <c r="O828" t="s">
        <v>917</v>
      </c>
      <c r="P828" t="s">
        <v>918</v>
      </c>
      <c r="S828" s="5"/>
      <c r="T828" t="s">
        <v>72</v>
      </c>
      <c r="U828" t="s">
        <v>87</v>
      </c>
      <c r="V828" t="s">
        <v>74</v>
      </c>
      <c r="W828" t="s">
        <v>87</v>
      </c>
      <c r="AE828" s="2"/>
      <c r="AF828" s="2"/>
      <c r="AG828" s="2"/>
      <c r="AH828" s="2"/>
      <c r="AL828" s="2">
        <v>1611750</v>
      </c>
      <c r="AM828" s="2">
        <v>0</v>
      </c>
      <c r="AN828" s="2"/>
      <c r="AO828" s="2">
        <v>0</v>
      </c>
      <c r="AP828" s="2">
        <v>1611750</v>
      </c>
      <c r="AQ828" s="2">
        <v>0</v>
      </c>
      <c r="AR828" s="2">
        <v>0</v>
      </c>
      <c r="AS828" s="2">
        <v>0</v>
      </c>
      <c r="AT828" s="2">
        <v>0</v>
      </c>
      <c r="AU828" s="2">
        <v>0</v>
      </c>
      <c r="AV828" s="2">
        <v>0</v>
      </c>
      <c r="AW828" s="4"/>
      <c r="AX828" t="s">
        <v>75</v>
      </c>
      <c r="AZ828" t="s">
        <v>2662</v>
      </c>
      <c r="BB828" t="s">
        <v>2663</v>
      </c>
      <c r="BC828" t="s">
        <v>187</v>
      </c>
      <c r="BD828" t="s">
        <v>79</v>
      </c>
      <c r="BE828" t="s">
        <v>2664</v>
      </c>
      <c r="BF828" s="5">
        <v>46946</v>
      </c>
      <c r="BG828" t="s">
        <v>67</v>
      </c>
      <c r="BH828">
        <v>2</v>
      </c>
      <c r="BI828" s="6">
        <v>450000</v>
      </c>
      <c r="BJ828" s="6">
        <v>50</v>
      </c>
      <c r="BK828" s="6">
        <v>225000</v>
      </c>
      <c r="BL828" s="6">
        <v>225000</v>
      </c>
      <c r="BM828" s="2">
        <v>450000</v>
      </c>
      <c r="BN828">
        <f>InvoiceTable[[#This Row],[Giảm giá]]*InvoiceTable[[#This Row],[Số lượng]]</f>
        <v>450000</v>
      </c>
    </row>
    <row r="829" spans="1:66" x14ac:dyDescent="0.25">
      <c r="A829" t="s">
        <v>65</v>
      </c>
      <c r="B829" t="s">
        <v>2658</v>
      </c>
      <c r="F829" s="2"/>
      <c r="G829" s="3">
        <v>46007.572364386571</v>
      </c>
      <c r="H829" s="3">
        <v>46007.572364502317</v>
      </c>
      <c r="I829" s="4" t="s">
        <v>67</v>
      </c>
      <c r="J829" t="s">
        <v>2659</v>
      </c>
      <c r="K829" t="s">
        <v>67</v>
      </c>
      <c r="L829" t="s">
        <v>914</v>
      </c>
      <c r="M829" t="s">
        <v>915</v>
      </c>
      <c r="N829" t="s">
        <v>916</v>
      </c>
      <c r="O829" t="s">
        <v>917</v>
      </c>
      <c r="P829" t="s">
        <v>918</v>
      </c>
      <c r="S829" s="5"/>
      <c r="T829" t="s">
        <v>72</v>
      </c>
      <c r="U829" t="s">
        <v>87</v>
      </c>
      <c r="V829" t="s">
        <v>74</v>
      </c>
      <c r="W829" t="s">
        <v>87</v>
      </c>
      <c r="AE829" s="2"/>
      <c r="AF829" s="2"/>
      <c r="AG829" s="2"/>
      <c r="AH829" s="2"/>
      <c r="AL829" s="2">
        <v>1611750</v>
      </c>
      <c r="AM829" s="2">
        <v>0</v>
      </c>
      <c r="AN829" s="2"/>
      <c r="AO829" s="2">
        <v>0</v>
      </c>
      <c r="AP829" s="2">
        <v>1611750</v>
      </c>
      <c r="AQ829" s="2">
        <v>0</v>
      </c>
      <c r="AR829" s="2">
        <v>0</v>
      </c>
      <c r="AS829" s="2">
        <v>0</v>
      </c>
      <c r="AT829" s="2">
        <v>0</v>
      </c>
      <c r="AU829" s="2">
        <v>0</v>
      </c>
      <c r="AV829" s="2">
        <v>0</v>
      </c>
      <c r="AW829" s="4"/>
      <c r="AX829" t="s">
        <v>75</v>
      </c>
      <c r="AZ829" t="s">
        <v>929</v>
      </c>
      <c r="BA829" t="s">
        <v>67</v>
      </c>
      <c r="BB829" t="s">
        <v>930</v>
      </c>
      <c r="BC829" t="s">
        <v>187</v>
      </c>
      <c r="BD829" t="s">
        <v>79</v>
      </c>
      <c r="BE829" t="s">
        <v>188</v>
      </c>
      <c r="BF829" s="5">
        <v>46905</v>
      </c>
      <c r="BH829">
        <v>1</v>
      </c>
      <c r="BI829" s="6">
        <v>690000</v>
      </c>
      <c r="BJ829" s="6">
        <v>50</v>
      </c>
      <c r="BK829" s="6">
        <v>345000</v>
      </c>
      <c r="BL829" s="6">
        <v>345000</v>
      </c>
      <c r="BM829" s="2">
        <v>345000</v>
      </c>
      <c r="BN829">
        <f>InvoiceTable[[#This Row],[Giảm giá]]*InvoiceTable[[#This Row],[Số lượng]]</f>
        <v>345000</v>
      </c>
    </row>
    <row r="830" spans="1:66" x14ac:dyDescent="0.25">
      <c r="A830" t="s">
        <v>65</v>
      </c>
      <c r="B830" t="s">
        <v>2658</v>
      </c>
      <c r="F830" s="2"/>
      <c r="G830" s="3">
        <v>46007.572364386571</v>
      </c>
      <c r="H830" s="3">
        <v>46007.572364502317</v>
      </c>
      <c r="I830" s="4" t="s">
        <v>67</v>
      </c>
      <c r="J830" t="s">
        <v>2659</v>
      </c>
      <c r="K830" t="s">
        <v>67</v>
      </c>
      <c r="L830" t="s">
        <v>914</v>
      </c>
      <c r="M830" t="s">
        <v>915</v>
      </c>
      <c r="N830" t="s">
        <v>916</v>
      </c>
      <c r="O830" t="s">
        <v>917</v>
      </c>
      <c r="P830" t="s">
        <v>918</v>
      </c>
      <c r="S830" s="5"/>
      <c r="T830" t="s">
        <v>72</v>
      </c>
      <c r="U830" t="s">
        <v>87</v>
      </c>
      <c r="V830" t="s">
        <v>74</v>
      </c>
      <c r="W830" t="s">
        <v>87</v>
      </c>
      <c r="AE830" s="2"/>
      <c r="AF830" s="2"/>
      <c r="AG830" s="2"/>
      <c r="AH830" s="2"/>
      <c r="AL830" s="2">
        <v>1611750</v>
      </c>
      <c r="AM830" s="2">
        <v>0</v>
      </c>
      <c r="AN830" s="2"/>
      <c r="AO830" s="2">
        <v>0</v>
      </c>
      <c r="AP830" s="2">
        <v>1611750</v>
      </c>
      <c r="AQ830" s="2">
        <v>0</v>
      </c>
      <c r="AR830" s="2">
        <v>0</v>
      </c>
      <c r="AS830" s="2">
        <v>0</v>
      </c>
      <c r="AT830" s="2">
        <v>0</v>
      </c>
      <c r="AU830" s="2">
        <v>0</v>
      </c>
      <c r="AV830" s="2">
        <v>0</v>
      </c>
      <c r="AW830" s="4"/>
      <c r="AX830" t="s">
        <v>75</v>
      </c>
      <c r="AZ830" t="s">
        <v>2665</v>
      </c>
      <c r="BA830" t="s">
        <v>67</v>
      </c>
      <c r="BB830" t="s">
        <v>2666</v>
      </c>
      <c r="BC830" t="s">
        <v>2582</v>
      </c>
      <c r="BD830" t="s">
        <v>79</v>
      </c>
      <c r="BE830" t="s">
        <v>142</v>
      </c>
      <c r="BF830" s="5">
        <v>46844</v>
      </c>
      <c r="BG830" t="s">
        <v>67</v>
      </c>
      <c r="BH830">
        <v>1</v>
      </c>
      <c r="BI830" s="6">
        <v>335000</v>
      </c>
      <c r="BJ830" s="6">
        <v>45</v>
      </c>
      <c r="BK830" s="6">
        <v>150750</v>
      </c>
      <c r="BL830" s="6">
        <v>184250</v>
      </c>
      <c r="BM830" s="2">
        <v>184250</v>
      </c>
      <c r="BN830">
        <f>InvoiceTable[[#This Row],[Giảm giá]]*InvoiceTable[[#This Row],[Số lượng]]</f>
        <v>150750</v>
      </c>
    </row>
    <row r="831" spans="1:66" x14ac:dyDescent="0.25">
      <c r="A831" t="s">
        <v>65</v>
      </c>
      <c r="B831" t="s">
        <v>2667</v>
      </c>
      <c r="F831" s="2"/>
      <c r="G831" s="3">
        <v>46007.571665625001</v>
      </c>
      <c r="H831" s="3">
        <v>46007.571665706018</v>
      </c>
      <c r="I831" s="4" t="s">
        <v>2668</v>
      </c>
      <c r="J831" t="s">
        <v>67</v>
      </c>
      <c r="K831" t="s">
        <v>67</v>
      </c>
      <c r="L831" t="s">
        <v>2346</v>
      </c>
      <c r="M831" t="s">
        <v>2347</v>
      </c>
      <c r="N831" t="s">
        <v>2348</v>
      </c>
      <c r="O831" t="s">
        <v>2349</v>
      </c>
      <c r="P831" t="s">
        <v>2350</v>
      </c>
      <c r="S831" s="5"/>
      <c r="T831" t="s">
        <v>72</v>
      </c>
      <c r="U831" t="s">
        <v>87</v>
      </c>
      <c r="V831" t="s">
        <v>74</v>
      </c>
      <c r="W831" t="s">
        <v>87</v>
      </c>
      <c r="AE831" s="2"/>
      <c r="AF831" s="2"/>
      <c r="AG831" s="2"/>
      <c r="AH831" s="2"/>
      <c r="AK831" t="s">
        <v>2669</v>
      </c>
      <c r="AL831" s="2">
        <v>342000</v>
      </c>
      <c r="AM831" s="2">
        <v>0</v>
      </c>
      <c r="AN831" s="2"/>
      <c r="AO831" s="2">
        <v>0</v>
      </c>
      <c r="AP831" s="2">
        <v>342000</v>
      </c>
      <c r="AQ831" s="2">
        <v>342000</v>
      </c>
      <c r="AR831" s="2">
        <v>0</v>
      </c>
      <c r="AS831" s="2">
        <v>0</v>
      </c>
      <c r="AT831" s="2">
        <v>0</v>
      </c>
      <c r="AU831" s="2">
        <v>342000</v>
      </c>
      <c r="AV831" s="2">
        <v>0</v>
      </c>
      <c r="AW831" s="4"/>
      <c r="AX831" t="s">
        <v>75</v>
      </c>
      <c r="AZ831" t="s">
        <v>691</v>
      </c>
      <c r="BA831" t="s">
        <v>67</v>
      </c>
      <c r="BB831" t="s">
        <v>692</v>
      </c>
      <c r="BC831" t="s">
        <v>215</v>
      </c>
      <c r="BD831" t="s">
        <v>79</v>
      </c>
      <c r="BE831" t="s">
        <v>216</v>
      </c>
      <c r="BF831" s="5">
        <v>46784</v>
      </c>
      <c r="BH831">
        <v>1</v>
      </c>
      <c r="BI831" s="6">
        <v>760000</v>
      </c>
      <c r="BJ831" s="6">
        <v>55</v>
      </c>
      <c r="BK831" s="6">
        <v>418000</v>
      </c>
      <c r="BL831" s="6">
        <v>342000</v>
      </c>
      <c r="BM831" s="2">
        <v>342000</v>
      </c>
      <c r="BN831">
        <f>InvoiceTable[[#This Row],[Giảm giá]]*InvoiceTable[[#This Row],[Số lượng]]</f>
        <v>418000</v>
      </c>
    </row>
    <row r="832" spans="1:66" x14ac:dyDescent="0.25">
      <c r="A832" t="s">
        <v>65</v>
      </c>
      <c r="B832" t="s">
        <v>2670</v>
      </c>
      <c r="F832" s="2"/>
      <c r="G832" s="3">
        <v>46007.571299884257</v>
      </c>
      <c r="H832" s="3">
        <v>46007.571300000003</v>
      </c>
      <c r="I832" s="4" t="s">
        <v>67</v>
      </c>
      <c r="J832" t="s">
        <v>67</v>
      </c>
      <c r="K832" t="s">
        <v>67</v>
      </c>
      <c r="L832" t="s">
        <v>2671</v>
      </c>
      <c r="M832" t="s">
        <v>2672</v>
      </c>
      <c r="N832" t="s">
        <v>67</v>
      </c>
      <c r="O832" t="s">
        <v>2673</v>
      </c>
      <c r="P832" t="s">
        <v>2674</v>
      </c>
      <c r="S832" s="5"/>
      <c r="T832" t="s">
        <v>72</v>
      </c>
      <c r="U832" t="s">
        <v>87</v>
      </c>
      <c r="V832" t="s">
        <v>74</v>
      </c>
      <c r="W832" t="s">
        <v>87</v>
      </c>
      <c r="AE832" s="2"/>
      <c r="AF832" s="2"/>
      <c r="AG832" s="2"/>
      <c r="AH832" s="2"/>
      <c r="AL832" s="2">
        <v>270000</v>
      </c>
      <c r="AM832" s="2">
        <v>0</v>
      </c>
      <c r="AN832" s="2"/>
      <c r="AO832" s="2">
        <v>0</v>
      </c>
      <c r="AP832" s="2">
        <v>270000</v>
      </c>
      <c r="AQ832" s="2">
        <v>0</v>
      </c>
      <c r="AR832" s="2">
        <v>0</v>
      </c>
      <c r="AS832" s="2">
        <v>0</v>
      </c>
      <c r="AT832" s="2">
        <v>0</v>
      </c>
      <c r="AU832" s="2">
        <v>0</v>
      </c>
      <c r="AV832" s="2">
        <v>0</v>
      </c>
      <c r="AW832" s="4"/>
      <c r="AX832" t="s">
        <v>75</v>
      </c>
      <c r="AZ832" t="s">
        <v>710</v>
      </c>
      <c r="BA832" t="s">
        <v>67</v>
      </c>
      <c r="BB832" t="s">
        <v>711</v>
      </c>
      <c r="BC832" t="s">
        <v>204</v>
      </c>
      <c r="BD832" t="s">
        <v>79</v>
      </c>
      <c r="BE832" t="s">
        <v>273</v>
      </c>
      <c r="BF832" s="5">
        <v>46266</v>
      </c>
      <c r="BH832">
        <v>1</v>
      </c>
      <c r="BI832" s="6">
        <v>850000</v>
      </c>
      <c r="BJ832" s="6">
        <v>0</v>
      </c>
      <c r="BK832" s="6">
        <v>580000</v>
      </c>
      <c r="BL832" s="6">
        <v>270000</v>
      </c>
      <c r="BM832" s="2">
        <v>270000</v>
      </c>
      <c r="BN832">
        <f>InvoiceTable[[#This Row],[Giảm giá]]*InvoiceTable[[#This Row],[Số lượng]]</f>
        <v>580000</v>
      </c>
    </row>
    <row r="833" spans="1:66" x14ac:dyDescent="0.25">
      <c r="A833" t="s">
        <v>65</v>
      </c>
      <c r="B833" t="s">
        <v>2675</v>
      </c>
      <c r="F833" s="2"/>
      <c r="G833" s="3">
        <v>46007.570663576385</v>
      </c>
      <c r="H833" s="3">
        <v>46007.570663692131</v>
      </c>
      <c r="I833" s="4" t="s">
        <v>67</v>
      </c>
      <c r="J833" t="s">
        <v>67</v>
      </c>
      <c r="K833" t="s">
        <v>67</v>
      </c>
      <c r="L833" t="s">
        <v>2671</v>
      </c>
      <c r="M833" t="s">
        <v>2672</v>
      </c>
      <c r="N833" t="s">
        <v>67</v>
      </c>
      <c r="O833" t="s">
        <v>2673</v>
      </c>
      <c r="P833" t="s">
        <v>2674</v>
      </c>
      <c r="S833" s="5"/>
      <c r="T833" t="s">
        <v>72</v>
      </c>
      <c r="U833" t="s">
        <v>87</v>
      </c>
      <c r="V833" t="s">
        <v>74</v>
      </c>
      <c r="W833" t="s">
        <v>87</v>
      </c>
      <c r="AE833" s="2"/>
      <c r="AF833" s="2"/>
      <c r="AG833" s="2"/>
      <c r="AH833" s="2"/>
      <c r="AL833" s="2">
        <v>1105000</v>
      </c>
      <c r="AM833" s="2">
        <v>0</v>
      </c>
      <c r="AN833" s="2"/>
      <c r="AO833" s="2">
        <v>0</v>
      </c>
      <c r="AP833" s="2">
        <v>1105000</v>
      </c>
      <c r="AQ833" s="2">
        <v>0</v>
      </c>
      <c r="AR833" s="2">
        <v>0</v>
      </c>
      <c r="AS833" s="2">
        <v>0</v>
      </c>
      <c r="AT833" s="2">
        <v>0</v>
      </c>
      <c r="AU833" s="2">
        <v>0</v>
      </c>
      <c r="AV833" s="2">
        <v>0</v>
      </c>
      <c r="AW833" s="4"/>
      <c r="AX833" t="s">
        <v>75</v>
      </c>
      <c r="AZ833" t="s">
        <v>435</v>
      </c>
      <c r="BA833" t="s">
        <v>67</v>
      </c>
      <c r="BB833" t="s">
        <v>436</v>
      </c>
      <c r="BC833" t="s">
        <v>437</v>
      </c>
      <c r="BD833" t="s">
        <v>79</v>
      </c>
      <c r="BE833" t="s">
        <v>142</v>
      </c>
      <c r="BF833" s="5">
        <v>46844</v>
      </c>
      <c r="BH833">
        <v>1</v>
      </c>
      <c r="BI833" s="6">
        <v>1200000</v>
      </c>
      <c r="BJ833" s="6">
        <v>0</v>
      </c>
      <c r="BK833" s="6">
        <v>550000</v>
      </c>
      <c r="BL833" s="6">
        <v>650000</v>
      </c>
      <c r="BM833" s="2">
        <v>650000</v>
      </c>
      <c r="BN833">
        <f>InvoiceTable[[#This Row],[Giảm giá]]*InvoiceTable[[#This Row],[Số lượng]]</f>
        <v>550000</v>
      </c>
    </row>
    <row r="834" spans="1:66" x14ac:dyDescent="0.25">
      <c r="A834" t="s">
        <v>65</v>
      </c>
      <c r="B834" t="s">
        <v>2675</v>
      </c>
      <c r="F834" s="2"/>
      <c r="G834" s="3">
        <v>46007.570663576385</v>
      </c>
      <c r="H834" s="3">
        <v>46007.570663692131</v>
      </c>
      <c r="I834" s="4" t="s">
        <v>67</v>
      </c>
      <c r="J834" t="s">
        <v>67</v>
      </c>
      <c r="K834" t="s">
        <v>67</v>
      </c>
      <c r="L834" t="s">
        <v>2671</v>
      </c>
      <c r="M834" t="s">
        <v>2672</v>
      </c>
      <c r="N834" t="s">
        <v>67</v>
      </c>
      <c r="O834" t="s">
        <v>2673</v>
      </c>
      <c r="P834" t="s">
        <v>2674</v>
      </c>
      <c r="S834" s="5"/>
      <c r="T834" t="s">
        <v>72</v>
      </c>
      <c r="U834" t="s">
        <v>87</v>
      </c>
      <c r="V834" t="s">
        <v>74</v>
      </c>
      <c r="W834" t="s">
        <v>87</v>
      </c>
      <c r="AE834" s="2"/>
      <c r="AF834" s="2"/>
      <c r="AG834" s="2"/>
      <c r="AH834" s="2"/>
      <c r="AL834" s="2">
        <v>1105000</v>
      </c>
      <c r="AM834" s="2">
        <v>0</v>
      </c>
      <c r="AN834" s="2"/>
      <c r="AO834" s="2">
        <v>0</v>
      </c>
      <c r="AP834" s="2">
        <v>1105000</v>
      </c>
      <c r="AQ834" s="2">
        <v>0</v>
      </c>
      <c r="AR834" s="2">
        <v>0</v>
      </c>
      <c r="AS834" s="2">
        <v>0</v>
      </c>
      <c r="AT834" s="2">
        <v>0</v>
      </c>
      <c r="AU834" s="2">
        <v>0</v>
      </c>
      <c r="AV834" s="2">
        <v>0</v>
      </c>
      <c r="AW834" s="4"/>
      <c r="AX834" t="s">
        <v>75</v>
      </c>
      <c r="AZ834" t="s">
        <v>2676</v>
      </c>
      <c r="BA834" t="s">
        <v>67</v>
      </c>
      <c r="BB834" t="s">
        <v>2677</v>
      </c>
      <c r="BC834" t="s">
        <v>2678</v>
      </c>
      <c r="BD834" t="s">
        <v>79</v>
      </c>
      <c r="BE834" t="s">
        <v>168</v>
      </c>
      <c r="BF834" s="5">
        <v>46388</v>
      </c>
      <c r="BH834">
        <v>35</v>
      </c>
      <c r="BI834" s="6">
        <v>25000</v>
      </c>
      <c r="BJ834" s="6">
        <v>0</v>
      </c>
      <c r="BK834" s="6">
        <v>12000</v>
      </c>
      <c r="BL834" s="6">
        <v>13000</v>
      </c>
      <c r="BM834" s="2">
        <v>455000</v>
      </c>
      <c r="BN834">
        <f>InvoiceTable[[#This Row],[Giảm giá]]*InvoiceTable[[#This Row],[Số lượng]]</f>
        <v>420000</v>
      </c>
    </row>
    <row r="835" spans="1:66" x14ac:dyDescent="0.25">
      <c r="A835" t="s">
        <v>65</v>
      </c>
      <c r="B835" t="s">
        <v>2679</v>
      </c>
      <c r="F835" s="2"/>
      <c r="G835" s="3">
        <v>46007.569489317131</v>
      </c>
      <c r="H835" s="3">
        <v>46007.569489502312</v>
      </c>
      <c r="I835" s="4" t="s">
        <v>67</v>
      </c>
      <c r="J835" t="s">
        <v>67</v>
      </c>
      <c r="K835" t="s">
        <v>67</v>
      </c>
      <c r="L835" t="s">
        <v>569</v>
      </c>
      <c r="M835" t="s">
        <v>570</v>
      </c>
      <c r="N835" t="s">
        <v>67</v>
      </c>
      <c r="O835" t="s">
        <v>571</v>
      </c>
      <c r="P835" t="s">
        <v>572</v>
      </c>
      <c r="S835" s="5"/>
      <c r="T835" t="s">
        <v>72</v>
      </c>
      <c r="U835" t="s">
        <v>87</v>
      </c>
      <c r="V835" t="s">
        <v>74</v>
      </c>
      <c r="W835" t="s">
        <v>87</v>
      </c>
      <c r="AE835" s="2"/>
      <c r="AF835" s="2"/>
      <c r="AG835" s="2"/>
      <c r="AH835" s="2"/>
      <c r="AK835" t="s">
        <v>2680</v>
      </c>
      <c r="AL835" s="2">
        <v>5044410</v>
      </c>
      <c r="AM835" s="2">
        <v>0</v>
      </c>
      <c r="AN835" s="2"/>
      <c r="AO835" s="2">
        <v>0</v>
      </c>
      <c r="AP835" s="2">
        <v>5044410</v>
      </c>
      <c r="AQ835" s="2">
        <v>0</v>
      </c>
      <c r="AR835" s="2">
        <v>0</v>
      </c>
      <c r="AS835" s="2">
        <v>0</v>
      </c>
      <c r="AT835" s="2">
        <v>0</v>
      </c>
      <c r="AU835" s="2">
        <v>0</v>
      </c>
      <c r="AV835" s="2">
        <v>0</v>
      </c>
      <c r="AW835" s="4"/>
      <c r="AX835" t="s">
        <v>75</v>
      </c>
      <c r="AZ835" t="s">
        <v>224</v>
      </c>
      <c r="BA835" t="s">
        <v>67</v>
      </c>
      <c r="BB835" t="s">
        <v>225</v>
      </c>
      <c r="BC835" t="s">
        <v>93</v>
      </c>
      <c r="BD835" t="s">
        <v>79</v>
      </c>
      <c r="BE835" t="s">
        <v>216</v>
      </c>
      <c r="BF835" s="5">
        <v>46784</v>
      </c>
      <c r="BH835">
        <v>17</v>
      </c>
      <c r="BI835" s="6">
        <v>471000</v>
      </c>
      <c r="BJ835" s="6">
        <v>37</v>
      </c>
      <c r="BK835" s="6">
        <v>174270</v>
      </c>
      <c r="BL835" s="6">
        <v>296730</v>
      </c>
      <c r="BM835" s="2">
        <v>5044410</v>
      </c>
      <c r="BN835">
        <f>InvoiceTable[[#This Row],[Giảm giá]]*InvoiceTable[[#This Row],[Số lượng]]</f>
        <v>2962590</v>
      </c>
    </row>
    <row r="836" spans="1:66" x14ac:dyDescent="0.25">
      <c r="A836" t="s">
        <v>65</v>
      </c>
      <c r="B836" t="s">
        <v>2681</v>
      </c>
      <c r="F836" s="2"/>
      <c r="G836" s="3">
        <v>46007.54985304398</v>
      </c>
      <c r="H836" s="3">
        <v>46007.549853159719</v>
      </c>
      <c r="I836" s="4" t="s">
        <v>67</v>
      </c>
      <c r="J836" t="s">
        <v>67</v>
      </c>
      <c r="K836" t="s">
        <v>67</v>
      </c>
      <c r="L836" t="s">
        <v>1875</v>
      </c>
      <c r="M836" t="s">
        <v>1876</v>
      </c>
      <c r="N836" t="s">
        <v>67</v>
      </c>
      <c r="O836" t="s">
        <v>1877</v>
      </c>
      <c r="S836" s="5"/>
      <c r="T836" t="s">
        <v>72</v>
      </c>
      <c r="U836" t="s">
        <v>87</v>
      </c>
      <c r="V836" t="s">
        <v>74</v>
      </c>
      <c r="W836" t="s">
        <v>87</v>
      </c>
      <c r="AE836" s="2"/>
      <c r="AF836" s="2"/>
      <c r="AG836" s="2"/>
      <c r="AH836" s="2"/>
      <c r="AK836" t="s">
        <v>2682</v>
      </c>
      <c r="AL836" s="2">
        <v>1421300</v>
      </c>
      <c r="AM836" s="2">
        <v>0</v>
      </c>
      <c r="AN836" s="2"/>
      <c r="AO836" s="2">
        <v>0</v>
      </c>
      <c r="AP836" s="2">
        <v>1421300</v>
      </c>
      <c r="AQ836" s="2">
        <v>0</v>
      </c>
      <c r="AR836" s="2">
        <v>0</v>
      </c>
      <c r="AS836" s="2">
        <v>0</v>
      </c>
      <c r="AT836" s="2">
        <v>0</v>
      </c>
      <c r="AU836" s="2">
        <v>0</v>
      </c>
      <c r="AV836" s="2">
        <v>0</v>
      </c>
      <c r="AW836" s="4"/>
      <c r="AX836" t="s">
        <v>75</v>
      </c>
      <c r="AZ836" t="s">
        <v>2683</v>
      </c>
      <c r="BA836" t="s">
        <v>67</v>
      </c>
      <c r="BB836" t="s">
        <v>2684</v>
      </c>
      <c r="BC836" t="s">
        <v>93</v>
      </c>
      <c r="BD836" t="s">
        <v>79</v>
      </c>
      <c r="BE836" t="s">
        <v>94</v>
      </c>
      <c r="BF836" s="5">
        <v>46692</v>
      </c>
      <c r="BH836">
        <v>5</v>
      </c>
      <c r="BI836" s="6">
        <v>466000</v>
      </c>
      <c r="BJ836" s="6">
        <v>39</v>
      </c>
      <c r="BK836" s="6">
        <v>181740</v>
      </c>
      <c r="BL836" s="6">
        <v>284260</v>
      </c>
      <c r="BM836" s="2">
        <v>1421300</v>
      </c>
      <c r="BN836">
        <f>InvoiceTable[[#This Row],[Giảm giá]]*InvoiceTable[[#This Row],[Số lượng]]</f>
        <v>908700</v>
      </c>
    </row>
    <row r="837" spans="1:66" x14ac:dyDescent="0.25">
      <c r="A837" t="s">
        <v>65</v>
      </c>
      <c r="B837" t="s">
        <v>2685</v>
      </c>
      <c r="F837" s="2"/>
      <c r="G837" s="3">
        <v>46007.543899108794</v>
      </c>
      <c r="H837" s="3">
        <v>46007.54389922454</v>
      </c>
      <c r="I837" s="4" t="s">
        <v>67</v>
      </c>
      <c r="J837" t="s">
        <v>2686</v>
      </c>
      <c r="K837" t="s">
        <v>67</v>
      </c>
      <c r="L837" t="s">
        <v>1223</v>
      </c>
      <c r="M837" t="s">
        <v>1224</v>
      </c>
      <c r="N837" t="s">
        <v>1225</v>
      </c>
      <c r="O837" t="s">
        <v>1226</v>
      </c>
      <c r="P837" t="s">
        <v>1227</v>
      </c>
      <c r="S837" s="5"/>
      <c r="T837" t="s">
        <v>72</v>
      </c>
      <c r="U837" t="s">
        <v>102</v>
      </c>
      <c r="V837" t="s">
        <v>74</v>
      </c>
      <c r="W837" t="s">
        <v>87</v>
      </c>
      <c r="AE837" s="2"/>
      <c r="AF837" s="2"/>
      <c r="AG837" s="2"/>
      <c r="AH837" s="2"/>
      <c r="AK837" t="s">
        <v>2687</v>
      </c>
      <c r="AL837" s="2">
        <v>6620000</v>
      </c>
      <c r="AM837" s="2">
        <v>2648000</v>
      </c>
      <c r="AN837" s="2"/>
      <c r="AO837" s="2">
        <v>0</v>
      </c>
      <c r="AP837" s="2">
        <v>3972000</v>
      </c>
      <c r="AQ837" s="2">
        <v>0</v>
      </c>
      <c r="AR837" s="2">
        <v>0</v>
      </c>
      <c r="AS837" s="2">
        <v>0</v>
      </c>
      <c r="AT837" s="2">
        <v>0</v>
      </c>
      <c r="AU837" s="2">
        <v>0</v>
      </c>
      <c r="AV837" s="2">
        <v>0</v>
      </c>
      <c r="AW837" s="4"/>
      <c r="AX837" t="s">
        <v>75</v>
      </c>
      <c r="AZ837" t="s">
        <v>1072</v>
      </c>
      <c r="BA837" t="s">
        <v>67</v>
      </c>
      <c r="BB837" t="s">
        <v>1073</v>
      </c>
      <c r="BC837" t="s">
        <v>204</v>
      </c>
      <c r="BD837" t="s">
        <v>79</v>
      </c>
      <c r="BE837" t="s">
        <v>1074</v>
      </c>
      <c r="BF837" s="5">
        <v>47423</v>
      </c>
      <c r="BH837">
        <v>2</v>
      </c>
      <c r="BI837" s="6">
        <v>545000</v>
      </c>
      <c r="BJ837" s="6">
        <v>0</v>
      </c>
      <c r="BK837" s="6">
        <v>0</v>
      </c>
      <c r="BL837" s="6">
        <v>545000</v>
      </c>
      <c r="BM837" s="2">
        <v>1090000</v>
      </c>
      <c r="BN837">
        <f>InvoiceTable[[#This Row],[Giảm giá]]*InvoiceTable[[#This Row],[Số lượng]]</f>
        <v>0</v>
      </c>
    </row>
    <row r="838" spans="1:66" x14ac:dyDescent="0.25">
      <c r="A838" t="s">
        <v>65</v>
      </c>
      <c r="B838" t="s">
        <v>2685</v>
      </c>
      <c r="F838" s="2"/>
      <c r="G838" s="3">
        <v>46007.543899108794</v>
      </c>
      <c r="H838" s="3">
        <v>46007.54389922454</v>
      </c>
      <c r="I838" s="4" t="s">
        <v>67</v>
      </c>
      <c r="J838" t="s">
        <v>2686</v>
      </c>
      <c r="K838" t="s">
        <v>67</v>
      </c>
      <c r="L838" t="s">
        <v>1223</v>
      </c>
      <c r="M838" t="s">
        <v>1224</v>
      </c>
      <c r="N838" t="s">
        <v>1225</v>
      </c>
      <c r="O838" t="s">
        <v>1226</v>
      </c>
      <c r="P838" t="s">
        <v>1227</v>
      </c>
      <c r="S838" s="5"/>
      <c r="T838" t="s">
        <v>72</v>
      </c>
      <c r="U838" t="s">
        <v>102</v>
      </c>
      <c r="V838" t="s">
        <v>74</v>
      </c>
      <c r="W838" t="s">
        <v>87</v>
      </c>
      <c r="AE838" s="2"/>
      <c r="AF838" s="2"/>
      <c r="AG838" s="2"/>
      <c r="AH838" s="2"/>
      <c r="AK838" t="s">
        <v>2687</v>
      </c>
      <c r="AL838" s="2">
        <v>6620000</v>
      </c>
      <c r="AM838" s="2">
        <v>2648000</v>
      </c>
      <c r="AN838" s="2"/>
      <c r="AO838" s="2">
        <v>0</v>
      </c>
      <c r="AP838" s="2">
        <v>3972000</v>
      </c>
      <c r="AQ838" s="2">
        <v>0</v>
      </c>
      <c r="AR838" s="2">
        <v>0</v>
      </c>
      <c r="AS838" s="2">
        <v>0</v>
      </c>
      <c r="AT838" s="2">
        <v>0</v>
      </c>
      <c r="AU838" s="2">
        <v>0</v>
      </c>
      <c r="AV838" s="2">
        <v>0</v>
      </c>
      <c r="AW838" s="4"/>
      <c r="AX838" t="s">
        <v>75</v>
      </c>
      <c r="AZ838" t="s">
        <v>1470</v>
      </c>
      <c r="BA838" t="s">
        <v>67</v>
      </c>
      <c r="BB838" t="s">
        <v>1471</v>
      </c>
      <c r="BC838" t="s">
        <v>204</v>
      </c>
      <c r="BD838" t="s">
        <v>79</v>
      </c>
      <c r="BE838" t="s">
        <v>139</v>
      </c>
      <c r="BF838" s="5">
        <v>46447</v>
      </c>
      <c r="BH838">
        <v>2</v>
      </c>
      <c r="BI838" s="6">
        <v>330000</v>
      </c>
      <c r="BJ838" s="6">
        <v>0</v>
      </c>
      <c r="BK838" s="6">
        <v>0</v>
      </c>
      <c r="BL838" s="6">
        <v>330000</v>
      </c>
      <c r="BM838" s="2">
        <v>660000</v>
      </c>
      <c r="BN838">
        <f>InvoiceTable[[#This Row],[Giảm giá]]*InvoiceTable[[#This Row],[Số lượng]]</f>
        <v>0</v>
      </c>
    </row>
    <row r="839" spans="1:66" x14ac:dyDescent="0.25">
      <c r="A839" t="s">
        <v>65</v>
      </c>
      <c r="B839" t="s">
        <v>2685</v>
      </c>
      <c r="F839" s="2"/>
      <c r="G839" s="3">
        <v>46007.543899108794</v>
      </c>
      <c r="H839" s="3">
        <v>46007.54389922454</v>
      </c>
      <c r="I839" s="4" t="s">
        <v>67</v>
      </c>
      <c r="J839" t="s">
        <v>2686</v>
      </c>
      <c r="K839" t="s">
        <v>67</v>
      </c>
      <c r="L839" t="s">
        <v>1223</v>
      </c>
      <c r="M839" t="s">
        <v>1224</v>
      </c>
      <c r="N839" t="s">
        <v>1225</v>
      </c>
      <c r="O839" t="s">
        <v>1226</v>
      </c>
      <c r="P839" t="s">
        <v>1227</v>
      </c>
      <c r="S839" s="5"/>
      <c r="T839" t="s">
        <v>72</v>
      </c>
      <c r="U839" t="s">
        <v>102</v>
      </c>
      <c r="V839" t="s">
        <v>74</v>
      </c>
      <c r="W839" t="s">
        <v>87</v>
      </c>
      <c r="AE839" s="2"/>
      <c r="AF839" s="2"/>
      <c r="AG839" s="2"/>
      <c r="AH839" s="2"/>
      <c r="AK839" t="s">
        <v>2687</v>
      </c>
      <c r="AL839" s="2">
        <v>6620000</v>
      </c>
      <c r="AM839" s="2">
        <v>2648000</v>
      </c>
      <c r="AN839" s="2"/>
      <c r="AO839" s="2">
        <v>0</v>
      </c>
      <c r="AP839" s="2">
        <v>3972000</v>
      </c>
      <c r="AQ839" s="2">
        <v>0</v>
      </c>
      <c r="AR839" s="2">
        <v>0</v>
      </c>
      <c r="AS839" s="2">
        <v>0</v>
      </c>
      <c r="AT839" s="2">
        <v>0</v>
      </c>
      <c r="AU839" s="2">
        <v>0</v>
      </c>
      <c r="AV839" s="2">
        <v>0</v>
      </c>
      <c r="AW839" s="4"/>
      <c r="AX839" t="s">
        <v>75</v>
      </c>
      <c r="AZ839" t="s">
        <v>2688</v>
      </c>
      <c r="BA839" t="s">
        <v>67</v>
      </c>
      <c r="BB839" t="s">
        <v>2689</v>
      </c>
      <c r="BC839" t="s">
        <v>204</v>
      </c>
      <c r="BD839" t="s">
        <v>79</v>
      </c>
      <c r="BE839" t="s">
        <v>921</v>
      </c>
      <c r="BF839" s="5">
        <v>47392</v>
      </c>
      <c r="BH839">
        <v>2</v>
      </c>
      <c r="BI839" s="6">
        <v>685000</v>
      </c>
      <c r="BJ839" s="6">
        <v>0</v>
      </c>
      <c r="BK839" s="6">
        <v>0</v>
      </c>
      <c r="BL839" s="6">
        <v>685000</v>
      </c>
      <c r="BM839" s="2">
        <v>1370000</v>
      </c>
      <c r="BN839">
        <f>InvoiceTable[[#This Row],[Giảm giá]]*InvoiceTable[[#This Row],[Số lượng]]</f>
        <v>0</v>
      </c>
    </row>
    <row r="840" spans="1:66" x14ac:dyDescent="0.25">
      <c r="A840" t="s">
        <v>65</v>
      </c>
      <c r="B840" t="s">
        <v>2685</v>
      </c>
      <c r="F840" s="2"/>
      <c r="G840" s="3">
        <v>46007.543899108794</v>
      </c>
      <c r="H840" s="3">
        <v>46007.54389922454</v>
      </c>
      <c r="I840" s="4" t="s">
        <v>67</v>
      </c>
      <c r="J840" t="s">
        <v>2686</v>
      </c>
      <c r="K840" t="s">
        <v>67</v>
      </c>
      <c r="L840" t="s">
        <v>1223</v>
      </c>
      <c r="M840" t="s">
        <v>1224</v>
      </c>
      <c r="N840" t="s">
        <v>1225</v>
      </c>
      <c r="O840" t="s">
        <v>1226</v>
      </c>
      <c r="P840" t="s">
        <v>1227</v>
      </c>
      <c r="S840" s="5"/>
      <c r="T840" t="s">
        <v>72</v>
      </c>
      <c r="U840" t="s">
        <v>102</v>
      </c>
      <c r="V840" t="s">
        <v>74</v>
      </c>
      <c r="W840" t="s">
        <v>87</v>
      </c>
      <c r="AE840" s="2"/>
      <c r="AF840" s="2"/>
      <c r="AG840" s="2"/>
      <c r="AH840" s="2"/>
      <c r="AK840" t="s">
        <v>2687</v>
      </c>
      <c r="AL840" s="2">
        <v>6620000</v>
      </c>
      <c r="AM840" s="2">
        <v>2648000</v>
      </c>
      <c r="AN840" s="2"/>
      <c r="AO840" s="2">
        <v>0</v>
      </c>
      <c r="AP840" s="2">
        <v>3972000</v>
      </c>
      <c r="AQ840" s="2">
        <v>0</v>
      </c>
      <c r="AR840" s="2">
        <v>0</v>
      </c>
      <c r="AS840" s="2">
        <v>0</v>
      </c>
      <c r="AT840" s="2">
        <v>0</v>
      </c>
      <c r="AU840" s="2">
        <v>0</v>
      </c>
      <c r="AV840" s="2">
        <v>0</v>
      </c>
      <c r="AW840" s="4"/>
      <c r="AX840" t="s">
        <v>75</v>
      </c>
      <c r="AZ840" t="s">
        <v>2690</v>
      </c>
      <c r="BA840" t="s">
        <v>67</v>
      </c>
      <c r="BB840" t="s">
        <v>2691</v>
      </c>
      <c r="BC840" t="s">
        <v>204</v>
      </c>
      <c r="BD840" t="s">
        <v>79</v>
      </c>
      <c r="BE840" t="s">
        <v>317</v>
      </c>
      <c r="BF840" s="5">
        <v>46935</v>
      </c>
      <c r="BH840">
        <v>2</v>
      </c>
      <c r="BI840" s="6">
        <v>490000</v>
      </c>
      <c r="BJ840" s="6">
        <v>0</v>
      </c>
      <c r="BK840" s="6">
        <v>0</v>
      </c>
      <c r="BL840" s="6">
        <v>490000</v>
      </c>
      <c r="BM840" s="2">
        <v>980000</v>
      </c>
      <c r="BN840">
        <f>InvoiceTable[[#This Row],[Giảm giá]]*InvoiceTable[[#This Row],[Số lượng]]</f>
        <v>0</v>
      </c>
    </row>
    <row r="841" spans="1:66" x14ac:dyDescent="0.25">
      <c r="A841" t="s">
        <v>65</v>
      </c>
      <c r="B841" t="s">
        <v>2685</v>
      </c>
      <c r="F841" s="2"/>
      <c r="G841" s="3">
        <v>46007.543899108794</v>
      </c>
      <c r="H841" s="3">
        <v>46007.54389922454</v>
      </c>
      <c r="I841" s="4" t="s">
        <v>67</v>
      </c>
      <c r="J841" t="s">
        <v>2686</v>
      </c>
      <c r="K841" t="s">
        <v>67</v>
      </c>
      <c r="L841" t="s">
        <v>1223</v>
      </c>
      <c r="M841" t="s">
        <v>1224</v>
      </c>
      <c r="N841" t="s">
        <v>1225</v>
      </c>
      <c r="O841" t="s">
        <v>1226</v>
      </c>
      <c r="P841" t="s">
        <v>1227</v>
      </c>
      <c r="S841" s="5"/>
      <c r="T841" t="s">
        <v>72</v>
      </c>
      <c r="U841" t="s">
        <v>102</v>
      </c>
      <c r="V841" t="s">
        <v>74</v>
      </c>
      <c r="W841" t="s">
        <v>87</v>
      </c>
      <c r="AE841" s="2"/>
      <c r="AF841" s="2"/>
      <c r="AG841" s="2"/>
      <c r="AH841" s="2"/>
      <c r="AK841" t="s">
        <v>2687</v>
      </c>
      <c r="AL841" s="2">
        <v>6620000</v>
      </c>
      <c r="AM841" s="2">
        <v>2648000</v>
      </c>
      <c r="AN841" s="2"/>
      <c r="AO841" s="2">
        <v>0</v>
      </c>
      <c r="AP841" s="2">
        <v>3972000</v>
      </c>
      <c r="AQ841" s="2">
        <v>0</v>
      </c>
      <c r="AR841" s="2">
        <v>0</v>
      </c>
      <c r="AS841" s="2">
        <v>0</v>
      </c>
      <c r="AT841" s="2">
        <v>0</v>
      </c>
      <c r="AU841" s="2">
        <v>0</v>
      </c>
      <c r="AV841" s="2">
        <v>0</v>
      </c>
      <c r="AW841" s="4"/>
      <c r="AX841" t="s">
        <v>75</v>
      </c>
      <c r="AZ841" t="s">
        <v>2332</v>
      </c>
      <c r="BA841" t="s">
        <v>67</v>
      </c>
      <c r="BB841" t="s">
        <v>2333</v>
      </c>
      <c r="BC841" t="s">
        <v>204</v>
      </c>
      <c r="BD841" t="s">
        <v>79</v>
      </c>
      <c r="BE841" t="s">
        <v>324</v>
      </c>
      <c r="BF841" s="5">
        <v>47058</v>
      </c>
      <c r="BH841">
        <v>2</v>
      </c>
      <c r="BI841" s="6">
        <v>1260000</v>
      </c>
      <c r="BJ841" s="6">
        <v>0</v>
      </c>
      <c r="BK841" s="6">
        <v>0</v>
      </c>
      <c r="BL841" s="6">
        <v>1260000</v>
      </c>
      <c r="BM841" s="2">
        <v>2520000</v>
      </c>
      <c r="BN841">
        <f>InvoiceTable[[#This Row],[Giảm giá]]*InvoiceTable[[#This Row],[Số lượng]]</f>
        <v>0</v>
      </c>
    </row>
    <row r="842" spans="1:66" x14ac:dyDescent="0.25">
      <c r="A842" t="s">
        <v>65</v>
      </c>
      <c r="B842" t="s">
        <v>2692</v>
      </c>
      <c r="F842" s="2"/>
      <c r="G842" s="3">
        <v>46007.5437278588</v>
      </c>
      <c r="H842" s="3">
        <v>46007.543727974538</v>
      </c>
      <c r="I842" s="4" t="s">
        <v>67</v>
      </c>
      <c r="J842" t="s">
        <v>2693</v>
      </c>
      <c r="K842" t="s">
        <v>67</v>
      </c>
      <c r="L842" t="s">
        <v>1353</v>
      </c>
      <c r="M842" t="s">
        <v>1354</v>
      </c>
      <c r="N842" t="s">
        <v>1355</v>
      </c>
      <c r="O842" t="s">
        <v>1356</v>
      </c>
      <c r="P842" t="s">
        <v>1357</v>
      </c>
      <c r="S842" s="5"/>
      <c r="T842" t="s">
        <v>72</v>
      </c>
      <c r="U842" t="s">
        <v>102</v>
      </c>
      <c r="V842" t="s">
        <v>74</v>
      </c>
      <c r="W842" t="s">
        <v>87</v>
      </c>
      <c r="AE842" s="2"/>
      <c r="AF842" s="2"/>
      <c r="AG842" s="2"/>
      <c r="AH842" s="2"/>
      <c r="AL842" s="2">
        <v>7431110</v>
      </c>
      <c r="AM842" s="2">
        <v>0</v>
      </c>
      <c r="AN842" s="2"/>
      <c r="AO842" s="2">
        <v>0</v>
      </c>
      <c r="AP842" s="2">
        <v>7431110</v>
      </c>
      <c r="AQ842" s="2">
        <v>0</v>
      </c>
      <c r="AR842" s="2">
        <v>0</v>
      </c>
      <c r="AS842" s="2">
        <v>0</v>
      </c>
      <c r="AT842" s="2">
        <v>0</v>
      </c>
      <c r="AU842" s="2">
        <v>0</v>
      </c>
      <c r="AV842" s="2">
        <v>0</v>
      </c>
      <c r="AW842" s="4"/>
      <c r="AX842" t="s">
        <v>75</v>
      </c>
      <c r="AZ842" t="s">
        <v>1327</v>
      </c>
      <c r="BA842" t="s">
        <v>67</v>
      </c>
      <c r="BB842" t="s">
        <v>1328</v>
      </c>
      <c r="BC842" t="s">
        <v>251</v>
      </c>
      <c r="BD842" t="s">
        <v>79</v>
      </c>
      <c r="BE842" t="s">
        <v>177</v>
      </c>
      <c r="BF842" s="5">
        <v>47027</v>
      </c>
      <c r="BH842">
        <v>5</v>
      </c>
      <c r="BI842" s="6">
        <v>495000</v>
      </c>
      <c r="BJ842" s="6">
        <v>40</v>
      </c>
      <c r="BK842" s="6">
        <v>198000</v>
      </c>
      <c r="BL842" s="6">
        <v>297000</v>
      </c>
      <c r="BM842" s="2">
        <v>1485000</v>
      </c>
      <c r="BN842">
        <f>InvoiceTable[[#This Row],[Giảm giá]]*InvoiceTable[[#This Row],[Số lượng]]</f>
        <v>990000</v>
      </c>
    </row>
    <row r="843" spans="1:66" x14ac:dyDescent="0.25">
      <c r="A843" t="s">
        <v>65</v>
      </c>
      <c r="B843" t="s">
        <v>2692</v>
      </c>
      <c r="F843" s="2"/>
      <c r="G843" s="3">
        <v>46007.5437278588</v>
      </c>
      <c r="H843" s="3">
        <v>46007.543727974538</v>
      </c>
      <c r="I843" s="4" t="s">
        <v>67</v>
      </c>
      <c r="J843" t="s">
        <v>2693</v>
      </c>
      <c r="K843" t="s">
        <v>67</v>
      </c>
      <c r="L843" t="s">
        <v>1353</v>
      </c>
      <c r="M843" t="s">
        <v>1354</v>
      </c>
      <c r="N843" t="s">
        <v>1355</v>
      </c>
      <c r="O843" t="s">
        <v>1356</v>
      </c>
      <c r="P843" t="s">
        <v>1357</v>
      </c>
      <c r="S843" s="5"/>
      <c r="T843" t="s">
        <v>72</v>
      </c>
      <c r="U843" t="s">
        <v>102</v>
      </c>
      <c r="V843" t="s">
        <v>74</v>
      </c>
      <c r="W843" t="s">
        <v>87</v>
      </c>
      <c r="AE843" s="2"/>
      <c r="AF843" s="2"/>
      <c r="AG843" s="2"/>
      <c r="AH843" s="2"/>
      <c r="AL843" s="2">
        <v>7431110</v>
      </c>
      <c r="AM843" s="2">
        <v>0</v>
      </c>
      <c r="AN843" s="2"/>
      <c r="AO843" s="2">
        <v>0</v>
      </c>
      <c r="AP843" s="2">
        <v>7431110</v>
      </c>
      <c r="AQ843" s="2">
        <v>0</v>
      </c>
      <c r="AR843" s="2">
        <v>0</v>
      </c>
      <c r="AS843" s="2">
        <v>0</v>
      </c>
      <c r="AT843" s="2">
        <v>0</v>
      </c>
      <c r="AU843" s="2">
        <v>0</v>
      </c>
      <c r="AV843" s="2">
        <v>0</v>
      </c>
      <c r="AW843" s="4"/>
      <c r="AX843" t="s">
        <v>75</v>
      </c>
      <c r="AZ843" t="s">
        <v>2694</v>
      </c>
      <c r="BA843" t="s">
        <v>67</v>
      </c>
      <c r="BB843" t="s">
        <v>2695</v>
      </c>
      <c r="BC843" t="s">
        <v>1786</v>
      </c>
      <c r="BD843" t="s">
        <v>79</v>
      </c>
      <c r="BE843" t="s">
        <v>760</v>
      </c>
      <c r="BF843" s="5">
        <v>46913</v>
      </c>
      <c r="BG843" t="s">
        <v>67</v>
      </c>
      <c r="BH843">
        <v>1</v>
      </c>
      <c r="BI843" s="6">
        <v>1814500</v>
      </c>
      <c r="BJ843" s="6">
        <v>38</v>
      </c>
      <c r="BK843" s="6">
        <v>689510</v>
      </c>
      <c r="BL843" s="6">
        <v>1124990</v>
      </c>
      <c r="BM843" s="2">
        <v>1124990</v>
      </c>
      <c r="BN843">
        <f>InvoiceTable[[#This Row],[Giảm giá]]*InvoiceTable[[#This Row],[Số lượng]]</f>
        <v>689510</v>
      </c>
    </row>
    <row r="844" spans="1:66" x14ac:dyDescent="0.25">
      <c r="A844" t="s">
        <v>65</v>
      </c>
      <c r="B844" t="s">
        <v>2692</v>
      </c>
      <c r="F844" s="2"/>
      <c r="G844" s="3">
        <v>46007.5437278588</v>
      </c>
      <c r="H844" s="3">
        <v>46007.543727974538</v>
      </c>
      <c r="I844" s="4" t="s">
        <v>67</v>
      </c>
      <c r="J844" t="s">
        <v>2693</v>
      </c>
      <c r="K844" t="s">
        <v>67</v>
      </c>
      <c r="L844" t="s">
        <v>1353</v>
      </c>
      <c r="M844" t="s">
        <v>1354</v>
      </c>
      <c r="N844" t="s">
        <v>1355</v>
      </c>
      <c r="O844" t="s">
        <v>1356</v>
      </c>
      <c r="P844" t="s">
        <v>1357</v>
      </c>
      <c r="S844" s="5"/>
      <c r="T844" t="s">
        <v>72</v>
      </c>
      <c r="U844" t="s">
        <v>102</v>
      </c>
      <c r="V844" t="s">
        <v>74</v>
      </c>
      <c r="W844" t="s">
        <v>87</v>
      </c>
      <c r="AE844" s="2"/>
      <c r="AF844" s="2"/>
      <c r="AG844" s="2"/>
      <c r="AH844" s="2"/>
      <c r="AL844" s="2">
        <v>7431110</v>
      </c>
      <c r="AM844" s="2">
        <v>0</v>
      </c>
      <c r="AN844" s="2"/>
      <c r="AO844" s="2">
        <v>0</v>
      </c>
      <c r="AP844" s="2">
        <v>7431110</v>
      </c>
      <c r="AQ844" s="2">
        <v>0</v>
      </c>
      <c r="AR844" s="2">
        <v>0</v>
      </c>
      <c r="AS844" s="2">
        <v>0</v>
      </c>
      <c r="AT844" s="2">
        <v>0</v>
      </c>
      <c r="AU844" s="2">
        <v>0</v>
      </c>
      <c r="AV844" s="2">
        <v>0</v>
      </c>
      <c r="AW844" s="4"/>
      <c r="AX844" t="s">
        <v>75</v>
      </c>
      <c r="AZ844" t="s">
        <v>2696</v>
      </c>
      <c r="BA844" t="s">
        <v>67</v>
      </c>
      <c r="BB844" t="s">
        <v>2697</v>
      </c>
      <c r="BC844" t="s">
        <v>986</v>
      </c>
      <c r="BD844" t="s">
        <v>79</v>
      </c>
      <c r="BE844" t="s">
        <v>2698</v>
      </c>
      <c r="BF844" s="5">
        <v>46786</v>
      </c>
      <c r="BH844">
        <v>4</v>
      </c>
      <c r="BI844" s="6">
        <v>1944000</v>
      </c>
      <c r="BJ844" s="6">
        <v>38</v>
      </c>
      <c r="BK844" s="6">
        <v>738720</v>
      </c>
      <c r="BL844" s="6">
        <v>1205280</v>
      </c>
      <c r="BM844" s="2">
        <v>4821120</v>
      </c>
      <c r="BN844">
        <f>InvoiceTable[[#This Row],[Giảm giá]]*InvoiceTable[[#This Row],[Số lượng]]</f>
        <v>2954880</v>
      </c>
    </row>
    <row r="845" spans="1:66" x14ac:dyDescent="0.25">
      <c r="A845" t="s">
        <v>65</v>
      </c>
      <c r="B845" t="s">
        <v>2699</v>
      </c>
      <c r="F845" s="2"/>
      <c r="G845" s="3">
        <v>46007.543585497682</v>
      </c>
      <c r="H845" s="3">
        <v>46007.543585729167</v>
      </c>
      <c r="I845" s="4" t="s">
        <v>67</v>
      </c>
      <c r="J845" t="s">
        <v>2700</v>
      </c>
      <c r="K845" t="s">
        <v>67</v>
      </c>
      <c r="L845" t="s">
        <v>933</v>
      </c>
      <c r="M845" t="s">
        <v>934</v>
      </c>
      <c r="N845" t="s">
        <v>67</v>
      </c>
      <c r="O845" t="s">
        <v>935</v>
      </c>
      <c r="S845" s="5"/>
      <c r="T845" t="s">
        <v>72</v>
      </c>
      <c r="U845" t="s">
        <v>87</v>
      </c>
      <c r="V845" t="s">
        <v>74</v>
      </c>
      <c r="W845" t="s">
        <v>87</v>
      </c>
      <c r="AE845" s="2"/>
      <c r="AF845" s="2"/>
      <c r="AG845" s="2"/>
      <c r="AH845" s="2"/>
      <c r="AK845" t="s">
        <v>2701</v>
      </c>
      <c r="AL845" s="2">
        <v>7172604</v>
      </c>
      <c r="AM845" s="2">
        <v>0</v>
      </c>
      <c r="AN845" s="2"/>
      <c r="AO845" s="2">
        <v>0</v>
      </c>
      <c r="AP845" s="2">
        <v>7172604</v>
      </c>
      <c r="AQ845" s="2">
        <v>7172604</v>
      </c>
      <c r="AR845" s="2">
        <v>0</v>
      </c>
      <c r="AS845" s="2">
        <v>0</v>
      </c>
      <c r="AT845" s="2">
        <v>0</v>
      </c>
      <c r="AU845" s="2">
        <v>7172604</v>
      </c>
      <c r="AV845" s="2">
        <v>0</v>
      </c>
      <c r="AW845" s="4"/>
      <c r="AX845" t="s">
        <v>75</v>
      </c>
      <c r="AZ845" t="s">
        <v>1986</v>
      </c>
      <c r="BA845" t="s">
        <v>67</v>
      </c>
      <c r="BB845" t="s">
        <v>1987</v>
      </c>
      <c r="BC845" t="s">
        <v>1492</v>
      </c>
      <c r="BD845" t="s">
        <v>79</v>
      </c>
      <c r="BE845" t="s">
        <v>168</v>
      </c>
      <c r="BF845" s="5">
        <v>46388</v>
      </c>
      <c r="BH845">
        <v>1</v>
      </c>
      <c r="BI845" s="6">
        <v>2417800</v>
      </c>
      <c r="BJ845" s="6">
        <v>42</v>
      </c>
      <c r="BK845" s="6">
        <v>1015476</v>
      </c>
      <c r="BL845" s="6">
        <v>1402324</v>
      </c>
      <c r="BM845" s="2">
        <v>1402324</v>
      </c>
      <c r="BN845">
        <f>InvoiceTable[[#This Row],[Giảm giá]]*InvoiceTable[[#This Row],[Số lượng]]</f>
        <v>1015476</v>
      </c>
    </row>
    <row r="846" spans="1:66" x14ac:dyDescent="0.25">
      <c r="A846" t="s">
        <v>65</v>
      </c>
      <c r="B846" t="s">
        <v>2699</v>
      </c>
      <c r="F846" s="2"/>
      <c r="G846" s="3">
        <v>46007.543585497682</v>
      </c>
      <c r="H846" s="3">
        <v>46007.543585729167</v>
      </c>
      <c r="I846" s="4" t="s">
        <v>67</v>
      </c>
      <c r="J846" t="s">
        <v>2700</v>
      </c>
      <c r="K846" t="s">
        <v>67</v>
      </c>
      <c r="L846" t="s">
        <v>933</v>
      </c>
      <c r="M846" t="s">
        <v>934</v>
      </c>
      <c r="N846" t="s">
        <v>67</v>
      </c>
      <c r="O846" t="s">
        <v>935</v>
      </c>
      <c r="S846" s="5"/>
      <c r="T846" t="s">
        <v>72</v>
      </c>
      <c r="U846" t="s">
        <v>87</v>
      </c>
      <c r="V846" t="s">
        <v>74</v>
      </c>
      <c r="W846" t="s">
        <v>87</v>
      </c>
      <c r="AE846" s="2"/>
      <c r="AF846" s="2"/>
      <c r="AG846" s="2"/>
      <c r="AH846" s="2"/>
      <c r="AK846" t="s">
        <v>2701</v>
      </c>
      <c r="AL846" s="2">
        <v>7172604</v>
      </c>
      <c r="AM846" s="2">
        <v>0</v>
      </c>
      <c r="AN846" s="2"/>
      <c r="AO846" s="2">
        <v>0</v>
      </c>
      <c r="AP846" s="2">
        <v>7172604</v>
      </c>
      <c r="AQ846" s="2">
        <v>7172604</v>
      </c>
      <c r="AR846" s="2">
        <v>0</v>
      </c>
      <c r="AS846" s="2">
        <v>0</v>
      </c>
      <c r="AT846" s="2">
        <v>0</v>
      </c>
      <c r="AU846" s="2">
        <v>7172604</v>
      </c>
      <c r="AV846" s="2">
        <v>0</v>
      </c>
      <c r="AW846" s="4"/>
      <c r="AX846" t="s">
        <v>75</v>
      </c>
      <c r="AZ846" t="s">
        <v>2696</v>
      </c>
      <c r="BA846" t="s">
        <v>67</v>
      </c>
      <c r="BB846" t="s">
        <v>2697</v>
      </c>
      <c r="BC846" t="s">
        <v>986</v>
      </c>
      <c r="BD846" t="s">
        <v>79</v>
      </c>
      <c r="BE846" t="s">
        <v>2698</v>
      </c>
      <c r="BF846" s="5">
        <v>46786</v>
      </c>
      <c r="BH846">
        <v>1</v>
      </c>
      <c r="BI846" s="6">
        <v>1944000</v>
      </c>
      <c r="BJ846" s="6">
        <v>38</v>
      </c>
      <c r="BK846" s="6">
        <v>738720</v>
      </c>
      <c r="BL846" s="6">
        <v>1205280</v>
      </c>
      <c r="BM846" s="2">
        <v>1205280</v>
      </c>
      <c r="BN846">
        <f>InvoiceTable[[#This Row],[Giảm giá]]*InvoiceTable[[#This Row],[Số lượng]]</f>
        <v>738720</v>
      </c>
    </row>
    <row r="847" spans="1:66" x14ac:dyDescent="0.25">
      <c r="A847" t="s">
        <v>65</v>
      </c>
      <c r="B847" t="s">
        <v>2699</v>
      </c>
      <c r="F847" s="2"/>
      <c r="G847" s="3">
        <v>46007.543585497682</v>
      </c>
      <c r="H847" s="3">
        <v>46007.543585729167</v>
      </c>
      <c r="I847" s="4" t="s">
        <v>67</v>
      </c>
      <c r="J847" t="s">
        <v>2700</v>
      </c>
      <c r="K847" t="s">
        <v>67</v>
      </c>
      <c r="L847" t="s">
        <v>933</v>
      </c>
      <c r="M847" t="s">
        <v>934</v>
      </c>
      <c r="N847" t="s">
        <v>67</v>
      </c>
      <c r="O847" t="s">
        <v>935</v>
      </c>
      <c r="S847" s="5"/>
      <c r="T847" t="s">
        <v>72</v>
      </c>
      <c r="U847" t="s">
        <v>87</v>
      </c>
      <c r="V847" t="s">
        <v>74</v>
      </c>
      <c r="W847" t="s">
        <v>87</v>
      </c>
      <c r="AE847" s="2"/>
      <c r="AF847" s="2"/>
      <c r="AG847" s="2"/>
      <c r="AH847" s="2"/>
      <c r="AK847" t="s">
        <v>2701</v>
      </c>
      <c r="AL847" s="2">
        <v>7172604</v>
      </c>
      <c r="AM847" s="2">
        <v>0</v>
      </c>
      <c r="AN847" s="2"/>
      <c r="AO847" s="2">
        <v>0</v>
      </c>
      <c r="AP847" s="2">
        <v>7172604</v>
      </c>
      <c r="AQ847" s="2">
        <v>7172604</v>
      </c>
      <c r="AR847" s="2">
        <v>0</v>
      </c>
      <c r="AS847" s="2">
        <v>0</v>
      </c>
      <c r="AT847" s="2">
        <v>0</v>
      </c>
      <c r="AU847" s="2">
        <v>7172604</v>
      </c>
      <c r="AV847" s="2">
        <v>0</v>
      </c>
      <c r="AW847" s="4"/>
      <c r="AX847" t="s">
        <v>75</v>
      </c>
      <c r="AZ847" t="s">
        <v>2702</v>
      </c>
      <c r="BA847" t="s">
        <v>67</v>
      </c>
      <c r="BB847" t="s">
        <v>2703</v>
      </c>
      <c r="BC847" t="s">
        <v>2704</v>
      </c>
      <c r="BD847" t="s">
        <v>79</v>
      </c>
      <c r="BE847" t="s">
        <v>921</v>
      </c>
      <c r="BF847" s="5">
        <v>47392</v>
      </c>
      <c r="BG847" t="s">
        <v>67</v>
      </c>
      <c r="BH847">
        <v>2</v>
      </c>
      <c r="BI847" s="6">
        <v>4150000</v>
      </c>
      <c r="BJ847" s="6">
        <v>45</v>
      </c>
      <c r="BK847" s="6">
        <v>1867500</v>
      </c>
      <c r="BL847" s="6">
        <v>2282500</v>
      </c>
      <c r="BM847" s="2">
        <v>4565000</v>
      </c>
      <c r="BN847">
        <f>InvoiceTable[[#This Row],[Giảm giá]]*InvoiceTable[[#This Row],[Số lượng]]</f>
        <v>3735000</v>
      </c>
    </row>
    <row r="848" spans="1:66" x14ac:dyDescent="0.25">
      <c r="A848" t="s">
        <v>65</v>
      </c>
      <c r="B848" t="s">
        <v>2705</v>
      </c>
      <c r="F848" s="2"/>
      <c r="G848" s="3">
        <v>46007.543361493059</v>
      </c>
      <c r="H848" s="3">
        <v>46007.543315312498</v>
      </c>
      <c r="I848" s="4" t="s">
        <v>1515</v>
      </c>
      <c r="J848" t="s">
        <v>2706</v>
      </c>
      <c r="K848" t="s">
        <v>67</v>
      </c>
      <c r="L848" t="s">
        <v>933</v>
      </c>
      <c r="M848" t="s">
        <v>934</v>
      </c>
      <c r="N848" t="s">
        <v>67</v>
      </c>
      <c r="O848" t="s">
        <v>935</v>
      </c>
      <c r="S848" s="5"/>
      <c r="T848" t="s">
        <v>72</v>
      </c>
      <c r="U848" t="s">
        <v>87</v>
      </c>
      <c r="V848" t="s">
        <v>74</v>
      </c>
      <c r="W848" t="s">
        <v>87</v>
      </c>
      <c r="AE848" s="2"/>
      <c r="AF848" s="2"/>
      <c r="AG848" s="2"/>
      <c r="AH848" s="2"/>
      <c r="AK848" t="s">
        <v>2707</v>
      </c>
      <c r="AL848" s="2">
        <v>7546680</v>
      </c>
      <c r="AM848" s="2">
        <v>0</v>
      </c>
      <c r="AN848" s="2"/>
      <c r="AO848" s="2">
        <v>0</v>
      </c>
      <c r="AP848" s="2">
        <v>7546680</v>
      </c>
      <c r="AQ848" s="2">
        <v>7546680</v>
      </c>
      <c r="AR848" s="2">
        <v>0</v>
      </c>
      <c r="AS848" s="2">
        <v>0</v>
      </c>
      <c r="AT848" s="2">
        <v>0</v>
      </c>
      <c r="AU848" s="2">
        <v>7546680</v>
      </c>
      <c r="AV848" s="2">
        <v>0</v>
      </c>
      <c r="AW848" s="4"/>
      <c r="AX848" t="s">
        <v>75</v>
      </c>
      <c r="AZ848" t="s">
        <v>2708</v>
      </c>
      <c r="BB848" t="s">
        <v>2709</v>
      </c>
      <c r="BC848" t="s">
        <v>2704</v>
      </c>
      <c r="BD848" t="s">
        <v>79</v>
      </c>
      <c r="BE848" t="s">
        <v>434</v>
      </c>
      <c r="BF848" s="5">
        <v>46661</v>
      </c>
      <c r="BG848" t="s">
        <v>67</v>
      </c>
      <c r="BH848">
        <v>1</v>
      </c>
      <c r="BI848" s="6">
        <v>3750000</v>
      </c>
      <c r="BJ848" s="6">
        <v>45</v>
      </c>
      <c r="BK848" s="6">
        <v>1687500</v>
      </c>
      <c r="BL848" s="6">
        <v>2062500</v>
      </c>
      <c r="BM848" s="2">
        <v>2062500</v>
      </c>
      <c r="BN848">
        <f>InvoiceTable[[#This Row],[Giảm giá]]*InvoiceTable[[#This Row],[Số lượng]]</f>
        <v>1687500</v>
      </c>
    </row>
    <row r="849" spans="1:66" x14ac:dyDescent="0.25">
      <c r="A849" t="s">
        <v>65</v>
      </c>
      <c r="B849" t="s">
        <v>2705</v>
      </c>
      <c r="F849" s="2"/>
      <c r="G849" s="3">
        <v>46007.543361493059</v>
      </c>
      <c r="H849" s="3">
        <v>46007.543315312498</v>
      </c>
      <c r="I849" s="4" t="s">
        <v>1515</v>
      </c>
      <c r="J849" t="s">
        <v>2706</v>
      </c>
      <c r="K849" t="s">
        <v>67</v>
      </c>
      <c r="L849" t="s">
        <v>933</v>
      </c>
      <c r="M849" t="s">
        <v>934</v>
      </c>
      <c r="N849" t="s">
        <v>67</v>
      </c>
      <c r="O849" t="s">
        <v>935</v>
      </c>
      <c r="S849" s="5"/>
      <c r="T849" t="s">
        <v>72</v>
      </c>
      <c r="U849" t="s">
        <v>87</v>
      </c>
      <c r="V849" t="s">
        <v>74</v>
      </c>
      <c r="W849" t="s">
        <v>87</v>
      </c>
      <c r="AE849" s="2"/>
      <c r="AF849" s="2"/>
      <c r="AG849" s="2"/>
      <c r="AH849" s="2"/>
      <c r="AK849" t="s">
        <v>2707</v>
      </c>
      <c r="AL849" s="2">
        <v>7546680</v>
      </c>
      <c r="AM849" s="2">
        <v>0</v>
      </c>
      <c r="AN849" s="2"/>
      <c r="AO849" s="2">
        <v>0</v>
      </c>
      <c r="AP849" s="2">
        <v>7546680</v>
      </c>
      <c r="AQ849" s="2">
        <v>7546680</v>
      </c>
      <c r="AR849" s="2">
        <v>0</v>
      </c>
      <c r="AS849" s="2">
        <v>0</v>
      </c>
      <c r="AT849" s="2">
        <v>0</v>
      </c>
      <c r="AU849" s="2">
        <v>7546680</v>
      </c>
      <c r="AV849" s="2">
        <v>0</v>
      </c>
      <c r="AW849" s="4"/>
      <c r="AX849" t="s">
        <v>75</v>
      </c>
      <c r="AZ849" t="s">
        <v>1365</v>
      </c>
      <c r="BA849" t="s">
        <v>67</v>
      </c>
      <c r="BB849" t="s">
        <v>1366</v>
      </c>
      <c r="BC849" t="s">
        <v>939</v>
      </c>
      <c r="BD849" t="s">
        <v>79</v>
      </c>
      <c r="BE849" t="s">
        <v>317</v>
      </c>
      <c r="BF849" s="5">
        <v>46935</v>
      </c>
      <c r="BH849">
        <v>1</v>
      </c>
      <c r="BI849" s="6">
        <v>790000</v>
      </c>
      <c r="BJ849" s="6">
        <v>38</v>
      </c>
      <c r="BK849" s="6">
        <v>300200</v>
      </c>
      <c r="BL849" s="6">
        <v>489800</v>
      </c>
      <c r="BM849" s="2">
        <v>489800</v>
      </c>
      <c r="BN849">
        <f>InvoiceTable[[#This Row],[Giảm giá]]*InvoiceTable[[#This Row],[Số lượng]]</f>
        <v>300200</v>
      </c>
    </row>
    <row r="850" spans="1:66" x14ac:dyDescent="0.25">
      <c r="A850" t="s">
        <v>65</v>
      </c>
      <c r="B850" t="s">
        <v>2705</v>
      </c>
      <c r="F850" s="2"/>
      <c r="G850" s="3">
        <v>46007.543361493059</v>
      </c>
      <c r="H850" s="3">
        <v>46007.543315312498</v>
      </c>
      <c r="I850" s="4" t="s">
        <v>1515</v>
      </c>
      <c r="J850" t="s">
        <v>2706</v>
      </c>
      <c r="K850" t="s">
        <v>67</v>
      </c>
      <c r="L850" t="s">
        <v>933</v>
      </c>
      <c r="M850" t="s">
        <v>934</v>
      </c>
      <c r="N850" t="s">
        <v>67</v>
      </c>
      <c r="O850" t="s">
        <v>935</v>
      </c>
      <c r="S850" s="5"/>
      <c r="T850" t="s">
        <v>72</v>
      </c>
      <c r="U850" t="s">
        <v>87</v>
      </c>
      <c r="V850" t="s">
        <v>74</v>
      </c>
      <c r="W850" t="s">
        <v>87</v>
      </c>
      <c r="AE850" s="2"/>
      <c r="AF850" s="2"/>
      <c r="AG850" s="2"/>
      <c r="AH850" s="2"/>
      <c r="AK850" t="s">
        <v>2707</v>
      </c>
      <c r="AL850" s="2">
        <v>7546680</v>
      </c>
      <c r="AM850" s="2">
        <v>0</v>
      </c>
      <c r="AN850" s="2"/>
      <c r="AO850" s="2">
        <v>0</v>
      </c>
      <c r="AP850" s="2">
        <v>7546680</v>
      </c>
      <c r="AQ850" s="2">
        <v>7546680</v>
      </c>
      <c r="AR850" s="2">
        <v>0</v>
      </c>
      <c r="AS850" s="2">
        <v>0</v>
      </c>
      <c r="AT850" s="2">
        <v>0</v>
      </c>
      <c r="AU850" s="2">
        <v>7546680</v>
      </c>
      <c r="AV850" s="2">
        <v>0</v>
      </c>
      <c r="AW850" s="4"/>
      <c r="AX850" t="s">
        <v>75</v>
      </c>
      <c r="AZ850" t="s">
        <v>984</v>
      </c>
      <c r="BB850" t="s">
        <v>985</v>
      </c>
      <c r="BC850" t="s">
        <v>986</v>
      </c>
      <c r="BD850" t="s">
        <v>79</v>
      </c>
      <c r="BE850" t="s">
        <v>188</v>
      </c>
      <c r="BF850" s="5">
        <v>46905</v>
      </c>
      <c r="BH850">
        <v>1</v>
      </c>
      <c r="BI850" s="6">
        <v>2430000</v>
      </c>
      <c r="BJ850" s="6">
        <v>38</v>
      </c>
      <c r="BK850" s="6">
        <v>923400</v>
      </c>
      <c r="BL850" s="6">
        <v>1506600</v>
      </c>
      <c r="BM850" s="2">
        <v>1506600</v>
      </c>
      <c r="BN850">
        <f>InvoiceTable[[#This Row],[Giảm giá]]*InvoiceTable[[#This Row],[Số lượng]]</f>
        <v>923400</v>
      </c>
    </row>
    <row r="851" spans="1:66" x14ac:dyDescent="0.25">
      <c r="A851" t="s">
        <v>65</v>
      </c>
      <c r="B851" t="s">
        <v>2705</v>
      </c>
      <c r="F851" s="2"/>
      <c r="G851" s="3">
        <v>46007.543361493059</v>
      </c>
      <c r="H851" s="3">
        <v>46007.543315312498</v>
      </c>
      <c r="I851" s="4" t="s">
        <v>1515</v>
      </c>
      <c r="J851" t="s">
        <v>2706</v>
      </c>
      <c r="K851" t="s">
        <v>67</v>
      </c>
      <c r="L851" t="s">
        <v>933</v>
      </c>
      <c r="M851" t="s">
        <v>934</v>
      </c>
      <c r="N851" t="s">
        <v>67</v>
      </c>
      <c r="O851" t="s">
        <v>935</v>
      </c>
      <c r="S851" s="5"/>
      <c r="T851" t="s">
        <v>72</v>
      </c>
      <c r="U851" t="s">
        <v>87</v>
      </c>
      <c r="V851" t="s">
        <v>74</v>
      </c>
      <c r="W851" t="s">
        <v>87</v>
      </c>
      <c r="AE851" s="2"/>
      <c r="AF851" s="2"/>
      <c r="AG851" s="2"/>
      <c r="AH851" s="2"/>
      <c r="AK851" t="s">
        <v>2707</v>
      </c>
      <c r="AL851" s="2">
        <v>7546680</v>
      </c>
      <c r="AM851" s="2">
        <v>0</v>
      </c>
      <c r="AN851" s="2"/>
      <c r="AO851" s="2">
        <v>0</v>
      </c>
      <c r="AP851" s="2">
        <v>7546680</v>
      </c>
      <c r="AQ851" s="2">
        <v>7546680</v>
      </c>
      <c r="AR851" s="2">
        <v>0</v>
      </c>
      <c r="AS851" s="2">
        <v>0</v>
      </c>
      <c r="AT851" s="2">
        <v>0</v>
      </c>
      <c r="AU851" s="2">
        <v>7546680</v>
      </c>
      <c r="AV851" s="2">
        <v>0</v>
      </c>
      <c r="AW851" s="4"/>
      <c r="AX851" t="s">
        <v>75</v>
      </c>
      <c r="AZ851" t="s">
        <v>2702</v>
      </c>
      <c r="BA851" t="s">
        <v>67</v>
      </c>
      <c r="BB851" t="s">
        <v>2703</v>
      </c>
      <c r="BC851" t="s">
        <v>2704</v>
      </c>
      <c r="BD851" t="s">
        <v>79</v>
      </c>
      <c r="BE851" t="s">
        <v>921</v>
      </c>
      <c r="BF851" s="5">
        <v>47392</v>
      </c>
      <c r="BG851" t="s">
        <v>67</v>
      </c>
      <c r="BH851">
        <v>1</v>
      </c>
      <c r="BI851" s="6">
        <v>4150000</v>
      </c>
      <c r="BJ851" s="6">
        <v>45</v>
      </c>
      <c r="BK851" s="6">
        <v>1867500</v>
      </c>
      <c r="BL851" s="6">
        <v>2282500</v>
      </c>
      <c r="BM851" s="2">
        <v>2282500</v>
      </c>
      <c r="BN851">
        <f>InvoiceTable[[#This Row],[Giảm giá]]*InvoiceTable[[#This Row],[Số lượng]]</f>
        <v>1867500</v>
      </c>
    </row>
    <row r="852" spans="1:66" x14ac:dyDescent="0.25">
      <c r="A852" t="s">
        <v>65</v>
      </c>
      <c r="B852" t="s">
        <v>2705</v>
      </c>
      <c r="F852" s="2"/>
      <c r="G852" s="3">
        <v>46007.543361493059</v>
      </c>
      <c r="H852" s="3">
        <v>46007.543315312498</v>
      </c>
      <c r="I852" s="4" t="s">
        <v>1515</v>
      </c>
      <c r="J852" t="s">
        <v>2706</v>
      </c>
      <c r="K852" t="s">
        <v>67</v>
      </c>
      <c r="L852" t="s">
        <v>933</v>
      </c>
      <c r="M852" t="s">
        <v>934</v>
      </c>
      <c r="N852" t="s">
        <v>67</v>
      </c>
      <c r="O852" t="s">
        <v>935</v>
      </c>
      <c r="S852" s="5"/>
      <c r="T852" t="s">
        <v>72</v>
      </c>
      <c r="U852" t="s">
        <v>87</v>
      </c>
      <c r="V852" t="s">
        <v>74</v>
      </c>
      <c r="W852" t="s">
        <v>87</v>
      </c>
      <c r="AE852" s="2"/>
      <c r="AF852" s="2"/>
      <c r="AG852" s="2"/>
      <c r="AH852" s="2"/>
      <c r="AK852" t="s">
        <v>2707</v>
      </c>
      <c r="AL852" s="2">
        <v>7546680</v>
      </c>
      <c r="AM852" s="2">
        <v>0</v>
      </c>
      <c r="AN852" s="2"/>
      <c r="AO852" s="2">
        <v>0</v>
      </c>
      <c r="AP852" s="2">
        <v>7546680</v>
      </c>
      <c r="AQ852" s="2">
        <v>7546680</v>
      </c>
      <c r="AR852" s="2">
        <v>0</v>
      </c>
      <c r="AS852" s="2">
        <v>0</v>
      </c>
      <c r="AT852" s="2">
        <v>0</v>
      </c>
      <c r="AU852" s="2">
        <v>7546680</v>
      </c>
      <c r="AV852" s="2">
        <v>0</v>
      </c>
      <c r="AW852" s="4"/>
      <c r="AX852" t="s">
        <v>75</v>
      </c>
      <c r="AZ852" t="s">
        <v>2696</v>
      </c>
      <c r="BA852" t="s">
        <v>67</v>
      </c>
      <c r="BB852" t="s">
        <v>2697</v>
      </c>
      <c r="BC852" t="s">
        <v>986</v>
      </c>
      <c r="BD852" t="s">
        <v>79</v>
      </c>
      <c r="BE852" t="s">
        <v>2698</v>
      </c>
      <c r="BF852" s="5">
        <v>46786</v>
      </c>
      <c r="BH852">
        <v>1</v>
      </c>
      <c r="BI852" s="6">
        <v>1944000</v>
      </c>
      <c r="BJ852" s="6">
        <v>38</v>
      </c>
      <c r="BK852" s="6">
        <v>738720</v>
      </c>
      <c r="BL852" s="6">
        <v>1205280</v>
      </c>
      <c r="BM852" s="2">
        <v>1205280</v>
      </c>
      <c r="BN852">
        <f>InvoiceTable[[#This Row],[Giảm giá]]*InvoiceTable[[#This Row],[Số lượng]]</f>
        <v>738720</v>
      </c>
    </row>
    <row r="853" spans="1:66" x14ac:dyDescent="0.25">
      <c r="A853" t="s">
        <v>65</v>
      </c>
      <c r="B853" t="s">
        <v>2710</v>
      </c>
      <c r="F853" s="2"/>
      <c r="G853" s="3">
        <v>46007.542394293981</v>
      </c>
      <c r="H853" s="3">
        <v>46007.542278738423</v>
      </c>
      <c r="I853" s="4" t="s">
        <v>96</v>
      </c>
      <c r="J853" t="s">
        <v>2711</v>
      </c>
      <c r="K853" t="s">
        <v>67</v>
      </c>
      <c r="L853" t="s">
        <v>933</v>
      </c>
      <c r="M853" t="s">
        <v>934</v>
      </c>
      <c r="N853" t="s">
        <v>67</v>
      </c>
      <c r="O853" t="s">
        <v>935</v>
      </c>
      <c r="S853" s="5"/>
      <c r="T853" t="s">
        <v>72</v>
      </c>
      <c r="U853" t="s">
        <v>87</v>
      </c>
      <c r="V853" t="s">
        <v>74</v>
      </c>
      <c r="W853" t="s">
        <v>87</v>
      </c>
      <c r="AE853" s="2"/>
      <c r="AF853" s="2"/>
      <c r="AG853" s="2"/>
      <c r="AH853" s="2"/>
      <c r="AK853" t="s">
        <v>2712</v>
      </c>
      <c r="AL853" s="2">
        <v>2589400</v>
      </c>
      <c r="AM853" s="2">
        <v>0</v>
      </c>
      <c r="AN853" s="2"/>
      <c r="AO853" s="2">
        <v>0</v>
      </c>
      <c r="AP853" s="2">
        <v>2589400</v>
      </c>
      <c r="AQ853" s="2">
        <v>2589400</v>
      </c>
      <c r="AR853" s="2">
        <v>0</v>
      </c>
      <c r="AS853" s="2">
        <v>0</v>
      </c>
      <c r="AT853" s="2">
        <v>0</v>
      </c>
      <c r="AU853" s="2">
        <v>2589400</v>
      </c>
      <c r="AV853" s="2">
        <v>0</v>
      </c>
      <c r="AW853" s="4"/>
      <c r="AX853" t="s">
        <v>75</v>
      </c>
      <c r="AZ853" t="s">
        <v>940</v>
      </c>
      <c r="BA853" t="s">
        <v>67</v>
      </c>
      <c r="BB853" t="s">
        <v>941</v>
      </c>
      <c r="BC853" t="s">
        <v>126</v>
      </c>
      <c r="BD853" t="s">
        <v>79</v>
      </c>
      <c r="BE853" t="s">
        <v>715</v>
      </c>
      <c r="BF853" s="5">
        <v>46631</v>
      </c>
      <c r="BG853" t="s">
        <v>67</v>
      </c>
      <c r="BH853">
        <v>1</v>
      </c>
      <c r="BI853" s="6">
        <v>250000</v>
      </c>
      <c r="BJ853" s="6">
        <v>0</v>
      </c>
      <c r="BK853" s="6">
        <v>180000</v>
      </c>
      <c r="BL853" s="6">
        <v>70000</v>
      </c>
      <c r="BM853" s="2">
        <v>70000</v>
      </c>
      <c r="BN853">
        <f>InvoiceTable[[#This Row],[Giảm giá]]*InvoiceTable[[#This Row],[Số lượng]]</f>
        <v>180000</v>
      </c>
    </row>
    <row r="854" spans="1:66" x14ac:dyDescent="0.25">
      <c r="A854" t="s">
        <v>65</v>
      </c>
      <c r="B854" t="s">
        <v>2710</v>
      </c>
      <c r="F854" s="2"/>
      <c r="G854" s="3">
        <v>46007.542394293981</v>
      </c>
      <c r="H854" s="3">
        <v>46007.542278738423</v>
      </c>
      <c r="I854" s="4" t="s">
        <v>96</v>
      </c>
      <c r="J854" t="s">
        <v>2711</v>
      </c>
      <c r="K854" t="s">
        <v>67</v>
      </c>
      <c r="L854" t="s">
        <v>933</v>
      </c>
      <c r="M854" t="s">
        <v>934</v>
      </c>
      <c r="N854" t="s">
        <v>67</v>
      </c>
      <c r="O854" t="s">
        <v>935</v>
      </c>
      <c r="S854" s="5"/>
      <c r="T854" t="s">
        <v>72</v>
      </c>
      <c r="U854" t="s">
        <v>87</v>
      </c>
      <c r="V854" t="s">
        <v>74</v>
      </c>
      <c r="W854" t="s">
        <v>87</v>
      </c>
      <c r="AE854" s="2"/>
      <c r="AF854" s="2"/>
      <c r="AG854" s="2"/>
      <c r="AH854" s="2"/>
      <c r="AK854" t="s">
        <v>2712</v>
      </c>
      <c r="AL854" s="2">
        <v>2589400</v>
      </c>
      <c r="AM854" s="2">
        <v>0</v>
      </c>
      <c r="AN854" s="2"/>
      <c r="AO854" s="2">
        <v>0</v>
      </c>
      <c r="AP854" s="2">
        <v>2589400</v>
      </c>
      <c r="AQ854" s="2">
        <v>2589400</v>
      </c>
      <c r="AR854" s="2">
        <v>0</v>
      </c>
      <c r="AS854" s="2">
        <v>0</v>
      </c>
      <c r="AT854" s="2">
        <v>0</v>
      </c>
      <c r="AU854" s="2">
        <v>2589400</v>
      </c>
      <c r="AV854" s="2">
        <v>0</v>
      </c>
      <c r="AW854" s="4"/>
      <c r="AX854" t="s">
        <v>75</v>
      </c>
      <c r="AZ854" t="s">
        <v>2713</v>
      </c>
      <c r="BA854" t="s">
        <v>67</v>
      </c>
      <c r="BB854" t="s">
        <v>2714</v>
      </c>
      <c r="BC854" t="s">
        <v>2715</v>
      </c>
      <c r="BD854" t="s">
        <v>79</v>
      </c>
      <c r="BE854" t="s">
        <v>159</v>
      </c>
      <c r="BF854" s="5">
        <v>46478</v>
      </c>
      <c r="BH854">
        <v>1</v>
      </c>
      <c r="BI854" s="6">
        <v>1870000</v>
      </c>
      <c r="BJ854" s="6">
        <v>38</v>
      </c>
      <c r="BK854" s="6">
        <v>710600</v>
      </c>
      <c r="BL854" s="6">
        <v>1159400</v>
      </c>
      <c r="BM854" s="2">
        <v>1159400</v>
      </c>
      <c r="BN854">
        <f>InvoiceTable[[#This Row],[Giảm giá]]*InvoiceTable[[#This Row],[Số lượng]]</f>
        <v>710600</v>
      </c>
    </row>
    <row r="855" spans="1:66" x14ac:dyDescent="0.25">
      <c r="A855" t="s">
        <v>65</v>
      </c>
      <c r="B855" t="s">
        <v>2710</v>
      </c>
      <c r="F855" s="2"/>
      <c r="G855" s="3">
        <v>46007.542394293981</v>
      </c>
      <c r="H855" s="3">
        <v>46007.542278738423</v>
      </c>
      <c r="I855" s="4" t="s">
        <v>96</v>
      </c>
      <c r="J855" t="s">
        <v>2711</v>
      </c>
      <c r="K855" t="s">
        <v>67</v>
      </c>
      <c r="L855" t="s">
        <v>933</v>
      </c>
      <c r="M855" t="s">
        <v>934</v>
      </c>
      <c r="N855" t="s">
        <v>67</v>
      </c>
      <c r="O855" t="s">
        <v>935</v>
      </c>
      <c r="S855" s="5"/>
      <c r="T855" t="s">
        <v>72</v>
      </c>
      <c r="U855" t="s">
        <v>87</v>
      </c>
      <c r="V855" t="s">
        <v>74</v>
      </c>
      <c r="W855" t="s">
        <v>87</v>
      </c>
      <c r="AE855" s="2"/>
      <c r="AF855" s="2"/>
      <c r="AG855" s="2"/>
      <c r="AH855" s="2"/>
      <c r="AK855" t="s">
        <v>2712</v>
      </c>
      <c r="AL855" s="2">
        <v>2589400</v>
      </c>
      <c r="AM855" s="2">
        <v>0</v>
      </c>
      <c r="AN855" s="2"/>
      <c r="AO855" s="2">
        <v>0</v>
      </c>
      <c r="AP855" s="2">
        <v>2589400</v>
      </c>
      <c r="AQ855" s="2">
        <v>2589400</v>
      </c>
      <c r="AR855" s="2">
        <v>0</v>
      </c>
      <c r="AS855" s="2">
        <v>0</v>
      </c>
      <c r="AT855" s="2">
        <v>0</v>
      </c>
      <c r="AU855" s="2">
        <v>2589400</v>
      </c>
      <c r="AV855" s="2">
        <v>0</v>
      </c>
      <c r="AW855" s="4"/>
      <c r="AX855" t="s">
        <v>75</v>
      </c>
      <c r="AZ855" t="s">
        <v>669</v>
      </c>
      <c r="BA855" t="s">
        <v>67</v>
      </c>
      <c r="BB855" t="s">
        <v>670</v>
      </c>
      <c r="BC855" t="s">
        <v>126</v>
      </c>
      <c r="BD855" t="s">
        <v>79</v>
      </c>
      <c r="BE855" t="s">
        <v>159</v>
      </c>
      <c r="BF855" s="5">
        <v>46478</v>
      </c>
      <c r="BH855">
        <v>1</v>
      </c>
      <c r="BI855" s="6">
        <v>350000</v>
      </c>
      <c r="BJ855" s="6">
        <v>0</v>
      </c>
      <c r="BK855" s="6">
        <v>200000</v>
      </c>
      <c r="BL855" s="6">
        <v>150000</v>
      </c>
      <c r="BM855" s="2">
        <v>150000</v>
      </c>
      <c r="BN855">
        <f>InvoiceTable[[#This Row],[Giảm giá]]*InvoiceTable[[#This Row],[Số lượng]]</f>
        <v>200000</v>
      </c>
    </row>
    <row r="856" spans="1:66" x14ac:dyDescent="0.25">
      <c r="A856" t="s">
        <v>65</v>
      </c>
      <c r="B856" t="s">
        <v>2710</v>
      </c>
      <c r="F856" s="2"/>
      <c r="G856" s="3">
        <v>46007.542394293981</v>
      </c>
      <c r="H856" s="3">
        <v>46007.542278738423</v>
      </c>
      <c r="I856" s="4" t="s">
        <v>96</v>
      </c>
      <c r="J856" t="s">
        <v>2711</v>
      </c>
      <c r="K856" t="s">
        <v>67</v>
      </c>
      <c r="L856" t="s">
        <v>933</v>
      </c>
      <c r="M856" t="s">
        <v>934</v>
      </c>
      <c r="N856" t="s">
        <v>67</v>
      </c>
      <c r="O856" t="s">
        <v>935</v>
      </c>
      <c r="S856" s="5"/>
      <c r="T856" t="s">
        <v>72</v>
      </c>
      <c r="U856" t="s">
        <v>87</v>
      </c>
      <c r="V856" t="s">
        <v>74</v>
      </c>
      <c r="W856" t="s">
        <v>87</v>
      </c>
      <c r="AE856" s="2"/>
      <c r="AF856" s="2"/>
      <c r="AG856" s="2"/>
      <c r="AH856" s="2"/>
      <c r="AK856" t="s">
        <v>2712</v>
      </c>
      <c r="AL856" s="2">
        <v>2589400</v>
      </c>
      <c r="AM856" s="2">
        <v>0</v>
      </c>
      <c r="AN856" s="2"/>
      <c r="AO856" s="2">
        <v>0</v>
      </c>
      <c r="AP856" s="2">
        <v>2589400</v>
      </c>
      <c r="AQ856" s="2">
        <v>2589400</v>
      </c>
      <c r="AR856" s="2">
        <v>0</v>
      </c>
      <c r="AS856" s="2">
        <v>0</v>
      </c>
      <c r="AT856" s="2">
        <v>0</v>
      </c>
      <c r="AU856" s="2">
        <v>2589400</v>
      </c>
      <c r="AV856" s="2">
        <v>0</v>
      </c>
      <c r="AW856" s="4"/>
      <c r="AX856" t="s">
        <v>75</v>
      </c>
      <c r="AZ856" t="s">
        <v>2716</v>
      </c>
      <c r="BA856" t="s">
        <v>67</v>
      </c>
      <c r="BB856" t="s">
        <v>2717</v>
      </c>
      <c r="BC856" t="s">
        <v>1149</v>
      </c>
      <c r="BD856" t="s">
        <v>79</v>
      </c>
      <c r="BE856" t="s">
        <v>378</v>
      </c>
      <c r="BF856" s="5">
        <v>46997</v>
      </c>
      <c r="BG856" t="s">
        <v>67</v>
      </c>
      <c r="BH856">
        <v>1</v>
      </c>
      <c r="BI856" s="6">
        <v>2200000</v>
      </c>
      <c r="BJ856" s="6">
        <v>45</v>
      </c>
      <c r="BK856" s="6">
        <v>990000</v>
      </c>
      <c r="BL856" s="6">
        <v>1210000</v>
      </c>
      <c r="BM856" s="2">
        <v>1210000</v>
      </c>
      <c r="BN856">
        <f>InvoiceTable[[#This Row],[Giảm giá]]*InvoiceTable[[#This Row],[Số lượng]]</f>
        <v>990000</v>
      </c>
    </row>
    <row r="857" spans="1:66" x14ac:dyDescent="0.25">
      <c r="A857" t="s">
        <v>65</v>
      </c>
      <c r="B857" t="s">
        <v>2718</v>
      </c>
      <c r="F857" s="2"/>
      <c r="G857" s="3">
        <v>46007.54224440972</v>
      </c>
      <c r="H857" s="3">
        <v>46007.54212878472</v>
      </c>
      <c r="I857" s="4" t="s">
        <v>96</v>
      </c>
      <c r="J857" t="s">
        <v>2719</v>
      </c>
      <c r="K857" t="s">
        <v>67</v>
      </c>
      <c r="L857" t="s">
        <v>933</v>
      </c>
      <c r="M857" t="s">
        <v>934</v>
      </c>
      <c r="N857" t="s">
        <v>67</v>
      </c>
      <c r="O857" t="s">
        <v>935</v>
      </c>
      <c r="S857" s="5"/>
      <c r="T857" t="s">
        <v>72</v>
      </c>
      <c r="U857" t="s">
        <v>87</v>
      </c>
      <c r="V857" t="s">
        <v>74</v>
      </c>
      <c r="W857" t="s">
        <v>87</v>
      </c>
      <c r="AE857" s="2"/>
      <c r="AF857" s="2"/>
      <c r="AG857" s="2"/>
      <c r="AH857" s="2"/>
      <c r="AK857" t="s">
        <v>2720</v>
      </c>
      <c r="AL857" s="2">
        <v>6921000</v>
      </c>
      <c r="AM857" s="2">
        <v>0</v>
      </c>
      <c r="AN857" s="2"/>
      <c r="AO857" s="2">
        <v>0</v>
      </c>
      <c r="AP857" s="2">
        <v>6921000</v>
      </c>
      <c r="AQ857" s="2">
        <v>6921000</v>
      </c>
      <c r="AR857" s="2">
        <v>0</v>
      </c>
      <c r="AS857" s="2">
        <v>0</v>
      </c>
      <c r="AT857" s="2">
        <v>0</v>
      </c>
      <c r="AU857" s="2">
        <v>6921000</v>
      </c>
      <c r="AV857" s="2">
        <v>0</v>
      </c>
      <c r="AW857" s="4"/>
      <c r="AX857" t="s">
        <v>75</v>
      </c>
      <c r="AZ857" t="s">
        <v>573</v>
      </c>
      <c r="BA857" t="s">
        <v>67</v>
      </c>
      <c r="BB857" t="s">
        <v>89</v>
      </c>
      <c r="BC857" t="s">
        <v>90</v>
      </c>
      <c r="BF857" s="5"/>
      <c r="BG857" t="s">
        <v>67</v>
      </c>
      <c r="BH857">
        <v>1</v>
      </c>
      <c r="BI857" s="6">
        <v>117000</v>
      </c>
      <c r="BJ857" s="6">
        <v>0</v>
      </c>
      <c r="BK857" s="6">
        <v>0</v>
      </c>
      <c r="BL857" s="6">
        <v>117000</v>
      </c>
      <c r="BM857" s="2">
        <v>117000</v>
      </c>
      <c r="BN857">
        <f>InvoiceTable[[#This Row],[Giảm giá]]*InvoiceTable[[#This Row],[Số lượng]]</f>
        <v>0</v>
      </c>
    </row>
    <row r="858" spans="1:66" x14ac:dyDescent="0.25">
      <c r="A858" t="s">
        <v>65</v>
      </c>
      <c r="B858" t="s">
        <v>2718</v>
      </c>
      <c r="F858" s="2"/>
      <c r="G858" s="3">
        <v>46007.54224440972</v>
      </c>
      <c r="H858" s="3">
        <v>46007.54212878472</v>
      </c>
      <c r="I858" s="4" t="s">
        <v>96</v>
      </c>
      <c r="J858" t="s">
        <v>2719</v>
      </c>
      <c r="K858" t="s">
        <v>67</v>
      </c>
      <c r="L858" t="s">
        <v>933</v>
      </c>
      <c r="M858" t="s">
        <v>934</v>
      </c>
      <c r="N858" t="s">
        <v>67</v>
      </c>
      <c r="O858" t="s">
        <v>935</v>
      </c>
      <c r="S858" s="5"/>
      <c r="T858" t="s">
        <v>72</v>
      </c>
      <c r="U858" t="s">
        <v>87</v>
      </c>
      <c r="V858" t="s">
        <v>74</v>
      </c>
      <c r="W858" t="s">
        <v>87</v>
      </c>
      <c r="AE858" s="2"/>
      <c r="AF858" s="2"/>
      <c r="AG858" s="2"/>
      <c r="AH858" s="2"/>
      <c r="AK858" t="s">
        <v>2720</v>
      </c>
      <c r="AL858" s="2">
        <v>6921000</v>
      </c>
      <c r="AM858" s="2">
        <v>0</v>
      </c>
      <c r="AN858" s="2"/>
      <c r="AO858" s="2">
        <v>0</v>
      </c>
      <c r="AP858" s="2">
        <v>6921000</v>
      </c>
      <c r="AQ858" s="2">
        <v>6921000</v>
      </c>
      <c r="AR858" s="2">
        <v>0</v>
      </c>
      <c r="AS858" s="2">
        <v>0</v>
      </c>
      <c r="AT858" s="2">
        <v>0</v>
      </c>
      <c r="AU858" s="2">
        <v>6921000</v>
      </c>
      <c r="AV858" s="2">
        <v>0</v>
      </c>
      <c r="AW858" s="4"/>
      <c r="AX858" t="s">
        <v>75</v>
      </c>
      <c r="AZ858" t="s">
        <v>2644</v>
      </c>
      <c r="BA858" t="s">
        <v>67</v>
      </c>
      <c r="BB858" t="s">
        <v>2645</v>
      </c>
      <c r="BC858" t="s">
        <v>1183</v>
      </c>
      <c r="BD858" t="s">
        <v>79</v>
      </c>
      <c r="BE858" t="s">
        <v>293</v>
      </c>
      <c r="BF858" s="5">
        <v>46722</v>
      </c>
      <c r="BG858" t="s">
        <v>67</v>
      </c>
      <c r="BH858">
        <v>1</v>
      </c>
      <c r="BI858" s="6">
        <v>3200000</v>
      </c>
      <c r="BJ858" s="6">
        <v>55</v>
      </c>
      <c r="BK858" s="6">
        <v>1760000</v>
      </c>
      <c r="BL858" s="6">
        <v>1440000</v>
      </c>
      <c r="BM858" s="2">
        <v>1440000</v>
      </c>
      <c r="BN858">
        <f>InvoiceTable[[#This Row],[Giảm giá]]*InvoiceTable[[#This Row],[Số lượng]]</f>
        <v>1760000</v>
      </c>
    </row>
    <row r="859" spans="1:66" x14ac:dyDescent="0.25">
      <c r="A859" t="s">
        <v>65</v>
      </c>
      <c r="B859" t="s">
        <v>2718</v>
      </c>
      <c r="F859" s="2"/>
      <c r="G859" s="3">
        <v>46007.54224440972</v>
      </c>
      <c r="H859" s="3">
        <v>46007.54212878472</v>
      </c>
      <c r="I859" s="4" t="s">
        <v>96</v>
      </c>
      <c r="J859" t="s">
        <v>2719</v>
      </c>
      <c r="K859" t="s">
        <v>67</v>
      </c>
      <c r="L859" t="s">
        <v>933</v>
      </c>
      <c r="M859" t="s">
        <v>934</v>
      </c>
      <c r="N859" t="s">
        <v>67</v>
      </c>
      <c r="O859" t="s">
        <v>935</v>
      </c>
      <c r="S859" s="5"/>
      <c r="T859" t="s">
        <v>72</v>
      </c>
      <c r="U859" t="s">
        <v>87</v>
      </c>
      <c r="V859" t="s">
        <v>74</v>
      </c>
      <c r="W859" t="s">
        <v>87</v>
      </c>
      <c r="AE859" s="2"/>
      <c r="AF859" s="2"/>
      <c r="AG859" s="2"/>
      <c r="AH859" s="2"/>
      <c r="AK859" t="s">
        <v>2720</v>
      </c>
      <c r="AL859" s="2">
        <v>6921000</v>
      </c>
      <c r="AM859" s="2">
        <v>0</v>
      </c>
      <c r="AN859" s="2"/>
      <c r="AO859" s="2">
        <v>0</v>
      </c>
      <c r="AP859" s="2">
        <v>6921000</v>
      </c>
      <c r="AQ859" s="2">
        <v>6921000</v>
      </c>
      <c r="AR859" s="2">
        <v>0</v>
      </c>
      <c r="AS859" s="2">
        <v>0</v>
      </c>
      <c r="AT859" s="2">
        <v>0</v>
      </c>
      <c r="AU859" s="2">
        <v>6921000</v>
      </c>
      <c r="AV859" s="2">
        <v>0</v>
      </c>
      <c r="AW859" s="4"/>
      <c r="AX859" t="s">
        <v>75</v>
      </c>
      <c r="AZ859" t="s">
        <v>2721</v>
      </c>
      <c r="BA859" t="s">
        <v>67</v>
      </c>
      <c r="BB859" t="s">
        <v>2722</v>
      </c>
      <c r="BC859" t="s">
        <v>158</v>
      </c>
      <c r="BD859" t="s">
        <v>79</v>
      </c>
      <c r="BE859" t="s">
        <v>2723</v>
      </c>
      <c r="BF859" s="5">
        <v>46811</v>
      </c>
      <c r="BG859" t="s">
        <v>67</v>
      </c>
      <c r="BH859">
        <v>1</v>
      </c>
      <c r="BI859" s="6">
        <v>3800000</v>
      </c>
      <c r="BJ859" s="6">
        <v>47</v>
      </c>
      <c r="BK859" s="6">
        <v>1786000</v>
      </c>
      <c r="BL859" s="6">
        <v>2014000</v>
      </c>
      <c r="BM859" s="2">
        <v>2014000</v>
      </c>
      <c r="BN859">
        <f>InvoiceTable[[#This Row],[Giảm giá]]*InvoiceTable[[#This Row],[Số lượng]]</f>
        <v>1786000</v>
      </c>
    </row>
    <row r="860" spans="1:66" x14ac:dyDescent="0.25">
      <c r="A860" t="s">
        <v>65</v>
      </c>
      <c r="B860" t="s">
        <v>2718</v>
      </c>
      <c r="F860" s="2"/>
      <c r="G860" s="3">
        <v>46007.54224440972</v>
      </c>
      <c r="H860" s="3">
        <v>46007.54212878472</v>
      </c>
      <c r="I860" s="4" t="s">
        <v>96</v>
      </c>
      <c r="J860" t="s">
        <v>2719</v>
      </c>
      <c r="K860" t="s">
        <v>67</v>
      </c>
      <c r="L860" t="s">
        <v>933</v>
      </c>
      <c r="M860" t="s">
        <v>934</v>
      </c>
      <c r="N860" t="s">
        <v>67</v>
      </c>
      <c r="O860" t="s">
        <v>935</v>
      </c>
      <c r="S860" s="5"/>
      <c r="T860" t="s">
        <v>72</v>
      </c>
      <c r="U860" t="s">
        <v>87</v>
      </c>
      <c r="V860" t="s">
        <v>74</v>
      </c>
      <c r="W860" t="s">
        <v>87</v>
      </c>
      <c r="AE860" s="2"/>
      <c r="AF860" s="2"/>
      <c r="AG860" s="2"/>
      <c r="AH860" s="2"/>
      <c r="AK860" t="s">
        <v>2720</v>
      </c>
      <c r="AL860" s="2">
        <v>6921000</v>
      </c>
      <c r="AM860" s="2">
        <v>0</v>
      </c>
      <c r="AN860" s="2"/>
      <c r="AO860" s="2">
        <v>0</v>
      </c>
      <c r="AP860" s="2">
        <v>6921000</v>
      </c>
      <c r="AQ860" s="2">
        <v>6921000</v>
      </c>
      <c r="AR860" s="2">
        <v>0</v>
      </c>
      <c r="AS860" s="2">
        <v>0</v>
      </c>
      <c r="AT860" s="2">
        <v>0</v>
      </c>
      <c r="AU860" s="2">
        <v>6921000</v>
      </c>
      <c r="AV860" s="2">
        <v>0</v>
      </c>
      <c r="AW860" s="4"/>
      <c r="AX860" t="s">
        <v>75</v>
      </c>
      <c r="AZ860" t="s">
        <v>1086</v>
      </c>
      <c r="BA860" t="s">
        <v>67</v>
      </c>
      <c r="BB860" t="s">
        <v>1087</v>
      </c>
      <c r="BC860" t="s">
        <v>960</v>
      </c>
      <c r="BD860" t="s">
        <v>79</v>
      </c>
      <c r="BE860" t="s">
        <v>378</v>
      </c>
      <c r="BF860" s="5">
        <v>46997</v>
      </c>
      <c r="BG860" t="s">
        <v>67</v>
      </c>
      <c r="BH860">
        <v>1</v>
      </c>
      <c r="BI860" s="6">
        <v>3500000</v>
      </c>
      <c r="BJ860" s="6">
        <v>47</v>
      </c>
      <c r="BK860" s="6">
        <v>1645000</v>
      </c>
      <c r="BL860" s="6">
        <v>1855000</v>
      </c>
      <c r="BM860" s="2">
        <v>1855000</v>
      </c>
      <c r="BN860">
        <f>InvoiceTable[[#This Row],[Giảm giá]]*InvoiceTable[[#This Row],[Số lượng]]</f>
        <v>1645000</v>
      </c>
    </row>
    <row r="861" spans="1:66" x14ac:dyDescent="0.25">
      <c r="A861" t="s">
        <v>65</v>
      </c>
      <c r="B861" t="s">
        <v>2718</v>
      </c>
      <c r="F861" s="2"/>
      <c r="G861" s="3">
        <v>46007.54224440972</v>
      </c>
      <c r="H861" s="3">
        <v>46007.54212878472</v>
      </c>
      <c r="I861" s="4" t="s">
        <v>96</v>
      </c>
      <c r="J861" t="s">
        <v>2719</v>
      </c>
      <c r="K861" t="s">
        <v>67</v>
      </c>
      <c r="L861" t="s">
        <v>933</v>
      </c>
      <c r="M861" t="s">
        <v>934</v>
      </c>
      <c r="N861" t="s">
        <v>67</v>
      </c>
      <c r="O861" t="s">
        <v>935</v>
      </c>
      <c r="S861" s="5"/>
      <c r="T861" t="s">
        <v>72</v>
      </c>
      <c r="U861" t="s">
        <v>87</v>
      </c>
      <c r="V861" t="s">
        <v>74</v>
      </c>
      <c r="W861" t="s">
        <v>87</v>
      </c>
      <c r="AE861" s="2"/>
      <c r="AF861" s="2"/>
      <c r="AG861" s="2"/>
      <c r="AH861" s="2"/>
      <c r="AK861" t="s">
        <v>2720</v>
      </c>
      <c r="AL861" s="2">
        <v>6921000</v>
      </c>
      <c r="AM861" s="2">
        <v>0</v>
      </c>
      <c r="AN861" s="2"/>
      <c r="AO861" s="2">
        <v>0</v>
      </c>
      <c r="AP861" s="2">
        <v>6921000</v>
      </c>
      <c r="AQ861" s="2">
        <v>6921000</v>
      </c>
      <c r="AR861" s="2">
        <v>0</v>
      </c>
      <c r="AS861" s="2">
        <v>0</v>
      </c>
      <c r="AT861" s="2">
        <v>0</v>
      </c>
      <c r="AU861" s="2">
        <v>6921000</v>
      </c>
      <c r="AV861" s="2">
        <v>0</v>
      </c>
      <c r="AW861" s="4"/>
      <c r="AX861" t="s">
        <v>75</v>
      </c>
      <c r="AZ861" t="s">
        <v>940</v>
      </c>
      <c r="BA861" t="s">
        <v>67</v>
      </c>
      <c r="BB861" t="s">
        <v>941</v>
      </c>
      <c r="BC861" t="s">
        <v>126</v>
      </c>
      <c r="BD861" t="s">
        <v>79</v>
      </c>
      <c r="BE861" t="s">
        <v>715</v>
      </c>
      <c r="BF861" s="5">
        <v>46631</v>
      </c>
      <c r="BG861" t="s">
        <v>67</v>
      </c>
      <c r="BH861">
        <v>1</v>
      </c>
      <c r="BI861" s="6">
        <v>250000</v>
      </c>
      <c r="BJ861" s="6">
        <v>0</v>
      </c>
      <c r="BK861" s="6">
        <v>180000</v>
      </c>
      <c r="BL861" s="6">
        <v>70000</v>
      </c>
      <c r="BM861" s="2">
        <v>70000</v>
      </c>
      <c r="BN861">
        <f>InvoiceTable[[#This Row],[Giảm giá]]*InvoiceTable[[#This Row],[Số lượng]]</f>
        <v>180000</v>
      </c>
    </row>
    <row r="862" spans="1:66" x14ac:dyDescent="0.25">
      <c r="A862" t="s">
        <v>65</v>
      </c>
      <c r="B862" t="s">
        <v>2718</v>
      </c>
      <c r="F862" s="2"/>
      <c r="G862" s="3">
        <v>46007.54224440972</v>
      </c>
      <c r="H862" s="3">
        <v>46007.54212878472</v>
      </c>
      <c r="I862" s="4" t="s">
        <v>96</v>
      </c>
      <c r="J862" t="s">
        <v>2719</v>
      </c>
      <c r="K862" t="s">
        <v>67</v>
      </c>
      <c r="L862" t="s">
        <v>933</v>
      </c>
      <c r="M862" t="s">
        <v>934</v>
      </c>
      <c r="N862" t="s">
        <v>67</v>
      </c>
      <c r="O862" t="s">
        <v>935</v>
      </c>
      <c r="S862" s="5"/>
      <c r="T862" t="s">
        <v>72</v>
      </c>
      <c r="U862" t="s">
        <v>87</v>
      </c>
      <c r="V862" t="s">
        <v>74</v>
      </c>
      <c r="W862" t="s">
        <v>87</v>
      </c>
      <c r="AE862" s="2"/>
      <c r="AF862" s="2"/>
      <c r="AG862" s="2"/>
      <c r="AH862" s="2"/>
      <c r="AK862" t="s">
        <v>2720</v>
      </c>
      <c r="AL862" s="2">
        <v>6921000</v>
      </c>
      <c r="AM862" s="2">
        <v>0</v>
      </c>
      <c r="AN862" s="2"/>
      <c r="AO862" s="2">
        <v>0</v>
      </c>
      <c r="AP862" s="2">
        <v>6921000</v>
      </c>
      <c r="AQ862" s="2">
        <v>6921000</v>
      </c>
      <c r="AR862" s="2">
        <v>0</v>
      </c>
      <c r="AS862" s="2">
        <v>0</v>
      </c>
      <c r="AT862" s="2">
        <v>0</v>
      </c>
      <c r="AU862" s="2">
        <v>6921000</v>
      </c>
      <c r="AV862" s="2">
        <v>0</v>
      </c>
      <c r="AW862" s="4"/>
      <c r="AX862" t="s">
        <v>75</v>
      </c>
      <c r="AZ862" t="s">
        <v>2724</v>
      </c>
      <c r="BA862" t="s">
        <v>67</v>
      </c>
      <c r="BB862" t="s">
        <v>2725</v>
      </c>
      <c r="BC862" t="s">
        <v>2726</v>
      </c>
      <c r="BD862" t="s">
        <v>79</v>
      </c>
      <c r="BE862" t="s">
        <v>195</v>
      </c>
      <c r="BF862" s="5">
        <v>46419</v>
      </c>
      <c r="BH862">
        <v>1</v>
      </c>
      <c r="BI862" s="6">
        <v>2200000</v>
      </c>
      <c r="BJ862" s="6">
        <v>40</v>
      </c>
      <c r="BK862" s="6">
        <v>880000</v>
      </c>
      <c r="BL862" s="6">
        <v>1320000</v>
      </c>
      <c r="BM862" s="2">
        <v>1320000</v>
      </c>
      <c r="BN862">
        <f>InvoiceTable[[#This Row],[Giảm giá]]*InvoiceTable[[#This Row],[Số lượng]]</f>
        <v>880000</v>
      </c>
    </row>
    <row r="863" spans="1:66" x14ac:dyDescent="0.25">
      <c r="A863" t="s">
        <v>65</v>
      </c>
      <c r="B863" t="s">
        <v>2718</v>
      </c>
      <c r="F863" s="2"/>
      <c r="G863" s="3">
        <v>46007.54224440972</v>
      </c>
      <c r="H863" s="3">
        <v>46007.54212878472</v>
      </c>
      <c r="I863" s="4" t="s">
        <v>96</v>
      </c>
      <c r="J863" t="s">
        <v>2719</v>
      </c>
      <c r="K863" t="s">
        <v>67</v>
      </c>
      <c r="L863" t="s">
        <v>933</v>
      </c>
      <c r="M863" t="s">
        <v>934</v>
      </c>
      <c r="N863" t="s">
        <v>67</v>
      </c>
      <c r="O863" t="s">
        <v>935</v>
      </c>
      <c r="S863" s="5"/>
      <c r="T863" t="s">
        <v>72</v>
      </c>
      <c r="U863" t="s">
        <v>87</v>
      </c>
      <c r="V863" t="s">
        <v>74</v>
      </c>
      <c r="W863" t="s">
        <v>87</v>
      </c>
      <c r="AE863" s="2"/>
      <c r="AF863" s="2"/>
      <c r="AG863" s="2"/>
      <c r="AH863" s="2"/>
      <c r="AK863" t="s">
        <v>2720</v>
      </c>
      <c r="AL863" s="2">
        <v>6921000</v>
      </c>
      <c r="AM863" s="2">
        <v>0</v>
      </c>
      <c r="AN863" s="2"/>
      <c r="AO863" s="2">
        <v>0</v>
      </c>
      <c r="AP863" s="2">
        <v>6921000</v>
      </c>
      <c r="AQ863" s="2">
        <v>6921000</v>
      </c>
      <c r="AR863" s="2">
        <v>0</v>
      </c>
      <c r="AS863" s="2">
        <v>0</v>
      </c>
      <c r="AT863" s="2">
        <v>0</v>
      </c>
      <c r="AU863" s="2">
        <v>6921000</v>
      </c>
      <c r="AV863" s="2">
        <v>0</v>
      </c>
      <c r="AW863" s="4"/>
      <c r="AX863" t="s">
        <v>75</v>
      </c>
      <c r="AZ863" t="s">
        <v>2727</v>
      </c>
      <c r="BA863" t="s">
        <v>67</v>
      </c>
      <c r="BB863" t="s">
        <v>2728</v>
      </c>
      <c r="BC863" t="s">
        <v>2729</v>
      </c>
      <c r="BD863" t="s">
        <v>79</v>
      </c>
      <c r="BE863" t="s">
        <v>2730</v>
      </c>
      <c r="BF863" s="5">
        <v>46265</v>
      </c>
      <c r="BH863">
        <v>1</v>
      </c>
      <c r="BI863" s="6">
        <v>160000</v>
      </c>
      <c r="BJ863" s="6">
        <v>0</v>
      </c>
      <c r="BK863" s="6">
        <v>55000</v>
      </c>
      <c r="BL863" s="6">
        <v>105000</v>
      </c>
      <c r="BM863" s="2">
        <v>105000</v>
      </c>
      <c r="BN863">
        <f>InvoiceTable[[#This Row],[Giảm giá]]*InvoiceTable[[#This Row],[Số lượng]]</f>
        <v>55000</v>
      </c>
    </row>
    <row r="864" spans="1:66" x14ac:dyDescent="0.25">
      <c r="A864" t="s">
        <v>65</v>
      </c>
      <c r="B864" t="s">
        <v>2731</v>
      </c>
      <c r="F864" s="2"/>
      <c r="G864" s="3">
        <v>46007.470218437498</v>
      </c>
      <c r="H864" s="3">
        <v>46007.470218553244</v>
      </c>
      <c r="I864" s="4" t="s">
        <v>67</v>
      </c>
      <c r="J864" t="s">
        <v>2732</v>
      </c>
      <c r="K864" t="s">
        <v>67</v>
      </c>
      <c r="L864" t="s">
        <v>914</v>
      </c>
      <c r="M864" t="s">
        <v>915</v>
      </c>
      <c r="N864" t="s">
        <v>916</v>
      </c>
      <c r="O864" t="s">
        <v>917</v>
      </c>
      <c r="P864" t="s">
        <v>918</v>
      </c>
      <c r="S864" s="5"/>
      <c r="T864" t="s">
        <v>72</v>
      </c>
      <c r="U864" t="s">
        <v>87</v>
      </c>
      <c r="V864" t="s">
        <v>74</v>
      </c>
      <c r="W864" t="s">
        <v>87</v>
      </c>
      <c r="AE864" s="2"/>
      <c r="AF864" s="2"/>
      <c r="AG864" s="2"/>
      <c r="AH864" s="2"/>
      <c r="AL864" s="2">
        <v>4416500</v>
      </c>
      <c r="AM864" s="2">
        <v>0</v>
      </c>
      <c r="AN864" s="2"/>
      <c r="AO864" s="2">
        <v>0</v>
      </c>
      <c r="AP864" s="2">
        <v>4416500</v>
      </c>
      <c r="AQ864" s="2">
        <v>0</v>
      </c>
      <c r="AR864" s="2">
        <v>0</v>
      </c>
      <c r="AS864" s="2">
        <v>0</v>
      </c>
      <c r="AT864" s="2">
        <v>0</v>
      </c>
      <c r="AU864" s="2">
        <v>0</v>
      </c>
      <c r="AV864" s="2">
        <v>0</v>
      </c>
      <c r="AW864" s="4"/>
      <c r="AX864" t="s">
        <v>75</v>
      </c>
      <c r="AZ864" t="s">
        <v>2733</v>
      </c>
      <c r="BB864" t="s">
        <v>2734</v>
      </c>
      <c r="BC864" t="s">
        <v>2140</v>
      </c>
      <c r="BD864" t="s">
        <v>79</v>
      </c>
      <c r="BE864" t="s">
        <v>293</v>
      </c>
      <c r="BF864" s="5">
        <v>46722</v>
      </c>
      <c r="BG864" t="s">
        <v>67</v>
      </c>
      <c r="BH864">
        <v>1</v>
      </c>
      <c r="BI864" s="6">
        <v>6050000</v>
      </c>
      <c r="BJ864" s="6">
        <v>27</v>
      </c>
      <c r="BK864" s="6">
        <v>1633500</v>
      </c>
      <c r="BL864" s="6">
        <v>4416500</v>
      </c>
      <c r="BM864" s="2">
        <v>4416500</v>
      </c>
      <c r="BN864">
        <f>InvoiceTable[[#This Row],[Giảm giá]]*InvoiceTable[[#This Row],[Số lượng]]</f>
        <v>1633500</v>
      </c>
    </row>
    <row r="865" spans="1:66" x14ac:dyDescent="0.25">
      <c r="A865" t="s">
        <v>65</v>
      </c>
      <c r="B865" t="s">
        <v>2735</v>
      </c>
      <c r="F865" s="2"/>
      <c r="G865" s="3">
        <v>46007.469924687502</v>
      </c>
      <c r="H865" s="3">
        <v>46007.469832210649</v>
      </c>
      <c r="I865" s="4" t="s">
        <v>844</v>
      </c>
      <c r="J865" t="s">
        <v>2736</v>
      </c>
      <c r="K865" t="s">
        <v>67</v>
      </c>
      <c r="L865" t="s">
        <v>2737</v>
      </c>
      <c r="M865" t="s">
        <v>2738</v>
      </c>
      <c r="N865" t="s">
        <v>67</v>
      </c>
      <c r="O865" t="s">
        <v>2739</v>
      </c>
      <c r="P865" t="s">
        <v>2740</v>
      </c>
      <c r="S865" s="5"/>
      <c r="T865" t="s">
        <v>72</v>
      </c>
      <c r="U865" t="s">
        <v>87</v>
      </c>
      <c r="V865" t="s">
        <v>74</v>
      </c>
      <c r="W865" t="s">
        <v>87</v>
      </c>
      <c r="AE865" s="2"/>
      <c r="AF865" s="2"/>
      <c r="AG865" s="2"/>
      <c r="AH865" s="2"/>
      <c r="AL865" s="2">
        <v>7050000</v>
      </c>
      <c r="AM865" s="2">
        <v>0</v>
      </c>
      <c r="AN865" s="2"/>
      <c r="AO865" s="2">
        <v>0</v>
      </c>
      <c r="AP865" s="2">
        <v>7050000</v>
      </c>
      <c r="AQ865" s="2">
        <v>0</v>
      </c>
      <c r="AR865" s="2">
        <v>0</v>
      </c>
      <c r="AS865" s="2">
        <v>0</v>
      </c>
      <c r="AT865" s="2">
        <v>0</v>
      </c>
      <c r="AU865" s="2">
        <v>0</v>
      </c>
      <c r="AV865" s="2">
        <v>0</v>
      </c>
      <c r="AW865" s="4"/>
      <c r="AX865" t="s">
        <v>75</v>
      </c>
      <c r="AZ865" t="s">
        <v>601</v>
      </c>
      <c r="BA865" t="s">
        <v>67</v>
      </c>
      <c r="BB865" t="s">
        <v>602</v>
      </c>
      <c r="BC865" t="s">
        <v>301</v>
      </c>
      <c r="BD865" t="s">
        <v>79</v>
      </c>
      <c r="BE865" t="s">
        <v>603</v>
      </c>
      <c r="BF865" s="5">
        <v>46802</v>
      </c>
      <c r="BH865">
        <v>5</v>
      </c>
      <c r="BI865" s="6">
        <v>2650000</v>
      </c>
      <c r="BJ865" s="6">
        <v>0</v>
      </c>
      <c r="BK865" s="6">
        <v>1240000</v>
      </c>
      <c r="BL865" s="6">
        <v>1410000</v>
      </c>
      <c r="BM865" s="2">
        <v>7050000</v>
      </c>
      <c r="BN865">
        <f>InvoiceTable[[#This Row],[Giảm giá]]*InvoiceTable[[#This Row],[Số lượng]]</f>
        <v>6200000</v>
      </c>
    </row>
    <row r="866" spans="1:66" x14ac:dyDescent="0.25">
      <c r="A866" t="s">
        <v>65</v>
      </c>
      <c r="B866" t="s">
        <v>2741</v>
      </c>
      <c r="F866" s="2"/>
      <c r="G866" s="3">
        <v>46007.469798344908</v>
      </c>
      <c r="H866" s="3">
        <v>46007.469694594911</v>
      </c>
      <c r="I866" s="4" t="s">
        <v>686</v>
      </c>
      <c r="J866" t="s">
        <v>2742</v>
      </c>
      <c r="K866" t="s">
        <v>67</v>
      </c>
      <c r="L866" t="s">
        <v>1854</v>
      </c>
      <c r="M866" t="s">
        <v>1855</v>
      </c>
      <c r="N866" t="s">
        <v>67</v>
      </c>
      <c r="O866" t="s">
        <v>1856</v>
      </c>
      <c r="P866" t="s">
        <v>1857</v>
      </c>
      <c r="Q866" t="s">
        <v>1858</v>
      </c>
      <c r="R866" t="s">
        <v>1859</v>
      </c>
      <c r="S866" s="5"/>
      <c r="T866" t="s">
        <v>72</v>
      </c>
      <c r="U866" t="s">
        <v>87</v>
      </c>
      <c r="V866" t="s">
        <v>74</v>
      </c>
      <c r="W866" t="s">
        <v>87</v>
      </c>
      <c r="AE866" s="2"/>
      <c r="AF866" s="2"/>
      <c r="AG866" s="2"/>
      <c r="AH866" s="2"/>
      <c r="AL866" s="2">
        <v>4152500</v>
      </c>
      <c r="AM866" s="2">
        <v>0</v>
      </c>
      <c r="AN866" s="2"/>
      <c r="AO866" s="2">
        <v>0</v>
      </c>
      <c r="AP866" s="2">
        <v>4152500</v>
      </c>
      <c r="AQ866" s="2">
        <v>0</v>
      </c>
      <c r="AR866" s="2">
        <v>0</v>
      </c>
      <c r="AS866" s="2">
        <v>0</v>
      </c>
      <c r="AT866" s="2">
        <v>0</v>
      </c>
      <c r="AU866" s="2">
        <v>0</v>
      </c>
      <c r="AV866" s="2">
        <v>0</v>
      </c>
      <c r="AW866" s="4"/>
      <c r="AX866" t="s">
        <v>75</v>
      </c>
      <c r="AZ866" t="s">
        <v>299</v>
      </c>
      <c r="BA866" t="s">
        <v>67</v>
      </c>
      <c r="BB866" t="s">
        <v>300</v>
      </c>
      <c r="BC866" t="s">
        <v>301</v>
      </c>
      <c r="BD866" t="s">
        <v>79</v>
      </c>
      <c r="BE866" t="s">
        <v>177</v>
      </c>
      <c r="BF866" s="5">
        <v>47027</v>
      </c>
      <c r="BG866" t="s">
        <v>67</v>
      </c>
      <c r="BH866">
        <v>1</v>
      </c>
      <c r="BI866" s="6">
        <v>7550000</v>
      </c>
      <c r="BJ866" s="6">
        <v>45</v>
      </c>
      <c r="BK866" s="6">
        <v>3397500</v>
      </c>
      <c r="BL866" s="6">
        <v>4152500</v>
      </c>
      <c r="BM866" s="2">
        <v>4152500</v>
      </c>
      <c r="BN866">
        <f>InvoiceTable[[#This Row],[Giảm giá]]*InvoiceTable[[#This Row],[Số lượng]]</f>
        <v>3397500</v>
      </c>
    </row>
    <row r="867" spans="1:66" x14ac:dyDescent="0.25">
      <c r="A867" t="s">
        <v>65</v>
      </c>
      <c r="B867" t="s">
        <v>2743</v>
      </c>
      <c r="F867" s="2"/>
      <c r="G867" s="3">
        <v>46007.469539155092</v>
      </c>
      <c r="H867" s="3">
        <v>46007.469516203702</v>
      </c>
      <c r="I867" s="4" t="s">
        <v>2643</v>
      </c>
      <c r="J867" t="s">
        <v>2744</v>
      </c>
      <c r="K867" t="s">
        <v>67</v>
      </c>
      <c r="L867" t="s">
        <v>1353</v>
      </c>
      <c r="M867" t="s">
        <v>1354</v>
      </c>
      <c r="N867" t="s">
        <v>1355</v>
      </c>
      <c r="O867" t="s">
        <v>1356</v>
      </c>
      <c r="P867" t="s">
        <v>1357</v>
      </c>
      <c r="S867" s="5"/>
      <c r="T867" t="s">
        <v>72</v>
      </c>
      <c r="U867" t="s">
        <v>102</v>
      </c>
      <c r="V867" t="s">
        <v>74</v>
      </c>
      <c r="W867" t="s">
        <v>87</v>
      </c>
      <c r="AE867" s="2"/>
      <c r="AF867" s="2"/>
      <c r="AG867" s="2"/>
      <c r="AH867" s="2"/>
      <c r="AL867" s="2">
        <v>800000</v>
      </c>
      <c r="AM867" s="2">
        <v>0</v>
      </c>
      <c r="AN867" s="2"/>
      <c r="AO867" s="2">
        <v>0</v>
      </c>
      <c r="AP867" s="2">
        <v>800000</v>
      </c>
      <c r="AQ867" s="2">
        <v>0</v>
      </c>
      <c r="AR867" s="2">
        <v>0</v>
      </c>
      <c r="AS867" s="2">
        <v>0</v>
      </c>
      <c r="AT867" s="2">
        <v>0</v>
      </c>
      <c r="AU867" s="2">
        <v>0</v>
      </c>
      <c r="AV867" s="2">
        <v>0</v>
      </c>
      <c r="AW867" s="4"/>
      <c r="AX867" t="s">
        <v>75</v>
      </c>
      <c r="AZ867" t="s">
        <v>663</v>
      </c>
      <c r="BA867" t="s">
        <v>67</v>
      </c>
      <c r="BB867" t="s">
        <v>664</v>
      </c>
      <c r="BC867" t="s">
        <v>665</v>
      </c>
      <c r="BD867" t="s">
        <v>79</v>
      </c>
      <c r="BE867" t="s">
        <v>195</v>
      </c>
      <c r="BF867" s="5">
        <v>46419</v>
      </c>
      <c r="BH867">
        <v>5</v>
      </c>
      <c r="BI867" s="6">
        <v>380000</v>
      </c>
      <c r="BJ867" s="6">
        <v>0</v>
      </c>
      <c r="BK867" s="6">
        <v>220000</v>
      </c>
      <c r="BL867" s="6">
        <v>160000</v>
      </c>
      <c r="BM867" s="2">
        <v>800000</v>
      </c>
      <c r="BN867">
        <f>InvoiceTable[[#This Row],[Giảm giá]]*InvoiceTable[[#This Row],[Số lượng]]</f>
        <v>1100000</v>
      </c>
    </row>
    <row r="868" spans="1:66" x14ac:dyDescent="0.25">
      <c r="A868" t="s">
        <v>65</v>
      </c>
      <c r="B868" t="s">
        <v>2745</v>
      </c>
      <c r="F868" s="2"/>
      <c r="G868" s="3">
        <v>46007.469449999997</v>
      </c>
      <c r="H868" s="3">
        <v>46007.469334490743</v>
      </c>
      <c r="I868" s="4" t="s">
        <v>96</v>
      </c>
      <c r="J868" t="s">
        <v>2746</v>
      </c>
      <c r="K868" t="s">
        <v>67</v>
      </c>
      <c r="L868" t="s">
        <v>119</v>
      </c>
      <c r="M868" t="s">
        <v>120</v>
      </c>
      <c r="N868" t="s">
        <v>67</v>
      </c>
      <c r="O868" t="s">
        <v>121</v>
      </c>
      <c r="Q868" t="s">
        <v>122</v>
      </c>
      <c r="R868" t="s">
        <v>123</v>
      </c>
      <c r="S868" s="5"/>
      <c r="T868" t="s">
        <v>72</v>
      </c>
      <c r="U868" t="s">
        <v>102</v>
      </c>
      <c r="V868" t="s">
        <v>74</v>
      </c>
      <c r="W868" t="s">
        <v>87</v>
      </c>
      <c r="AE868" s="2"/>
      <c r="AF868" s="2"/>
      <c r="AG868" s="2"/>
      <c r="AH868" s="2"/>
      <c r="AK868" t="s">
        <v>1003</v>
      </c>
      <c r="AL868" s="2">
        <v>783000</v>
      </c>
      <c r="AM868" s="2">
        <v>0</v>
      </c>
      <c r="AN868" s="2"/>
      <c r="AO868" s="2">
        <v>0</v>
      </c>
      <c r="AP868" s="2">
        <v>783000</v>
      </c>
      <c r="AQ868" s="2">
        <v>0</v>
      </c>
      <c r="AR868" s="2">
        <v>0</v>
      </c>
      <c r="AS868" s="2">
        <v>0</v>
      </c>
      <c r="AT868" s="2">
        <v>0</v>
      </c>
      <c r="AU868" s="2">
        <v>0</v>
      </c>
      <c r="AV868" s="2">
        <v>0</v>
      </c>
      <c r="AW868" s="4"/>
      <c r="AX868" t="s">
        <v>75</v>
      </c>
      <c r="AZ868" t="s">
        <v>2747</v>
      </c>
      <c r="BB868" t="s">
        <v>2748</v>
      </c>
      <c r="BC868" t="s">
        <v>2749</v>
      </c>
      <c r="BD868" t="s">
        <v>79</v>
      </c>
      <c r="BE868" t="s">
        <v>228</v>
      </c>
      <c r="BF868" s="5">
        <v>46813</v>
      </c>
      <c r="BH868">
        <v>1</v>
      </c>
      <c r="BI868" s="6">
        <v>1350000</v>
      </c>
      <c r="BJ868" s="6">
        <v>42</v>
      </c>
      <c r="BK868" s="6">
        <v>567000</v>
      </c>
      <c r="BL868" s="6">
        <v>783000</v>
      </c>
      <c r="BM868" s="2">
        <v>783000</v>
      </c>
      <c r="BN868">
        <f>InvoiceTable[[#This Row],[Giảm giá]]*InvoiceTable[[#This Row],[Số lượng]]</f>
        <v>567000</v>
      </c>
    </row>
    <row r="869" spans="1:66" x14ac:dyDescent="0.25">
      <c r="A869" t="s">
        <v>65</v>
      </c>
      <c r="B869" t="s">
        <v>2750</v>
      </c>
      <c r="F869" s="2"/>
      <c r="G869" s="3">
        <v>46007.457724386571</v>
      </c>
      <c r="H869" s="3">
        <v>46007.457701354164</v>
      </c>
      <c r="I869" s="4" t="s">
        <v>2643</v>
      </c>
      <c r="J869" t="s">
        <v>67</v>
      </c>
      <c r="K869" t="s">
        <v>67</v>
      </c>
      <c r="L869" t="s">
        <v>1393</v>
      </c>
      <c r="M869" t="s">
        <v>1394</v>
      </c>
      <c r="N869" t="s">
        <v>67</v>
      </c>
      <c r="O869" t="s">
        <v>1395</v>
      </c>
      <c r="P869" t="s">
        <v>1396</v>
      </c>
      <c r="S869" s="5"/>
      <c r="T869" t="s">
        <v>72</v>
      </c>
      <c r="U869" t="s">
        <v>87</v>
      </c>
      <c r="V869" t="s">
        <v>74</v>
      </c>
      <c r="W869" t="s">
        <v>87</v>
      </c>
      <c r="AE869" s="2"/>
      <c r="AF869" s="2"/>
      <c r="AG869" s="2"/>
      <c r="AH869" s="2"/>
      <c r="AL869" s="2">
        <v>3056900</v>
      </c>
      <c r="AM869" s="2">
        <v>0</v>
      </c>
      <c r="AN869" s="2"/>
      <c r="AO869" s="2">
        <v>0</v>
      </c>
      <c r="AP869" s="2">
        <v>3056900</v>
      </c>
      <c r="AQ869" s="2">
        <v>0</v>
      </c>
      <c r="AR869" s="2">
        <v>0</v>
      </c>
      <c r="AS869" s="2">
        <v>0</v>
      </c>
      <c r="AT869" s="2">
        <v>0</v>
      </c>
      <c r="AU869" s="2">
        <v>0</v>
      </c>
      <c r="AV869" s="2">
        <v>0</v>
      </c>
      <c r="AW869" s="4"/>
      <c r="AX869" t="s">
        <v>75</v>
      </c>
      <c r="AZ869" t="s">
        <v>2301</v>
      </c>
      <c r="BA869" t="s">
        <v>67</v>
      </c>
      <c r="BB869" t="s">
        <v>2302</v>
      </c>
      <c r="BC869" t="s">
        <v>587</v>
      </c>
      <c r="BD869" t="s">
        <v>79</v>
      </c>
      <c r="BE869" t="s">
        <v>434</v>
      </c>
      <c r="BF869" s="5">
        <v>46661</v>
      </c>
      <c r="BH869">
        <v>1</v>
      </c>
      <c r="BI869" s="6">
        <v>3970000</v>
      </c>
      <c r="BJ869" s="6">
        <v>23</v>
      </c>
      <c r="BK869" s="6">
        <v>913100</v>
      </c>
      <c r="BL869" s="6">
        <v>3056900</v>
      </c>
      <c r="BM869" s="2">
        <v>3056900</v>
      </c>
      <c r="BN869">
        <f>InvoiceTable[[#This Row],[Giảm giá]]*InvoiceTable[[#This Row],[Số lượng]]</f>
        <v>913100</v>
      </c>
    </row>
    <row r="870" spans="1:66" x14ac:dyDescent="0.25">
      <c r="A870" t="s">
        <v>65</v>
      </c>
      <c r="B870" t="s">
        <v>2751</v>
      </c>
      <c r="F870" s="2"/>
      <c r="G870" s="3">
        <v>46007.444925034724</v>
      </c>
      <c r="H870" s="3">
        <v>46007.444925347219</v>
      </c>
      <c r="I870" s="4" t="s">
        <v>67</v>
      </c>
      <c r="J870" t="s">
        <v>67</v>
      </c>
      <c r="K870" t="s">
        <v>67</v>
      </c>
      <c r="L870" t="s">
        <v>2752</v>
      </c>
      <c r="M870" t="s">
        <v>2753</v>
      </c>
      <c r="N870" t="s">
        <v>67</v>
      </c>
      <c r="O870" t="s">
        <v>2754</v>
      </c>
      <c r="P870" t="s">
        <v>2755</v>
      </c>
      <c r="S870" s="5"/>
      <c r="T870" t="s">
        <v>72</v>
      </c>
      <c r="U870" t="s">
        <v>87</v>
      </c>
      <c r="V870" t="s">
        <v>74</v>
      </c>
      <c r="W870" t="s">
        <v>87</v>
      </c>
      <c r="AE870" s="2"/>
      <c r="AF870" s="2"/>
      <c r="AG870" s="2"/>
      <c r="AH870" s="2"/>
      <c r="AL870" s="2">
        <v>1117000</v>
      </c>
      <c r="AM870" s="2">
        <v>0</v>
      </c>
      <c r="AN870" s="2"/>
      <c r="AO870" s="2">
        <v>0</v>
      </c>
      <c r="AP870" s="2">
        <v>1117000</v>
      </c>
      <c r="AQ870" s="2">
        <v>0</v>
      </c>
      <c r="AR870" s="2">
        <v>0</v>
      </c>
      <c r="AS870" s="2">
        <v>0</v>
      </c>
      <c r="AT870" s="2">
        <v>0</v>
      </c>
      <c r="AU870" s="2">
        <v>0</v>
      </c>
      <c r="AV870" s="2">
        <v>0</v>
      </c>
      <c r="AW870" s="4"/>
      <c r="AX870" t="s">
        <v>75</v>
      </c>
      <c r="AZ870" t="s">
        <v>573</v>
      </c>
      <c r="BA870" t="s">
        <v>67</v>
      </c>
      <c r="BB870" t="s">
        <v>89</v>
      </c>
      <c r="BC870" t="s">
        <v>90</v>
      </c>
      <c r="BF870" s="5"/>
      <c r="BG870" t="s">
        <v>67</v>
      </c>
      <c r="BH870">
        <v>1</v>
      </c>
      <c r="BI870" s="6">
        <v>28000</v>
      </c>
      <c r="BJ870" s="6">
        <v>0</v>
      </c>
      <c r="BK870" s="6">
        <v>0</v>
      </c>
      <c r="BL870" s="6">
        <v>28000</v>
      </c>
      <c r="BM870" s="2">
        <v>28000</v>
      </c>
      <c r="BN870">
        <f>InvoiceTable[[#This Row],[Giảm giá]]*InvoiceTable[[#This Row],[Số lượng]]</f>
        <v>0</v>
      </c>
    </row>
    <row r="871" spans="1:66" x14ac:dyDescent="0.25">
      <c r="A871" t="s">
        <v>65</v>
      </c>
      <c r="B871" t="s">
        <v>2751</v>
      </c>
      <c r="F871" s="2"/>
      <c r="G871" s="3">
        <v>46007.444925034724</v>
      </c>
      <c r="H871" s="3">
        <v>46007.444925347219</v>
      </c>
      <c r="I871" s="4" t="s">
        <v>67</v>
      </c>
      <c r="J871" t="s">
        <v>67</v>
      </c>
      <c r="K871" t="s">
        <v>67</v>
      </c>
      <c r="L871" t="s">
        <v>2752</v>
      </c>
      <c r="M871" t="s">
        <v>2753</v>
      </c>
      <c r="N871" t="s">
        <v>67</v>
      </c>
      <c r="O871" t="s">
        <v>2754</v>
      </c>
      <c r="P871" t="s">
        <v>2755</v>
      </c>
      <c r="S871" s="5"/>
      <c r="T871" t="s">
        <v>72</v>
      </c>
      <c r="U871" t="s">
        <v>87</v>
      </c>
      <c r="V871" t="s">
        <v>74</v>
      </c>
      <c r="W871" t="s">
        <v>87</v>
      </c>
      <c r="AE871" s="2"/>
      <c r="AF871" s="2"/>
      <c r="AG871" s="2"/>
      <c r="AH871" s="2"/>
      <c r="AL871" s="2">
        <v>1117000</v>
      </c>
      <c r="AM871" s="2">
        <v>0</v>
      </c>
      <c r="AN871" s="2"/>
      <c r="AO871" s="2">
        <v>0</v>
      </c>
      <c r="AP871" s="2">
        <v>1117000</v>
      </c>
      <c r="AQ871" s="2">
        <v>0</v>
      </c>
      <c r="AR871" s="2">
        <v>0</v>
      </c>
      <c r="AS871" s="2">
        <v>0</v>
      </c>
      <c r="AT871" s="2">
        <v>0</v>
      </c>
      <c r="AU871" s="2">
        <v>0</v>
      </c>
      <c r="AV871" s="2">
        <v>0</v>
      </c>
      <c r="AW871" s="4"/>
      <c r="AX871" t="s">
        <v>75</v>
      </c>
      <c r="AZ871" t="s">
        <v>404</v>
      </c>
      <c r="BA871" t="s">
        <v>67</v>
      </c>
      <c r="BB871" t="s">
        <v>405</v>
      </c>
      <c r="BC871" t="s">
        <v>406</v>
      </c>
      <c r="BD871" t="s">
        <v>79</v>
      </c>
      <c r="BE871" t="s">
        <v>131</v>
      </c>
      <c r="BF871" s="5">
        <v>46874</v>
      </c>
      <c r="BH871">
        <v>2</v>
      </c>
      <c r="BI871" s="6">
        <v>990000</v>
      </c>
      <c r="BJ871" s="6">
        <v>45</v>
      </c>
      <c r="BK871" s="6">
        <v>445500</v>
      </c>
      <c r="BL871" s="6">
        <v>544500</v>
      </c>
      <c r="BM871" s="2">
        <v>1089000</v>
      </c>
      <c r="BN871">
        <f>InvoiceTable[[#This Row],[Giảm giá]]*InvoiceTable[[#This Row],[Số lượng]]</f>
        <v>891000</v>
      </c>
    </row>
    <row r="872" spans="1:66" x14ac:dyDescent="0.25">
      <c r="A872" t="s">
        <v>65</v>
      </c>
      <c r="B872" t="s">
        <v>2756</v>
      </c>
      <c r="F872" s="2"/>
      <c r="G872" s="3">
        <v>46007.44419490741</v>
      </c>
      <c r="H872" s="3">
        <v>46007.444195138887</v>
      </c>
      <c r="I872" s="4" t="s">
        <v>67</v>
      </c>
      <c r="J872" t="s">
        <v>2757</v>
      </c>
      <c r="K872" t="s">
        <v>67</v>
      </c>
      <c r="L872" t="s">
        <v>464</v>
      </c>
      <c r="M872" t="s">
        <v>465</v>
      </c>
      <c r="N872" t="s">
        <v>466</v>
      </c>
      <c r="O872" t="s">
        <v>467</v>
      </c>
      <c r="P872" t="s">
        <v>468</v>
      </c>
      <c r="S872" s="5"/>
      <c r="T872" t="s">
        <v>72</v>
      </c>
      <c r="U872" t="s">
        <v>73</v>
      </c>
      <c r="V872" t="s">
        <v>74</v>
      </c>
      <c r="W872" t="s">
        <v>87</v>
      </c>
      <c r="AE872" s="2"/>
      <c r="AF872" s="2"/>
      <c r="AG872" s="2"/>
      <c r="AH872" s="2"/>
      <c r="AL872" s="2">
        <v>950000</v>
      </c>
      <c r="AM872" s="2">
        <v>0</v>
      </c>
      <c r="AN872" s="2"/>
      <c r="AO872" s="2">
        <v>0</v>
      </c>
      <c r="AP872" s="2">
        <v>950000</v>
      </c>
      <c r="AQ872" s="2">
        <v>950000</v>
      </c>
      <c r="AR872" s="2">
        <v>950000</v>
      </c>
      <c r="AS872" s="2">
        <v>0</v>
      </c>
      <c r="AT872" s="2">
        <v>0</v>
      </c>
      <c r="AU872" s="2">
        <v>0</v>
      </c>
      <c r="AV872" s="2">
        <v>0</v>
      </c>
      <c r="AW872" s="4"/>
      <c r="AX872" t="s">
        <v>75</v>
      </c>
      <c r="AZ872" t="s">
        <v>480</v>
      </c>
      <c r="BA872" t="s">
        <v>67</v>
      </c>
      <c r="BB872" t="s">
        <v>481</v>
      </c>
      <c r="BC872" t="s">
        <v>90</v>
      </c>
      <c r="BD872" t="s">
        <v>79</v>
      </c>
      <c r="BE872" t="s">
        <v>482</v>
      </c>
      <c r="BF872" s="5">
        <v>46773</v>
      </c>
      <c r="BG872" t="s">
        <v>67</v>
      </c>
      <c r="BH872">
        <v>1</v>
      </c>
      <c r="BI872" s="6">
        <v>1800000</v>
      </c>
      <c r="BJ872" s="6">
        <v>0</v>
      </c>
      <c r="BK872" s="6">
        <v>850000</v>
      </c>
      <c r="BL872" s="6">
        <v>950000</v>
      </c>
      <c r="BM872" s="2">
        <v>950000</v>
      </c>
      <c r="BN872">
        <f>InvoiceTable[[#This Row],[Giảm giá]]*InvoiceTable[[#This Row],[Số lượng]]</f>
        <v>850000</v>
      </c>
    </row>
    <row r="873" spans="1:66" x14ac:dyDescent="0.25">
      <c r="A873" t="s">
        <v>65</v>
      </c>
      <c r="B873" t="s">
        <v>2758</v>
      </c>
      <c r="F873" s="2"/>
      <c r="G873" s="3">
        <v>46007.443708368053</v>
      </c>
      <c r="H873" s="3">
        <v>46007.443708599538</v>
      </c>
      <c r="I873" s="4" t="s">
        <v>67</v>
      </c>
      <c r="J873" t="s">
        <v>2759</v>
      </c>
      <c r="K873" t="s">
        <v>67</v>
      </c>
      <c r="L873" t="s">
        <v>2013</v>
      </c>
      <c r="M873" t="s">
        <v>2014</v>
      </c>
      <c r="N873" t="s">
        <v>67</v>
      </c>
      <c r="O873" t="s">
        <v>2015</v>
      </c>
      <c r="P873" t="s">
        <v>2016</v>
      </c>
      <c r="Q873" t="s">
        <v>67</v>
      </c>
      <c r="R873" t="s">
        <v>67</v>
      </c>
      <c r="S873" s="5"/>
      <c r="T873" t="s">
        <v>72</v>
      </c>
      <c r="U873" t="s">
        <v>102</v>
      </c>
      <c r="V873" t="s">
        <v>74</v>
      </c>
      <c r="W873" t="s">
        <v>87</v>
      </c>
      <c r="AE873" s="2"/>
      <c r="AF873" s="2"/>
      <c r="AG873" s="2"/>
      <c r="AH873" s="2"/>
      <c r="AK873" t="s">
        <v>1003</v>
      </c>
      <c r="AL873" s="2">
        <v>6201000</v>
      </c>
      <c r="AM873" s="2">
        <v>0</v>
      </c>
      <c r="AN873" s="2"/>
      <c r="AO873" s="2">
        <v>0</v>
      </c>
      <c r="AP873" s="2">
        <v>6201000</v>
      </c>
      <c r="AQ873" s="2">
        <v>0</v>
      </c>
      <c r="AR873" s="2">
        <v>0</v>
      </c>
      <c r="AS873" s="2">
        <v>0</v>
      </c>
      <c r="AT873" s="2">
        <v>0</v>
      </c>
      <c r="AU873" s="2">
        <v>0</v>
      </c>
      <c r="AV873" s="2">
        <v>0</v>
      </c>
      <c r="AW873" s="4"/>
      <c r="AX873" t="s">
        <v>75</v>
      </c>
      <c r="AZ873" t="s">
        <v>2456</v>
      </c>
      <c r="BA873" t="s">
        <v>67</v>
      </c>
      <c r="BB873" t="s">
        <v>2457</v>
      </c>
      <c r="BC873" t="s">
        <v>980</v>
      </c>
      <c r="BD873" t="s">
        <v>79</v>
      </c>
      <c r="BE873" t="s">
        <v>188</v>
      </c>
      <c r="BF873" s="5">
        <v>46905</v>
      </c>
      <c r="BG873" t="s">
        <v>67</v>
      </c>
      <c r="BH873">
        <v>3</v>
      </c>
      <c r="BI873" s="6">
        <v>3900000</v>
      </c>
      <c r="BJ873" s="6">
        <v>47</v>
      </c>
      <c r="BK873" s="6">
        <v>1833000</v>
      </c>
      <c r="BL873" s="6">
        <v>2067000</v>
      </c>
      <c r="BM873" s="2">
        <v>6201000</v>
      </c>
      <c r="BN873">
        <f>InvoiceTable[[#This Row],[Giảm giá]]*InvoiceTable[[#This Row],[Số lượng]]</f>
        <v>5499000</v>
      </c>
    </row>
    <row r="874" spans="1:66" x14ac:dyDescent="0.25">
      <c r="A874" t="s">
        <v>65</v>
      </c>
      <c r="B874" t="s">
        <v>2760</v>
      </c>
      <c r="F874" s="2"/>
      <c r="G874" s="3">
        <v>46007.443555405094</v>
      </c>
      <c r="H874" s="3">
        <v>46007.443555590275</v>
      </c>
      <c r="I874" s="4" t="s">
        <v>67</v>
      </c>
      <c r="J874" t="s">
        <v>2761</v>
      </c>
      <c r="K874" t="s">
        <v>67</v>
      </c>
      <c r="L874" t="s">
        <v>2762</v>
      </c>
      <c r="M874" t="s">
        <v>2763</v>
      </c>
      <c r="N874" t="s">
        <v>67</v>
      </c>
      <c r="O874" t="s">
        <v>2764</v>
      </c>
      <c r="P874" t="s">
        <v>2765</v>
      </c>
      <c r="S874" s="5"/>
      <c r="T874" t="s">
        <v>72</v>
      </c>
      <c r="U874" t="s">
        <v>1031</v>
      </c>
      <c r="V874" t="s">
        <v>74</v>
      </c>
      <c r="W874" t="s">
        <v>87</v>
      </c>
      <c r="AE874" s="2"/>
      <c r="AF874" s="2"/>
      <c r="AG874" s="2"/>
      <c r="AH874" s="2"/>
      <c r="AK874" t="s">
        <v>67</v>
      </c>
      <c r="AL874" s="2">
        <v>2256000</v>
      </c>
      <c r="AM874" s="2">
        <v>676800</v>
      </c>
      <c r="AN874" s="2"/>
      <c r="AO874" s="2">
        <v>0</v>
      </c>
      <c r="AP874" s="2">
        <v>1579200</v>
      </c>
      <c r="AQ874" s="2">
        <v>0</v>
      </c>
      <c r="AR874" s="2">
        <v>0</v>
      </c>
      <c r="AS874" s="2">
        <v>0</v>
      </c>
      <c r="AT874" s="2">
        <v>0</v>
      </c>
      <c r="AU874" s="2">
        <v>0</v>
      </c>
      <c r="AV874" s="2">
        <v>0</v>
      </c>
      <c r="AW874" s="4"/>
      <c r="AX874" t="s">
        <v>75</v>
      </c>
      <c r="AZ874" t="s">
        <v>2370</v>
      </c>
      <c r="BA874" t="s">
        <v>67</v>
      </c>
      <c r="BB874" t="s">
        <v>2371</v>
      </c>
      <c r="BC874" t="s">
        <v>770</v>
      </c>
      <c r="BD874" t="s">
        <v>79</v>
      </c>
      <c r="BE874" t="s">
        <v>177</v>
      </c>
      <c r="BF874" s="5">
        <v>47027</v>
      </c>
      <c r="BG874" t="s">
        <v>67</v>
      </c>
      <c r="BH874">
        <v>1</v>
      </c>
      <c r="BI874" s="6">
        <v>644000</v>
      </c>
      <c r="BJ874" s="6">
        <v>0</v>
      </c>
      <c r="BK874" s="6">
        <v>0</v>
      </c>
      <c r="BL874" s="6">
        <v>644000</v>
      </c>
      <c r="BM874" s="2">
        <v>644000</v>
      </c>
      <c r="BN874">
        <f>InvoiceTable[[#This Row],[Giảm giá]]*InvoiceTable[[#This Row],[Số lượng]]</f>
        <v>0</v>
      </c>
    </row>
    <row r="875" spans="1:66" x14ac:dyDescent="0.25">
      <c r="A875" t="s">
        <v>65</v>
      </c>
      <c r="B875" t="s">
        <v>2760</v>
      </c>
      <c r="F875" s="2"/>
      <c r="G875" s="3">
        <v>46007.443555405094</v>
      </c>
      <c r="H875" s="3">
        <v>46007.443555590275</v>
      </c>
      <c r="I875" s="4" t="s">
        <v>67</v>
      </c>
      <c r="J875" t="s">
        <v>2761</v>
      </c>
      <c r="K875" t="s">
        <v>67</v>
      </c>
      <c r="L875" t="s">
        <v>2762</v>
      </c>
      <c r="M875" t="s">
        <v>2763</v>
      </c>
      <c r="N875" t="s">
        <v>67</v>
      </c>
      <c r="O875" t="s">
        <v>2764</v>
      </c>
      <c r="P875" t="s">
        <v>2765</v>
      </c>
      <c r="S875" s="5"/>
      <c r="T875" t="s">
        <v>72</v>
      </c>
      <c r="U875" t="s">
        <v>1031</v>
      </c>
      <c r="V875" t="s">
        <v>74</v>
      </c>
      <c r="W875" t="s">
        <v>87</v>
      </c>
      <c r="AE875" s="2"/>
      <c r="AF875" s="2"/>
      <c r="AG875" s="2"/>
      <c r="AH875" s="2"/>
      <c r="AK875" t="s">
        <v>67</v>
      </c>
      <c r="AL875" s="2">
        <v>2256000</v>
      </c>
      <c r="AM875" s="2">
        <v>676800</v>
      </c>
      <c r="AN875" s="2"/>
      <c r="AO875" s="2">
        <v>0</v>
      </c>
      <c r="AP875" s="2">
        <v>1579200</v>
      </c>
      <c r="AQ875" s="2">
        <v>0</v>
      </c>
      <c r="AR875" s="2">
        <v>0</v>
      </c>
      <c r="AS875" s="2">
        <v>0</v>
      </c>
      <c r="AT875" s="2">
        <v>0</v>
      </c>
      <c r="AU875" s="2">
        <v>0</v>
      </c>
      <c r="AV875" s="2">
        <v>0</v>
      </c>
      <c r="AW875" s="4"/>
      <c r="AX875" t="s">
        <v>75</v>
      </c>
      <c r="AZ875" t="s">
        <v>2766</v>
      </c>
      <c r="BA875" t="s">
        <v>67</v>
      </c>
      <c r="BB875" t="s">
        <v>2767</v>
      </c>
      <c r="BC875" t="s">
        <v>770</v>
      </c>
      <c r="BD875" t="s">
        <v>79</v>
      </c>
      <c r="BE875" t="s">
        <v>1899</v>
      </c>
      <c r="BF875" s="5">
        <v>47150</v>
      </c>
      <c r="BG875" t="s">
        <v>67</v>
      </c>
      <c r="BH875">
        <v>1</v>
      </c>
      <c r="BI875" s="6">
        <v>823000</v>
      </c>
      <c r="BJ875" s="6">
        <v>0</v>
      </c>
      <c r="BK875" s="6">
        <v>0</v>
      </c>
      <c r="BL875" s="6">
        <v>823000</v>
      </c>
      <c r="BM875" s="2">
        <v>823000</v>
      </c>
      <c r="BN875">
        <f>InvoiceTable[[#This Row],[Giảm giá]]*InvoiceTable[[#This Row],[Số lượng]]</f>
        <v>0</v>
      </c>
    </row>
    <row r="876" spans="1:66" x14ac:dyDescent="0.25">
      <c r="A876" t="s">
        <v>65</v>
      </c>
      <c r="B876" t="s">
        <v>2760</v>
      </c>
      <c r="F876" s="2"/>
      <c r="G876" s="3">
        <v>46007.443555405094</v>
      </c>
      <c r="H876" s="3">
        <v>46007.443555590275</v>
      </c>
      <c r="I876" s="4" t="s">
        <v>67</v>
      </c>
      <c r="J876" t="s">
        <v>2761</v>
      </c>
      <c r="K876" t="s">
        <v>67</v>
      </c>
      <c r="L876" t="s">
        <v>2762</v>
      </c>
      <c r="M876" t="s">
        <v>2763</v>
      </c>
      <c r="N876" t="s">
        <v>67</v>
      </c>
      <c r="O876" t="s">
        <v>2764</v>
      </c>
      <c r="P876" t="s">
        <v>2765</v>
      </c>
      <c r="S876" s="5"/>
      <c r="T876" t="s">
        <v>72</v>
      </c>
      <c r="U876" t="s">
        <v>1031</v>
      </c>
      <c r="V876" t="s">
        <v>74</v>
      </c>
      <c r="W876" t="s">
        <v>87</v>
      </c>
      <c r="AE876" s="2"/>
      <c r="AF876" s="2"/>
      <c r="AG876" s="2"/>
      <c r="AH876" s="2"/>
      <c r="AK876" t="s">
        <v>67</v>
      </c>
      <c r="AL876" s="2">
        <v>2256000</v>
      </c>
      <c r="AM876" s="2">
        <v>676800</v>
      </c>
      <c r="AN876" s="2"/>
      <c r="AO876" s="2">
        <v>0</v>
      </c>
      <c r="AP876" s="2">
        <v>1579200</v>
      </c>
      <c r="AQ876" s="2">
        <v>0</v>
      </c>
      <c r="AR876" s="2">
        <v>0</v>
      </c>
      <c r="AS876" s="2">
        <v>0</v>
      </c>
      <c r="AT876" s="2">
        <v>0</v>
      </c>
      <c r="AU876" s="2">
        <v>0</v>
      </c>
      <c r="AV876" s="2">
        <v>0</v>
      </c>
      <c r="AW876" s="4"/>
      <c r="AX876" t="s">
        <v>75</v>
      </c>
      <c r="AZ876" t="s">
        <v>771</v>
      </c>
      <c r="BA876" t="s">
        <v>67</v>
      </c>
      <c r="BB876" t="s">
        <v>772</v>
      </c>
      <c r="BC876" t="s">
        <v>770</v>
      </c>
      <c r="BD876" t="s">
        <v>79</v>
      </c>
      <c r="BE876" t="s">
        <v>201</v>
      </c>
      <c r="BF876" s="5">
        <v>46966</v>
      </c>
      <c r="BG876" t="s">
        <v>67</v>
      </c>
      <c r="BH876">
        <v>1</v>
      </c>
      <c r="BI876" s="6">
        <v>399000</v>
      </c>
      <c r="BJ876" s="6">
        <v>0</v>
      </c>
      <c r="BK876" s="6">
        <v>0</v>
      </c>
      <c r="BL876" s="6">
        <v>399000</v>
      </c>
      <c r="BM876" s="2">
        <v>399000</v>
      </c>
      <c r="BN876">
        <f>InvoiceTable[[#This Row],[Giảm giá]]*InvoiceTable[[#This Row],[Số lượng]]</f>
        <v>0</v>
      </c>
    </row>
    <row r="877" spans="1:66" x14ac:dyDescent="0.25">
      <c r="A877" t="s">
        <v>65</v>
      </c>
      <c r="B877" t="s">
        <v>2760</v>
      </c>
      <c r="F877" s="2"/>
      <c r="G877" s="3">
        <v>46007.443555405094</v>
      </c>
      <c r="H877" s="3">
        <v>46007.443555590275</v>
      </c>
      <c r="I877" s="4" t="s">
        <v>67</v>
      </c>
      <c r="J877" t="s">
        <v>2761</v>
      </c>
      <c r="K877" t="s">
        <v>67</v>
      </c>
      <c r="L877" t="s">
        <v>2762</v>
      </c>
      <c r="M877" t="s">
        <v>2763</v>
      </c>
      <c r="N877" t="s">
        <v>67</v>
      </c>
      <c r="O877" t="s">
        <v>2764</v>
      </c>
      <c r="P877" t="s">
        <v>2765</v>
      </c>
      <c r="S877" s="5"/>
      <c r="T877" t="s">
        <v>72</v>
      </c>
      <c r="U877" t="s">
        <v>1031</v>
      </c>
      <c r="V877" t="s">
        <v>74</v>
      </c>
      <c r="W877" t="s">
        <v>87</v>
      </c>
      <c r="AE877" s="2"/>
      <c r="AF877" s="2"/>
      <c r="AG877" s="2"/>
      <c r="AH877" s="2"/>
      <c r="AK877" t="s">
        <v>67</v>
      </c>
      <c r="AL877" s="2">
        <v>2256000</v>
      </c>
      <c r="AM877" s="2">
        <v>676800</v>
      </c>
      <c r="AN877" s="2"/>
      <c r="AO877" s="2">
        <v>0</v>
      </c>
      <c r="AP877" s="2">
        <v>1579200</v>
      </c>
      <c r="AQ877" s="2">
        <v>0</v>
      </c>
      <c r="AR877" s="2">
        <v>0</v>
      </c>
      <c r="AS877" s="2">
        <v>0</v>
      </c>
      <c r="AT877" s="2">
        <v>0</v>
      </c>
      <c r="AU877" s="2">
        <v>0</v>
      </c>
      <c r="AV877" s="2">
        <v>0</v>
      </c>
      <c r="AW877" s="4"/>
      <c r="AX877" t="s">
        <v>75</v>
      </c>
      <c r="AZ877" t="s">
        <v>2768</v>
      </c>
      <c r="BA877" t="s">
        <v>67</v>
      </c>
      <c r="BB877" t="s">
        <v>2769</v>
      </c>
      <c r="BC877" t="s">
        <v>347</v>
      </c>
      <c r="BD877" t="s">
        <v>79</v>
      </c>
      <c r="BE877" t="s">
        <v>517</v>
      </c>
      <c r="BF877" s="5">
        <v>47665</v>
      </c>
      <c r="BG877" t="s">
        <v>67</v>
      </c>
      <c r="BH877">
        <v>1</v>
      </c>
      <c r="BI877" s="6">
        <v>390000</v>
      </c>
      <c r="BJ877" s="6">
        <v>0</v>
      </c>
      <c r="BK877" s="6">
        <v>0</v>
      </c>
      <c r="BL877" s="6">
        <v>390000</v>
      </c>
      <c r="BM877" s="2">
        <v>390000</v>
      </c>
      <c r="BN877">
        <f>InvoiceTable[[#This Row],[Giảm giá]]*InvoiceTable[[#This Row],[Số lượng]]</f>
        <v>0</v>
      </c>
    </row>
    <row r="878" spans="1:66" x14ac:dyDescent="0.25">
      <c r="A878" t="s">
        <v>65</v>
      </c>
      <c r="B878" t="s">
        <v>2770</v>
      </c>
      <c r="F878" s="2"/>
      <c r="G878" s="3">
        <v>46007.443387766201</v>
      </c>
      <c r="H878" s="3">
        <v>46007.443387881947</v>
      </c>
      <c r="I878" s="4" t="s">
        <v>67</v>
      </c>
      <c r="J878" t="s">
        <v>2771</v>
      </c>
      <c r="K878" t="s">
        <v>67</v>
      </c>
      <c r="L878" t="s">
        <v>231</v>
      </c>
      <c r="M878" t="s">
        <v>232</v>
      </c>
      <c r="N878" t="s">
        <v>67</v>
      </c>
      <c r="O878" t="s">
        <v>233</v>
      </c>
      <c r="P878" t="s">
        <v>234</v>
      </c>
      <c r="S878" s="5"/>
      <c r="T878" t="s">
        <v>72</v>
      </c>
      <c r="U878" t="s">
        <v>73</v>
      </c>
      <c r="V878" t="s">
        <v>74</v>
      </c>
      <c r="W878" t="s">
        <v>87</v>
      </c>
      <c r="AE878" s="2"/>
      <c r="AF878" s="2"/>
      <c r="AG878" s="2"/>
      <c r="AH878" s="2"/>
      <c r="AK878" t="s">
        <v>313</v>
      </c>
      <c r="AL878" s="2">
        <v>630000</v>
      </c>
      <c r="AM878" s="2">
        <v>0</v>
      </c>
      <c r="AN878" s="2"/>
      <c r="AO878" s="2">
        <v>0</v>
      </c>
      <c r="AP878" s="2">
        <v>630000</v>
      </c>
      <c r="AQ878" s="2">
        <v>0</v>
      </c>
      <c r="AR878" s="2">
        <v>0</v>
      </c>
      <c r="AS878" s="2">
        <v>0</v>
      </c>
      <c r="AT878" s="2">
        <v>0</v>
      </c>
      <c r="AU878" s="2">
        <v>0</v>
      </c>
      <c r="AV878" s="2">
        <v>0</v>
      </c>
      <c r="AW878" s="4"/>
      <c r="AX878" t="s">
        <v>75</v>
      </c>
      <c r="AZ878" t="s">
        <v>375</v>
      </c>
      <c r="BA878" t="s">
        <v>67</v>
      </c>
      <c r="BB878" t="s">
        <v>376</v>
      </c>
      <c r="BC878" t="s">
        <v>377</v>
      </c>
      <c r="BD878" t="s">
        <v>79</v>
      </c>
      <c r="BE878" t="s">
        <v>378</v>
      </c>
      <c r="BF878" s="5">
        <v>46997</v>
      </c>
      <c r="BH878">
        <v>2</v>
      </c>
      <c r="BI878" s="6">
        <v>500000</v>
      </c>
      <c r="BJ878" s="6">
        <v>37</v>
      </c>
      <c r="BK878" s="6">
        <v>185000</v>
      </c>
      <c r="BL878" s="6">
        <v>315000</v>
      </c>
      <c r="BM878" s="2">
        <v>630000</v>
      </c>
      <c r="BN878">
        <f>InvoiceTable[[#This Row],[Giảm giá]]*InvoiceTable[[#This Row],[Số lượng]]</f>
        <v>370000</v>
      </c>
    </row>
    <row r="879" spans="1:66" x14ac:dyDescent="0.25">
      <c r="A879" t="s">
        <v>65</v>
      </c>
      <c r="B879" t="s">
        <v>2772</v>
      </c>
      <c r="F879" s="2"/>
      <c r="G879" s="3">
        <v>46007.439435532404</v>
      </c>
      <c r="H879" s="3">
        <v>46007.439412465275</v>
      </c>
      <c r="I879" s="4" t="s">
        <v>2643</v>
      </c>
      <c r="J879" t="s">
        <v>67</v>
      </c>
      <c r="K879" t="s">
        <v>67</v>
      </c>
      <c r="L879" t="s">
        <v>2773</v>
      </c>
      <c r="M879" t="s">
        <v>2774</v>
      </c>
      <c r="N879" t="s">
        <v>67</v>
      </c>
      <c r="Q879" t="s">
        <v>67</v>
      </c>
      <c r="R879" t="s">
        <v>67</v>
      </c>
      <c r="S879" s="5"/>
      <c r="T879" t="s">
        <v>72</v>
      </c>
      <c r="U879" t="s">
        <v>87</v>
      </c>
      <c r="V879" t="s">
        <v>74</v>
      </c>
      <c r="W879" t="s">
        <v>87</v>
      </c>
      <c r="AE879" s="2"/>
      <c r="AF879" s="2"/>
      <c r="AG879" s="2"/>
      <c r="AH879" s="2"/>
      <c r="AL879" s="2">
        <v>18090000</v>
      </c>
      <c r="AM879" s="2">
        <v>0</v>
      </c>
      <c r="AN879" s="2"/>
      <c r="AO879" s="2">
        <v>0</v>
      </c>
      <c r="AP879" s="2">
        <v>18090000</v>
      </c>
      <c r="AQ879" s="2">
        <v>0</v>
      </c>
      <c r="AR879" s="2">
        <v>0</v>
      </c>
      <c r="AS879" s="2">
        <v>0</v>
      </c>
      <c r="AT879" s="2">
        <v>0</v>
      </c>
      <c r="AU879" s="2">
        <v>0</v>
      </c>
      <c r="AV879" s="2">
        <v>0</v>
      </c>
      <c r="AW879" s="4"/>
      <c r="AX879" t="s">
        <v>75</v>
      </c>
      <c r="AZ879" t="s">
        <v>536</v>
      </c>
      <c r="BA879" t="s">
        <v>67</v>
      </c>
      <c r="BB879" t="s">
        <v>537</v>
      </c>
      <c r="BC879" t="s">
        <v>105</v>
      </c>
      <c r="BD879" t="s">
        <v>79</v>
      </c>
      <c r="BE879" t="s">
        <v>94</v>
      </c>
      <c r="BF879" s="5">
        <v>46692</v>
      </c>
      <c r="BH879">
        <v>1</v>
      </c>
      <c r="BI879" s="6">
        <v>7665000</v>
      </c>
      <c r="BJ879" s="6">
        <v>0</v>
      </c>
      <c r="BK879" s="6">
        <v>1515000</v>
      </c>
      <c r="BL879" s="6">
        <v>6150000</v>
      </c>
      <c r="BM879" s="2">
        <v>6150000</v>
      </c>
      <c r="BN879">
        <f>InvoiceTable[[#This Row],[Giảm giá]]*InvoiceTable[[#This Row],[Số lượng]]</f>
        <v>1515000</v>
      </c>
    </row>
    <row r="880" spans="1:66" x14ac:dyDescent="0.25">
      <c r="A880" t="s">
        <v>65</v>
      </c>
      <c r="B880" t="s">
        <v>2772</v>
      </c>
      <c r="F880" s="2"/>
      <c r="G880" s="3">
        <v>46007.439435532404</v>
      </c>
      <c r="H880" s="3">
        <v>46007.439412465275</v>
      </c>
      <c r="I880" s="4" t="s">
        <v>2643</v>
      </c>
      <c r="J880" t="s">
        <v>67</v>
      </c>
      <c r="K880" t="s">
        <v>67</v>
      </c>
      <c r="L880" t="s">
        <v>2773</v>
      </c>
      <c r="M880" t="s">
        <v>2774</v>
      </c>
      <c r="N880" t="s">
        <v>67</v>
      </c>
      <c r="Q880" t="s">
        <v>67</v>
      </c>
      <c r="R880" t="s">
        <v>67</v>
      </c>
      <c r="S880" s="5"/>
      <c r="T880" t="s">
        <v>72</v>
      </c>
      <c r="U880" t="s">
        <v>87</v>
      </c>
      <c r="V880" t="s">
        <v>74</v>
      </c>
      <c r="W880" t="s">
        <v>87</v>
      </c>
      <c r="AE880" s="2"/>
      <c r="AF880" s="2"/>
      <c r="AG880" s="2"/>
      <c r="AH880" s="2"/>
      <c r="AL880" s="2">
        <v>18090000</v>
      </c>
      <c r="AM880" s="2">
        <v>0</v>
      </c>
      <c r="AN880" s="2"/>
      <c r="AO880" s="2">
        <v>0</v>
      </c>
      <c r="AP880" s="2">
        <v>18090000</v>
      </c>
      <c r="AQ880" s="2">
        <v>0</v>
      </c>
      <c r="AR880" s="2">
        <v>0</v>
      </c>
      <c r="AS880" s="2">
        <v>0</v>
      </c>
      <c r="AT880" s="2">
        <v>0</v>
      </c>
      <c r="AU880" s="2">
        <v>0</v>
      </c>
      <c r="AV880" s="2">
        <v>0</v>
      </c>
      <c r="AW880" s="4"/>
      <c r="AX880" t="s">
        <v>75</v>
      </c>
      <c r="AZ880" t="s">
        <v>103</v>
      </c>
      <c r="BB880" t="s">
        <v>104</v>
      </c>
      <c r="BC880" t="s">
        <v>105</v>
      </c>
      <c r="BD880" t="s">
        <v>79</v>
      </c>
      <c r="BE880" t="s">
        <v>106</v>
      </c>
      <c r="BF880" s="5">
        <v>46327</v>
      </c>
      <c r="BH880">
        <v>3</v>
      </c>
      <c r="BI880" s="6">
        <v>6930000</v>
      </c>
      <c r="BJ880" s="6">
        <v>0</v>
      </c>
      <c r="BK880" s="6">
        <v>2950000</v>
      </c>
      <c r="BL880" s="6">
        <v>3980000</v>
      </c>
      <c r="BM880" s="2">
        <v>11940000</v>
      </c>
      <c r="BN880">
        <f>InvoiceTable[[#This Row],[Giảm giá]]*InvoiceTable[[#This Row],[Số lượng]]</f>
        <v>8850000</v>
      </c>
    </row>
    <row r="881" spans="1:66" x14ac:dyDescent="0.25">
      <c r="A881" t="s">
        <v>65</v>
      </c>
      <c r="B881" t="s">
        <v>2775</v>
      </c>
      <c r="F881" s="2"/>
      <c r="G881" s="3">
        <v>46007.434668518516</v>
      </c>
      <c r="H881" s="3">
        <v>46007.434552893516</v>
      </c>
      <c r="I881" s="4" t="s">
        <v>96</v>
      </c>
      <c r="J881" t="s">
        <v>2776</v>
      </c>
      <c r="K881" t="s">
        <v>67</v>
      </c>
      <c r="L881" t="s">
        <v>231</v>
      </c>
      <c r="M881" t="s">
        <v>232</v>
      </c>
      <c r="N881" t="s">
        <v>67</v>
      </c>
      <c r="O881" t="s">
        <v>233</v>
      </c>
      <c r="P881" t="s">
        <v>234</v>
      </c>
      <c r="S881" s="5"/>
      <c r="T881" t="s">
        <v>72</v>
      </c>
      <c r="U881" t="s">
        <v>73</v>
      </c>
      <c r="V881" t="s">
        <v>74</v>
      </c>
      <c r="W881" t="s">
        <v>87</v>
      </c>
      <c r="AE881" s="2"/>
      <c r="AF881" s="2"/>
      <c r="AG881" s="2"/>
      <c r="AH881" s="2"/>
      <c r="AK881" t="s">
        <v>313</v>
      </c>
      <c r="AL881" s="2">
        <v>1433000</v>
      </c>
      <c r="AM881" s="2">
        <v>0</v>
      </c>
      <c r="AN881" s="2"/>
      <c r="AO881" s="2">
        <v>0</v>
      </c>
      <c r="AP881" s="2">
        <v>1433000</v>
      </c>
      <c r="AQ881" s="2">
        <v>0</v>
      </c>
      <c r="AR881" s="2">
        <v>0</v>
      </c>
      <c r="AS881" s="2">
        <v>0</v>
      </c>
      <c r="AT881" s="2">
        <v>0</v>
      </c>
      <c r="AU881" s="2">
        <v>0</v>
      </c>
      <c r="AV881" s="2">
        <v>0</v>
      </c>
      <c r="AW881" s="4"/>
      <c r="AX881" t="s">
        <v>75</v>
      </c>
      <c r="AZ881" t="s">
        <v>973</v>
      </c>
      <c r="BA881" t="s">
        <v>67</v>
      </c>
      <c r="BB881" t="s">
        <v>974</v>
      </c>
      <c r="BC881" t="s">
        <v>975</v>
      </c>
      <c r="BD881" t="s">
        <v>79</v>
      </c>
      <c r="BE881" t="s">
        <v>142</v>
      </c>
      <c r="BF881" s="5">
        <v>46844</v>
      </c>
      <c r="BG881" t="s">
        <v>67</v>
      </c>
      <c r="BH881">
        <v>1</v>
      </c>
      <c r="BI881" s="6">
        <v>320000</v>
      </c>
      <c r="BJ881" s="6">
        <v>50</v>
      </c>
      <c r="BK881" s="6">
        <v>160000</v>
      </c>
      <c r="BL881" s="6">
        <v>160000</v>
      </c>
      <c r="BM881" s="2">
        <v>160000</v>
      </c>
      <c r="BN881">
        <f>InvoiceTable[[#This Row],[Giảm giá]]*InvoiceTable[[#This Row],[Số lượng]]</f>
        <v>160000</v>
      </c>
    </row>
    <row r="882" spans="1:66" x14ac:dyDescent="0.25">
      <c r="A882" t="s">
        <v>65</v>
      </c>
      <c r="B882" t="s">
        <v>2775</v>
      </c>
      <c r="F882" s="2"/>
      <c r="G882" s="3">
        <v>46007.434668518516</v>
      </c>
      <c r="H882" s="3">
        <v>46007.434552893516</v>
      </c>
      <c r="I882" s="4" t="s">
        <v>96</v>
      </c>
      <c r="J882" t="s">
        <v>2776</v>
      </c>
      <c r="K882" t="s">
        <v>67</v>
      </c>
      <c r="L882" t="s">
        <v>231</v>
      </c>
      <c r="M882" t="s">
        <v>232</v>
      </c>
      <c r="N882" t="s">
        <v>67</v>
      </c>
      <c r="O882" t="s">
        <v>233</v>
      </c>
      <c r="P882" t="s">
        <v>234</v>
      </c>
      <c r="S882" s="5"/>
      <c r="T882" t="s">
        <v>72</v>
      </c>
      <c r="U882" t="s">
        <v>73</v>
      </c>
      <c r="V882" t="s">
        <v>74</v>
      </c>
      <c r="W882" t="s">
        <v>87</v>
      </c>
      <c r="AE882" s="2"/>
      <c r="AF882" s="2"/>
      <c r="AG882" s="2"/>
      <c r="AH882" s="2"/>
      <c r="AK882" t="s">
        <v>313</v>
      </c>
      <c r="AL882" s="2">
        <v>1433000</v>
      </c>
      <c r="AM882" s="2">
        <v>0</v>
      </c>
      <c r="AN882" s="2"/>
      <c r="AO882" s="2">
        <v>0</v>
      </c>
      <c r="AP882" s="2">
        <v>1433000</v>
      </c>
      <c r="AQ882" s="2">
        <v>0</v>
      </c>
      <c r="AR882" s="2">
        <v>0</v>
      </c>
      <c r="AS882" s="2">
        <v>0</v>
      </c>
      <c r="AT882" s="2">
        <v>0</v>
      </c>
      <c r="AU882" s="2">
        <v>0</v>
      </c>
      <c r="AV882" s="2">
        <v>0</v>
      </c>
      <c r="AW882" s="4"/>
      <c r="AX882" t="s">
        <v>75</v>
      </c>
      <c r="AZ882" t="s">
        <v>2777</v>
      </c>
      <c r="BA882" t="s">
        <v>67</v>
      </c>
      <c r="BB882" t="s">
        <v>2778</v>
      </c>
      <c r="BC882" t="s">
        <v>2729</v>
      </c>
      <c r="BD882" t="s">
        <v>79</v>
      </c>
      <c r="BE882" t="s">
        <v>168</v>
      </c>
      <c r="BF882" s="5">
        <v>46388</v>
      </c>
      <c r="BG882" t="s">
        <v>67</v>
      </c>
      <c r="BH882">
        <v>1</v>
      </c>
      <c r="BI882" s="6">
        <v>265000</v>
      </c>
      <c r="BJ882" s="6">
        <v>0</v>
      </c>
      <c r="BK882" s="6">
        <v>175000</v>
      </c>
      <c r="BL882" s="6">
        <v>90000</v>
      </c>
      <c r="BM882" s="2">
        <v>90000</v>
      </c>
      <c r="BN882">
        <f>InvoiceTable[[#This Row],[Giảm giá]]*InvoiceTable[[#This Row],[Số lượng]]</f>
        <v>175000</v>
      </c>
    </row>
    <row r="883" spans="1:66" x14ac:dyDescent="0.25">
      <c r="A883" t="s">
        <v>65</v>
      </c>
      <c r="B883" t="s">
        <v>2775</v>
      </c>
      <c r="F883" s="2"/>
      <c r="G883" s="3">
        <v>46007.434668518516</v>
      </c>
      <c r="H883" s="3">
        <v>46007.434552893516</v>
      </c>
      <c r="I883" s="4" t="s">
        <v>96</v>
      </c>
      <c r="J883" t="s">
        <v>2776</v>
      </c>
      <c r="K883" t="s">
        <v>67</v>
      </c>
      <c r="L883" t="s">
        <v>231</v>
      </c>
      <c r="M883" t="s">
        <v>232</v>
      </c>
      <c r="N883" t="s">
        <v>67</v>
      </c>
      <c r="O883" t="s">
        <v>233</v>
      </c>
      <c r="P883" t="s">
        <v>234</v>
      </c>
      <c r="S883" s="5"/>
      <c r="T883" t="s">
        <v>72</v>
      </c>
      <c r="U883" t="s">
        <v>73</v>
      </c>
      <c r="V883" t="s">
        <v>74</v>
      </c>
      <c r="W883" t="s">
        <v>87</v>
      </c>
      <c r="AE883" s="2"/>
      <c r="AF883" s="2"/>
      <c r="AG883" s="2"/>
      <c r="AH883" s="2"/>
      <c r="AK883" t="s">
        <v>313</v>
      </c>
      <c r="AL883" s="2">
        <v>1433000</v>
      </c>
      <c r="AM883" s="2">
        <v>0</v>
      </c>
      <c r="AN883" s="2"/>
      <c r="AO883" s="2">
        <v>0</v>
      </c>
      <c r="AP883" s="2">
        <v>1433000</v>
      </c>
      <c r="AQ883" s="2">
        <v>0</v>
      </c>
      <c r="AR883" s="2">
        <v>0</v>
      </c>
      <c r="AS883" s="2">
        <v>0</v>
      </c>
      <c r="AT883" s="2">
        <v>0</v>
      </c>
      <c r="AU883" s="2">
        <v>0</v>
      </c>
      <c r="AV883" s="2">
        <v>0</v>
      </c>
      <c r="AW883" s="4"/>
      <c r="AX883" t="s">
        <v>75</v>
      </c>
      <c r="AZ883" t="s">
        <v>1494</v>
      </c>
      <c r="BA883" t="s">
        <v>67</v>
      </c>
      <c r="BB883" t="s">
        <v>1495</v>
      </c>
      <c r="BC883" t="s">
        <v>676</v>
      </c>
      <c r="BD883" t="s">
        <v>79</v>
      </c>
      <c r="BE883" t="s">
        <v>482</v>
      </c>
      <c r="BF883" s="5">
        <v>46773</v>
      </c>
      <c r="BG883" t="s">
        <v>67</v>
      </c>
      <c r="BH883">
        <v>1</v>
      </c>
      <c r="BI883" s="6">
        <v>1690000</v>
      </c>
      <c r="BJ883" s="6">
        <v>30</v>
      </c>
      <c r="BK883" s="6">
        <v>507000</v>
      </c>
      <c r="BL883" s="6">
        <v>1183000</v>
      </c>
      <c r="BM883" s="2">
        <v>1183000</v>
      </c>
      <c r="BN883">
        <f>InvoiceTable[[#This Row],[Giảm giá]]*InvoiceTable[[#This Row],[Số lượng]]</f>
        <v>507000</v>
      </c>
    </row>
    <row r="884" spans="1:66" x14ac:dyDescent="0.25">
      <c r="A884" t="s">
        <v>65</v>
      </c>
      <c r="B884" t="s">
        <v>2779</v>
      </c>
      <c r="F884" s="2"/>
      <c r="G884" s="3">
        <v>46007.434328275463</v>
      </c>
      <c r="H884" s="3">
        <v>46007.434328587966</v>
      </c>
      <c r="I884" s="4" t="s">
        <v>67</v>
      </c>
      <c r="J884" t="s">
        <v>2780</v>
      </c>
      <c r="K884" t="s">
        <v>67</v>
      </c>
      <c r="L884" t="s">
        <v>2118</v>
      </c>
      <c r="M884" t="s">
        <v>2119</v>
      </c>
      <c r="N884" t="s">
        <v>2120</v>
      </c>
      <c r="O884" t="s">
        <v>2121</v>
      </c>
      <c r="P884" t="s">
        <v>2122</v>
      </c>
      <c r="S884" s="5"/>
      <c r="T884" t="s">
        <v>72</v>
      </c>
      <c r="U884" t="s">
        <v>73</v>
      </c>
      <c r="V884" t="s">
        <v>74</v>
      </c>
      <c r="W884" t="s">
        <v>87</v>
      </c>
      <c r="AE884" s="2"/>
      <c r="AF884" s="2"/>
      <c r="AG884" s="2"/>
      <c r="AH884" s="2"/>
      <c r="AK884" t="s">
        <v>258</v>
      </c>
      <c r="AL884" s="2">
        <v>567500</v>
      </c>
      <c r="AM884" s="2">
        <v>0</v>
      </c>
      <c r="AN884" s="2"/>
      <c r="AO884" s="2">
        <v>0</v>
      </c>
      <c r="AP884" s="2">
        <v>567500</v>
      </c>
      <c r="AQ884" s="2">
        <v>567500</v>
      </c>
      <c r="AR884" s="2">
        <v>567500</v>
      </c>
      <c r="AS884" s="2">
        <v>0</v>
      </c>
      <c r="AT884" s="2">
        <v>0</v>
      </c>
      <c r="AU884" s="2">
        <v>0</v>
      </c>
      <c r="AV884" s="2">
        <v>0</v>
      </c>
      <c r="AW884" s="4"/>
      <c r="AX884" t="s">
        <v>75</v>
      </c>
      <c r="AZ884" t="s">
        <v>573</v>
      </c>
      <c r="BA884" t="s">
        <v>67</v>
      </c>
      <c r="BB884" t="s">
        <v>89</v>
      </c>
      <c r="BC884" t="s">
        <v>90</v>
      </c>
      <c r="BF884" s="5"/>
      <c r="BG884" t="s">
        <v>67</v>
      </c>
      <c r="BH884">
        <v>1</v>
      </c>
      <c r="BI884" s="6">
        <v>23000</v>
      </c>
      <c r="BJ884" s="6">
        <v>0</v>
      </c>
      <c r="BK884" s="6">
        <v>0</v>
      </c>
      <c r="BL884" s="6">
        <v>23000</v>
      </c>
      <c r="BM884" s="2">
        <v>23000</v>
      </c>
      <c r="BN884">
        <f>InvoiceTable[[#This Row],[Giảm giá]]*InvoiceTable[[#This Row],[Số lượng]]</f>
        <v>0</v>
      </c>
    </row>
    <row r="885" spans="1:66" x14ac:dyDescent="0.25">
      <c r="A885" t="s">
        <v>65</v>
      </c>
      <c r="B885" t="s">
        <v>2779</v>
      </c>
      <c r="F885" s="2"/>
      <c r="G885" s="3">
        <v>46007.434328275463</v>
      </c>
      <c r="H885" s="3">
        <v>46007.434328587966</v>
      </c>
      <c r="I885" s="4" t="s">
        <v>67</v>
      </c>
      <c r="J885" t="s">
        <v>2780</v>
      </c>
      <c r="K885" t="s">
        <v>67</v>
      </c>
      <c r="L885" t="s">
        <v>2118</v>
      </c>
      <c r="M885" t="s">
        <v>2119</v>
      </c>
      <c r="N885" t="s">
        <v>2120</v>
      </c>
      <c r="O885" t="s">
        <v>2121</v>
      </c>
      <c r="P885" t="s">
        <v>2122</v>
      </c>
      <c r="S885" s="5"/>
      <c r="T885" t="s">
        <v>72</v>
      </c>
      <c r="U885" t="s">
        <v>73</v>
      </c>
      <c r="V885" t="s">
        <v>74</v>
      </c>
      <c r="W885" t="s">
        <v>87</v>
      </c>
      <c r="AE885" s="2"/>
      <c r="AF885" s="2"/>
      <c r="AG885" s="2"/>
      <c r="AH885" s="2"/>
      <c r="AK885" t="s">
        <v>258</v>
      </c>
      <c r="AL885" s="2">
        <v>567500</v>
      </c>
      <c r="AM885" s="2">
        <v>0</v>
      </c>
      <c r="AN885" s="2"/>
      <c r="AO885" s="2">
        <v>0</v>
      </c>
      <c r="AP885" s="2">
        <v>567500</v>
      </c>
      <c r="AQ885" s="2">
        <v>567500</v>
      </c>
      <c r="AR885" s="2">
        <v>567500</v>
      </c>
      <c r="AS885" s="2">
        <v>0</v>
      </c>
      <c r="AT885" s="2">
        <v>0</v>
      </c>
      <c r="AU885" s="2">
        <v>0</v>
      </c>
      <c r="AV885" s="2">
        <v>0</v>
      </c>
      <c r="AW885" s="4"/>
      <c r="AX885" t="s">
        <v>75</v>
      </c>
      <c r="AZ885" t="s">
        <v>404</v>
      </c>
      <c r="BA885" t="s">
        <v>67</v>
      </c>
      <c r="BB885" t="s">
        <v>405</v>
      </c>
      <c r="BC885" t="s">
        <v>406</v>
      </c>
      <c r="BD885" t="s">
        <v>79</v>
      </c>
      <c r="BE885" t="s">
        <v>131</v>
      </c>
      <c r="BF885" s="5">
        <v>46874</v>
      </c>
      <c r="BH885">
        <v>1</v>
      </c>
      <c r="BI885" s="6">
        <v>990000</v>
      </c>
      <c r="BJ885" s="6">
        <v>45</v>
      </c>
      <c r="BK885" s="6">
        <v>445500</v>
      </c>
      <c r="BL885" s="6">
        <v>544500</v>
      </c>
      <c r="BM885" s="2">
        <v>544500</v>
      </c>
      <c r="BN885">
        <f>InvoiceTable[[#This Row],[Giảm giá]]*InvoiceTable[[#This Row],[Số lượng]]</f>
        <v>445500</v>
      </c>
    </row>
    <row r="886" spans="1:66" x14ac:dyDescent="0.25">
      <c r="A886" t="s">
        <v>65</v>
      </c>
      <c r="B886" t="s">
        <v>2781</v>
      </c>
      <c r="F886" s="2"/>
      <c r="G886" s="3">
        <v>46007.432619675928</v>
      </c>
      <c r="H886" s="3">
        <v>46007.432619826388</v>
      </c>
      <c r="I886" s="4" t="s">
        <v>67</v>
      </c>
      <c r="J886" t="s">
        <v>2782</v>
      </c>
      <c r="K886" t="s">
        <v>67</v>
      </c>
      <c r="L886" t="s">
        <v>464</v>
      </c>
      <c r="M886" t="s">
        <v>465</v>
      </c>
      <c r="N886" t="s">
        <v>466</v>
      </c>
      <c r="O886" t="s">
        <v>467</v>
      </c>
      <c r="P886" t="s">
        <v>468</v>
      </c>
      <c r="S886" s="5"/>
      <c r="T886" t="s">
        <v>72</v>
      </c>
      <c r="U886" t="s">
        <v>73</v>
      </c>
      <c r="V886" t="s">
        <v>74</v>
      </c>
      <c r="W886" t="s">
        <v>87</v>
      </c>
      <c r="AE886" s="2"/>
      <c r="AF886" s="2"/>
      <c r="AG886" s="2"/>
      <c r="AH886" s="2"/>
      <c r="AL886" s="2">
        <v>2281500</v>
      </c>
      <c r="AM886" s="2">
        <v>0</v>
      </c>
      <c r="AN886" s="2"/>
      <c r="AO886" s="2">
        <v>0</v>
      </c>
      <c r="AP886" s="2">
        <v>2281500</v>
      </c>
      <c r="AQ886" s="2">
        <v>2281500</v>
      </c>
      <c r="AR886" s="2">
        <v>2281500</v>
      </c>
      <c r="AS886" s="2">
        <v>0</v>
      </c>
      <c r="AT886" s="2">
        <v>0</v>
      </c>
      <c r="AU886" s="2">
        <v>0</v>
      </c>
      <c r="AV886" s="2">
        <v>0</v>
      </c>
      <c r="AW886" s="4"/>
      <c r="AX886" t="s">
        <v>75</v>
      </c>
      <c r="AZ886" t="s">
        <v>91</v>
      </c>
      <c r="BA886" t="s">
        <v>67</v>
      </c>
      <c r="BB886" t="s">
        <v>92</v>
      </c>
      <c r="BC886" t="s">
        <v>93</v>
      </c>
      <c r="BD886" t="s">
        <v>79</v>
      </c>
      <c r="BE886" t="s">
        <v>94</v>
      </c>
      <c r="BF886" s="5">
        <v>46692</v>
      </c>
      <c r="BH886">
        <v>5</v>
      </c>
      <c r="BI886" s="6">
        <v>702000</v>
      </c>
      <c r="BJ886" s="6">
        <v>35</v>
      </c>
      <c r="BK886" s="6">
        <v>245700</v>
      </c>
      <c r="BL886" s="6">
        <v>456300</v>
      </c>
      <c r="BM886" s="2">
        <v>2281500</v>
      </c>
      <c r="BN886">
        <f>InvoiceTable[[#This Row],[Giảm giá]]*InvoiceTable[[#This Row],[Số lượng]]</f>
        <v>1228500</v>
      </c>
    </row>
    <row r="887" spans="1:66" x14ac:dyDescent="0.25">
      <c r="A887" t="s">
        <v>65</v>
      </c>
      <c r="B887" t="s">
        <v>2783</v>
      </c>
      <c r="F887" s="2"/>
      <c r="G887" s="3">
        <v>46007.431964733798</v>
      </c>
      <c r="H887" s="3">
        <v>46007.431964849537</v>
      </c>
      <c r="I887" s="4" t="s">
        <v>67</v>
      </c>
      <c r="J887" t="s">
        <v>2784</v>
      </c>
      <c r="K887" t="s">
        <v>67</v>
      </c>
      <c r="L887" t="s">
        <v>1854</v>
      </c>
      <c r="M887" t="s">
        <v>1855</v>
      </c>
      <c r="N887" t="s">
        <v>67</v>
      </c>
      <c r="O887" t="s">
        <v>1856</v>
      </c>
      <c r="P887" t="s">
        <v>1857</v>
      </c>
      <c r="Q887" t="s">
        <v>1858</v>
      </c>
      <c r="R887" t="s">
        <v>1859</v>
      </c>
      <c r="S887" s="5"/>
      <c r="T887" t="s">
        <v>72</v>
      </c>
      <c r="U887" t="s">
        <v>87</v>
      </c>
      <c r="V887" t="s">
        <v>74</v>
      </c>
      <c r="W887" t="s">
        <v>87</v>
      </c>
      <c r="AE887" s="2"/>
      <c r="AF887" s="2"/>
      <c r="AG887" s="2"/>
      <c r="AH887" s="2"/>
      <c r="AL887" s="2">
        <v>698250</v>
      </c>
      <c r="AM887" s="2">
        <v>0</v>
      </c>
      <c r="AN887" s="2"/>
      <c r="AO887" s="2">
        <v>0</v>
      </c>
      <c r="AP887" s="2">
        <v>698250</v>
      </c>
      <c r="AQ887" s="2">
        <v>0</v>
      </c>
      <c r="AR887" s="2">
        <v>0</v>
      </c>
      <c r="AS887" s="2">
        <v>0</v>
      </c>
      <c r="AT887" s="2">
        <v>0</v>
      </c>
      <c r="AU887" s="2">
        <v>0</v>
      </c>
      <c r="AV887" s="2">
        <v>0</v>
      </c>
      <c r="AW887" s="4"/>
      <c r="AX887" t="s">
        <v>75</v>
      </c>
      <c r="AZ887" t="s">
        <v>171</v>
      </c>
      <c r="BA887" t="s">
        <v>67</v>
      </c>
      <c r="BB887" t="s">
        <v>172</v>
      </c>
      <c r="BC887" t="s">
        <v>173</v>
      </c>
      <c r="BD887" t="s">
        <v>79</v>
      </c>
      <c r="BE887" t="s">
        <v>80</v>
      </c>
      <c r="BF887" s="5">
        <v>47300</v>
      </c>
      <c r="BH887">
        <v>1</v>
      </c>
      <c r="BI887" s="6">
        <v>1225000</v>
      </c>
      <c r="BJ887" s="6">
        <v>43</v>
      </c>
      <c r="BK887" s="6">
        <v>526750</v>
      </c>
      <c r="BL887" s="6">
        <v>698250</v>
      </c>
      <c r="BM887" s="2">
        <v>698250</v>
      </c>
      <c r="BN887">
        <f>InvoiceTable[[#This Row],[Giảm giá]]*InvoiceTable[[#This Row],[Số lượng]]</f>
        <v>526750</v>
      </c>
    </row>
    <row r="888" spans="1:66" x14ac:dyDescent="0.25">
      <c r="A888" t="s">
        <v>65</v>
      </c>
      <c r="B888" t="s">
        <v>2785</v>
      </c>
      <c r="F888" s="2"/>
      <c r="G888" s="3">
        <v>46007.414526539353</v>
      </c>
      <c r="H888" s="3">
        <v>46007.414526655091</v>
      </c>
      <c r="I888" s="4" t="s">
        <v>67</v>
      </c>
      <c r="J888" t="s">
        <v>67</v>
      </c>
      <c r="K888" t="s">
        <v>67</v>
      </c>
      <c r="L888" t="s">
        <v>1523</v>
      </c>
      <c r="M888" t="s">
        <v>1524</v>
      </c>
      <c r="N888" t="s">
        <v>67</v>
      </c>
      <c r="O888" t="s">
        <v>1525</v>
      </c>
      <c r="P888" t="s">
        <v>1526</v>
      </c>
      <c r="Q888" t="s">
        <v>67</v>
      </c>
      <c r="R888" t="s">
        <v>67</v>
      </c>
      <c r="S888" s="5"/>
      <c r="T888" t="s">
        <v>72</v>
      </c>
      <c r="U888" t="s">
        <v>102</v>
      </c>
      <c r="V888" t="s">
        <v>74</v>
      </c>
      <c r="W888" t="s">
        <v>102</v>
      </c>
      <c r="AE888" s="2"/>
      <c r="AF888" s="2"/>
      <c r="AG888" s="2"/>
      <c r="AH888" s="2"/>
      <c r="AK888" t="s">
        <v>2786</v>
      </c>
      <c r="AL888" s="2">
        <v>5100000</v>
      </c>
      <c r="AM888" s="2">
        <v>0</v>
      </c>
      <c r="AN888" s="2"/>
      <c r="AO888" s="2">
        <v>0</v>
      </c>
      <c r="AP888" s="2">
        <v>5100000</v>
      </c>
      <c r="AQ888" s="2">
        <v>0</v>
      </c>
      <c r="AR888" s="2">
        <v>0</v>
      </c>
      <c r="AS888" s="2">
        <v>0</v>
      </c>
      <c r="AT888" s="2">
        <v>0</v>
      </c>
      <c r="AU888" s="2">
        <v>0</v>
      </c>
      <c r="AV888" s="2">
        <v>0</v>
      </c>
      <c r="AW888" s="4"/>
      <c r="AX888" t="s">
        <v>75</v>
      </c>
      <c r="AZ888" t="s">
        <v>107</v>
      </c>
      <c r="BA888" t="s">
        <v>67</v>
      </c>
      <c r="BB888" t="s">
        <v>108</v>
      </c>
      <c r="BC888" t="s">
        <v>109</v>
      </c>
      <c r="BD888" t="s">
        <v>79</v>
      </c>
      <c r="BE888" t="s">
        <v>94</v>
      </c>
      <c r="BF888" s="5">
        <v>46692</v>
      </c>
      <c r="BH888">
        <v>2</v>
      </c>
      <c r="BI888" s="6">
        <v>4500000</v>
      </c>
      <c r="BJ888" s="6">
        <v>0</v>
      </c>
      <c r="BK888" s="6">
        <v>1950000</v>
      </c>
      <c r="BL888" s="6">
        <v>2550000</v>
      </c>
      <c r="BM888" s="2">
        <v>5100000</v>
      </c>
      <c r="BN888">
        <f>InvoiceTable[[#This Row],[Giảm giá]]*InvoiceTable[[#This Row],[Số lượng]]</f>
        <v>3900000</v>
      </c>
    </row>
    <row r="889" spans="1:66" x14ac:dyDescent="0.25">
      <c r="A889" t="s">
        <v>65</v>
      </c>
      <c r="B889" t="s">
        <v>2787</v>
      </c>
      <c r="F889" s="2"/>
      <c r="G889" s="3">
        <v>46006.726803437501</v>
      </c>
      <c r="H889" s="3">
        <v>46006.726803506943</v>
      </c>
      <c r="I889" s="4" t="s">
        <v>67</v>
      </c>
      <c r="J889" t="s">
        <v>67</v>
      </c>
      <c r="K889" t="s">
        <v>67</v>
      </c>
      <c r="L889" t="s">
        <v>119</v>
      </c>
      <c r="M889" t="s">
        <v>120</v>
      </c>
      <c r="N889" t="s">
        <v>67</v>
      </c>
      <c r="O889" t="s">
        <v>121</v>
      </c>
      <c r="Q889" t="s">
        <v>122</v>
      </c>
      <c r="R889" t="s">
        <v>123</v>
      </c>
      <c r="S889" s="5"/>
      <c r="T889" t="s">
        <v>72</v>
      </c>
      <c r="U889" t="s">
        <v>102</v>
      </c>
      <c r="V889" t="s">
        <v>74</v>
      </c>
      <c r="W889" t="s">
        <v>102</v>
      </c>
      <c r="AE889" s="2"/>
      <c r="AF889" s="2"/>
      <c r="AG889" s="2"/>
      <c r="AH889" s="2"/>
      <c r="AL889" s="2">
        <v>490780</v>
      </c>
      <c r="AM889" s="2">
        <v>0</v>
      </c>
      <c r="AN889" s="2"/>
      <c r="AO889" s="2">
        <v>0</v>
      </c>
      <c r="AP889" s="2">
        <v>490780</v>
      </c>
      <c r="AQ889" s="2">
        <v>0</v>
      </c>
      <c r="AR889" s="2">
        <v>0</v>
      </c>
      <c r="AS889" s="2">
        <v>0</v>
      </c>
      <c r="AT889" s="2">
        <v>0</v>
      </c>
      <c r="AU889" s="2">
        <v>0</v>
      </c>
      <c r="AV889" s="2">
        <v>0</v>
      </c>
      <c r="AW889" s="4"/>
      <c r="AX889" t="s">
        <v>75</v>
      </c>
      <c r="AZ889" t="s">
        <v>2788</v>
      </c>
      <c r="BA889" t="s">
        <v>67</v>
      </c>
      <c r="BB889" t="s">
        <v>2789</v>
      </c>
      <c r="BC889" t="s">
        <v>2790</v>
      </c>
      <c r="BD889" t="s">
        <v>79</v>
      </c>
      <c r="BE889" t="s">
        <v>220</v>
      </c>
      <c r="BF889" s="5">
        <v>47178</v>
      </c>
      <c r="BH889">
        <v>1</v>
      </c>
      <c r="BI889" s="6">
        <v>926000</v>
      </c>
      <c r="BJ889" s="6">
        <v>47</v>
      </c>
      <c r="BK889" s="6">
        <v>435220</v>
      </c>
      <c r="BL889" s="6">
        <v>490780</v>
      </c>
      <c r="BM889" s="2">
        <v>490780</v>
      </c>
      <c r="BN889">
        <f>InvoiceTable[[#This Row],[Giảm giá]]*InvoiceTable[[#This Row],[Số lượng]]</f>
        <v>435220</v>
      </c>
    </row>
    <row r="890" spans="1:66" x14ac:dyDescent="0.25">
      <c r="A890" t="s">
        <v>65</v>
      </c>
      <c r="B890" t="s">
        <v>2791</v>
      </c>
      <c r="F890" s="2"/>
      <c r="G890" s="3">
        <v>46006.726462696759</v>
      </c>
      <c r="H890" s="3">
        <v>46006.726462766201</v>
      </c>
      <c r="I890" s="4" t="s">
        <v>67</v>
      </c>
      <c r="J890" t="s">
        <v>67</v>
      </c>
      <c r="K890" t="s">
        <v>67</v>
      </c>
      <c r="L890" t="s">
        <v>119</v>
      </c>
      <c r="M890" t="s">
        <v>120</v>
      </c>
      <c r="N890" t="s">
        <v>67</v>
      </c>
      <c r="O890" t="s">
        <v>121</v>
      </c>
      <c r="Q890" t="s">
        <v>122</v>
      </c>
      <c r="R890" t="s">
        <v>123</v>
      </c>
      <c r="S890" s="5"/>
      <c r="T890" t="s">
        <v>72</v>
      </c>
      <c r="U890" t="s">
        <v>102</v>
      </c>
      <c r="V890" t="s">
        <v>74</v>
      </c>
      <c r="W890" t="s">
        <v>102</v>
      </c>
      <c r="AE890" s="2"/>
      <c r="AF890" s="2"/>
      <c r="AG890" s="2"/>
      <c r="AH890" s="2"/>
      <c r="AL890" s="2">
        <v>2550000</v>
      </c>
      <c r="AM890" s="2">
        <v>0</v>
      </c>
      <c r="AN890" s="2"/>
      <c r="AO890" s="2">
        <v>0</v>
      </c>
      <c r="AP890" s="2">
        <v>2550000</v>
      </c>
      <c r="AQ890" s="2">
        <v>0</v>
      </c>
      <c r="AR890" s="2">
        <v>0</v>
      </c>
      <c r="AS890" s="2">
        <v>0</v>
      </c>
      <c r="AT890" s="2">
        <v>0</v>
      </c>
      <c r="AU890" s="2">
        <v>0</v>
      </c>
      <c r="AV890" s="2">
        <v>0</v>
      </c>
      <c r="AW890" s="4"/>
      <c r="AX890" t="s">
        <v>75</v>
      </c>
      <c r="AZ890" t="s">
        <v>2792</v>
      </c>
      <c r="BA890" t="s">
        <v>67</v>
      </c>
      <c r="BB890" t="s">
        <v>2793</v>
      </c>
      <c r="BC890" t="s">
        <v>126</v>
      </c>
      <c r="BD890" t="s">
        <v>79</v>
      </c>
      <c r="BE890" t="s">
        <v>317</v>
      </c>
      <c r="BF890" s="5">
        <v>46935</v>
      </c>
      <c r="BH890">
        <v>30</v>
      </c>
      <c r="BI890" s="6">
        <v>200000</v>
      </c>
      <c r="BJ890" s="6">
        <v>0</v>
      </c>
      <c r="BK890" s="6">
        <v>115000</v>
      </c>
      <c r="BL890" s="6">
        <v>85000</v>
      </c>
      <c r="BM890" s="2">
        <v>2550000</v>
      </c>
      <c r="BN890">
        <f>InvoiceTable[[#This Row],[Giảm giá]]*InvoiceTable[[#This Row],[Số lượng]]</f>
        <v>3450000</v>
      </c>
    </row>
    <row r="891" spans="1:66" x14ac:dyDescent="0.25">
      <c r="A891" t="s">
        <v>65</v>
      </c>
      <c r="B891" t="s">
        <v>2794</v>
      </c>
      <c r="F891" s="2"/>
      <c r="G891" s="3">
        <v>46006.725011377312</v>
      </c>
      <c r="H891" s="3">
        <v>46006.725011493058</v>
      </c>
      <c r="I891" s="4" t="s">
        <v>67</v>
      </c>
      <c r="J891" t="s">
        <v>67</v>
      </c>
      <c r="K891" t="s">
        <v>67</v>
      </c>
      <c r="L891" t="s">
        <v>2795</v>
      </c>
      <c r="M891" t="s">
        <v>2796</v>
      </c>
      <c r="N891" t="s">
        <v>67</v>
      </c>
      <c r="O891" t="s">
        <v>2797</v>
      </c>
      <c r="P891" t="s">
        <v>2798</v>
      </c>
      <c r="S891" s="5"/>
      <c r="T891" t="s">
        <v>72</v>
      </c>
      <c r="U891" t="s">
        <v>87</v>
      </c>
      <c r="V891" t="s">
        <v>74</v>
      </c>
      <c r="W891" t="s">
        <v>87</v>
      </c>
      <c r="AE891" s="2"/>
      <c r="AF891" s="2"/>
      <c r="AG891" s="2"/>
      <c r="AH891" s="2"/>
      <c r="AL891" s="2">
        <v>4500000</v>
      </c>
      <c r="AM891" s="2">
        <v>0</v>
      </c>
      <c r="AN891" s="2"/>
      <c r="AO891" s="2">
        <v>0</v>
      </c>
      <c r="AP891" s="2">
        <v>4500000</v>
      </c>
      <c r="AQ891" s="2">
        <v>0</v>
      </c>
      <c r="AR891" s="2">
        <v>0</v>
      </c>
      <c r="AS891" s="2">
        <v>0</v>
      </c>
      <c r="AT891" s="2">
        <v>0</v>
      </c>
      <c r="AU891" s="2">
        <v>0</v>
      </c>
      <c r="AV891" s="2">
        <v>0</v>
      </c>
      <c r="AW891" s="4"/>
      <c r="AX891" t="s">
        <v>75</v>
      </c>
      <c r="AZ891" t="s">
        <v>2304</v>
      </c>
      <c r="BA891" t="s">
        <v>67</v>
      </c>
      <c r="BB891" t="s">
        <v>2305</v>
      </c>
      <c r="BC891" t="s">
        <v>90</v>
      </c>
      <c r="BD891" t="s">
        <v>79</v>
      </c>
      <c r="BE891" t="s">
        <v>2306</v>
      </c>
      <c r="BF891" s="5">
        <v>46893</v>
      </c>
      <c r="BG891" t="s">
        <v>67</v>
      </c>
      <c r="BH891">
        <v>2</v>
      </c>
      <c r="BI891" s="6">
        <v>2651000</v>
      </c>
      <c r="BJ891" s="6">
        <v>0</v>
      </c>
      <c r="BK891" s="6">
        <v>401000</v>
      </c>
      <c r="BL891" s="6">
        <v>2250000</v>
      </c>
      <c r="BM891" s="2">
        <v>4500000</v>
      </c>
      <c r="BN891">
        <f>InvoiceTable[[#This Row],[Giảm giá]]*InvoiceTable[[#This Row],[Số lượng]]</f>
        <v>802000</v>
      </c>
    </row>
    <row r="892" spans="1:66" x14ac:dyDescent="0.25">
      <c r="A892" t="s">
        <v>65</v>
      </c>
      <c r="B892" t="s">
        <v>2799</v>
      </c>
      <c r="F892" s="2"/>
      <c r="G892" s="3">
        <v>46006.718013888887</v>
      </c>
      <c r="H892" s="3">
        <v>46006.718013969905</v>
      </c>
      <c r="I892" s="4" t="s">
        <v>67</v>
      </c>
      <c r="J892" t="s">
        <v>67</v>
      </c>
      <c r="K892" t="s">
        <v>67</v>
      </c>
      <c r="L892" t="s">
        <v>499</v>
      </c>
      <c r="M892" t="s">
        <v>500</v>
      </c>
      <c r="N892" t="s">
        <v>67</v>
      </c>
      <c r="O892" t="s">
        <v>501</v>
      </c>
      <c r="P892" t="s">
        <v>502</v>
      </c>
      <c r="S892" s="5"/>
      <c r="T892" t="s">
        <v>72</v>
      </c>
      <c r="U892" t="s">
        <v>87</v>
      </c>
      <c r="V892" t="s">
        <v>74</v>
      </c>
      <c r="W892" t="s">
        <v>87</v>
      </c>
      <c r="AE892" s="2"/>
      <c r="AF892" s="2"/>
      <c r="AG892" s="2"/>
      <c r="AH892" s="2"/>
      <c r="AL892" s="2">
        <v>10850000</v>
      </c>
      <c r="AM892" s="2">
        <v>5425000</v>
      </c>
      <c r="AN892" s="2"/>
      <c r="AO892" s="2">
        <v>0</v>
      </c>
      <c r="AP892" s="2">
        <v>5425000</v>
      </c>
      <c r="AQ892" s="2">
        <v>0</v>
      </c>
      <c r="AR892" s="2">
        <v>0</v>
      </c>
      <c r="AS892" s="2">
        <v>0</v>
      </c>
      <c r="AT892" s="2">
        <v>0</v>
      </c>
      <c r="AU892" s="2">
        <v>0</v>
      </c>
      <c r="AV892" s="2">
        <v>0</v>
      </c>
      <c r="AW892" s="4"/>
      <c r="AX892" t="s">
        <v>75</v>
      </c>
      <c r="AZ892" t="s">
        <v>2533</v>
      </c>
      <c r="BA892" t="s">
        <v>67</v>
      </c>
      <c r="BB892" t="s">
        <v>2534</v>
      </c>
      <c r="BC892" t="s">
        <v>134</v>
      </c>
      <c r="BD892" t="s">
        <v>79</v>
      </c>
      <c r="BE892" t="s">
        <v>2535</v>
      </c>
      <c r="BF892" s="5">
        <v>47331</v>
      </c>
      <c r="BG892" t="s">
        <v>67</v>
      </c>
      <c r="BH892">
        <v>1</v>
      </c>
      <c r="BI892" s="6">
        <v>3250000</v>
      </c>
      <c r="BJ892" s="6">
        <v>0</v>
      </c>
      <c r="BK892" s="6">
        <v>0</v>
      </c>
      <c r="BL892" s="6">
        <v>3250000</v>
      </c>
      <c r="BM892" s="2">
        <v>3250000</v>
      </c>
      <c r="BN892">
        <f>InvoiceTable[[#This Row],[Giảm giá]]*InvoiceTable[[#This Row],[Số lượng]]</f>
        <v>0</v>
      </c>
    </row>
    <row r="893" spans="1:66" x14ac:dyDescent="0.25">
      <c r="A893" t="s">
        <v>65</v>
      </c>
      <c r="B893" t="s">
        <v>2799</v>
      </c>
      <c r="F893" s="2"/>
      <c r="G893" s="3">
        <v>46006.718013888887</v>
      </c>
      <c r="H893" s="3">
        <v>46006.718013969905</v>
      </c>
      <c r="I893" s="4" t="s">
        <v>67</v>
      </c>
      <c r="J893" t="s">
        <v>67</v>
      </c>
      <c r="K893" t="s">
        <v>67</v>
      </c>
      <c r="L893" t="s">
        <v>499</v>
      </c>
      <c r="M893" t="s">
        <v>500</v>
      </c>
      <c r="N893" t="s">
        <v>67</v>
      </c>
      <c r="O893" t="s">
        <v>501</v>
      </c>
      <c r="P893" t="s">
        <v>502</v>
      </c>
      <c r="S893" s="5"/>
      <c r="T893" t="s">
        <v>72</v>
      </c>
      <c r="U893" t="s">
        <v>87</v>
      </c>
      <c r="V893" t="s">
        <v>74</v>
      </c>
      <c r="W893" t="s">
        <v>87</v>
      </c>
      <c r="AE893" s="2"/>
      <c r="AF893" s="2"/>
      <c r="AG893" s="2"/>
      <c r="AH893" s="2"/>
      <c r="AL893" s="2">
        <v>10850000</v>
      </c>
      <c r="AM893" s="2">
        <v>5425000</v>
      </c>
      <c r="AN893" s="2"/>
      <c r="AO893" s="2">
        <v>0</v>
      </c>
      <c r="AP893" s="2">
        <v>5425000</v>
      </c>
      <c r="AQ893" s="2">
        <v>0</v>
      </c>
      <c r="AR893" s="2">
        <v>0</v>
      </c>
      <c r="AS893" s="2">
        <v>0</v>
      </c>
      <c r="AT893" s="2">
        <v>0</v>
      </c>
      <c r="AU893" s="2">
        <v>0</v>
      </c>
      <c r="AV893" s="2">
        <v>0</v>
      </c>
      <c r="AW893" s="4"/>
      <c r="AX893" t="s">
        <v>75</v>
      </c>
      <c r="AZ893" t="s">
        <v>527</v>
      </c>
      <c r="BA893" t="s">
        <v>67</v>
      </c>
      <c r="BB893" t="s">
        <v>528</v>
      </c>
      <c r="BC893" t="s">
        <v>78</v>
      </c>
      <c r="BD893" t="s">
        <v>79</v>
      </c>
      <c r="BE893" t="s">
        <v>317</v>
      </c>
      <c r="BF893" s="5">
        <v>46935</v>
      </c>
      <c r="BH893">
        <v>2</v>
      </c>
      <c r="BI893" s="6">
        <v>3800000</v>
      </c>
      <c r="BJ893" s="6">
        <v>0</v>
      </c>
      <c r="BK893" s="6">
        <v>0</v>
      </c>
      <c r="BL893" s="6">
        <v>3800000</v>
      </c>
      <c r="BM893" s="2">
        <v>7600000</v>
      </c>
      <c r="BN893">
        <f>InvoiceTable[[#This Row],[Giảm giá]]*InvoiceTable[[#This Row],[Số lượng]]</f>
        <v>0</v>
      </c>
    </row>
    <row r="894" spans="1:66" x14ac:dyDescent="0.25">
      <c r="A894" t="s">
        <v>65</v>
      </c>
      <c r="B894" t="s">
        <v>2800</v>
      </c>
      <c r="F894" s="2"/>
      <c r="G894" s="3">
        <v>46006.714160648145</v>
      </c>
      <c r="H894" s="3">
        <v>46006.714102893522</v>
      </c>
      <c r="I894" s="4" t="s">
        <v>1941</v>
      </c>
      <c r="J894" t="s">
        <v>2801</v>
      </c>
      <c r="K894" t="s">
        <v>67</v>
      </c>
      <c r="L894" t="s">
        <v>726</v>
      </c>
      <c r="M894" t="s">
        <v>727</v>
      </c>
      <c r="N894" t="s">
        <v>67</v>
      </c>
      <c r="O894" t="s">
        <v>728</v>
      </c>
      <c r="P894" t="s">
        <v>729</v>
      </c>
      <c r="S894" s="5"/>
      <c r="T894" t="s">
        <v>72</v>
      </c>
      <c r="U894" t="s">
        <v>87</v>
      </c>
      <c r="V894" t="s">
        <v>74</v>
      </c>
      <c r="W894" t="s">
        <v>87</v>
      </c>
      <c r="AE894" s="2"/>
      <c r="AF894" s="2"/>
      <c r="AG894" s="2"/>
      <c r="AH894" s="2"/>
      <c r="AL894" s="2">
        <v>6600000</v>
      </c>
      <c r="AM894" s="2">
        <v>0</v>
      </c>
      <c r="AN894" s="2"/>
      <c r="AO894" s="2">
        <v>0</v>
      </c>
      <c r="AP894" s="2">
        <v>6600000</v>
      </c>
      <c r="AQ894" s="2">
        <v>0</v>
      </c>
      <c r="AR894" s="2">
        <v>0</v>
      </c>
      <c r="AS894" s="2">
        <v>0</v>
      </c>
      <c r="AT894" s="2">
        <v>0</v>
      </c>
      <c r="AU894" s="2">
        <v>0</v>
      </c>
      <c r="AV894" s="2">
        <v>0</v>
      </c>
      <c r="AW894" s="4"/>
      <c r="AX894" t="s">
        <v>75</v>
      </c>
      <c r="AZ894" t="s">
        <v>1866</v>
      </c>
      <c r="BA894" t="s">
        <v>67</v>
      </c>
      <c r="BB894" t="s">
        <v>1867</v>
      </c>
      <c r="BC894" t="s">
        <v>126</v>
      </c>
      <c r="BD894" t="s">
        <v>79</v>
      </c>
      <c r="BE894" t="s">
        <v>216</v>
      </c>
      <c r="BF894" s="5">
        <v>46784</v>
      </c>
      <c r="BH894">
        <v>100</v>
      </c>
      <c r="BI894" s="6">
        <v>110000</v>
      </c>
      <c r="BJ894" s="6">
        <v>40</v>
      </c>
      <c r="BK894" s="6">
        <v>44000</v>
      </c>
      <c r="BL894" s="6">
        <v>66000</v>
      </c>
      <c r="BM894" s="2">
        <v>6600000</v>
      </c>
      <c r="BN894">
        <f>InvoiceTable[[#This Row],[Giảm giá]]*InvoiceTable[[#This Row],[Số lượng]]</f>
        <v>4400000</v>
      </c>
    </row>
    <row r="895" spans="1:66" x14ac:dyDescent="0.25">
      <c r="A895" t="s">
        <v>65</v>
      </c>
      <c r="B895" t="s">
        <v>2802</v>
      </c>
      <c r="F895" s="2"/>
      <c r="G895" s="3">
        <v>46006.713909837963</v>
      </c>
      <c r="H895" s="3">
        <v>46006.713898495371</v>
      </c>
      <c r="I895" s="4" t="s">
        <v>2803</v>
      </c>
      <c r="J895" t="s">
        <v>2804</v>
      </c>
      <c r="K895" t="s">
        <v>67</v>
      </c>
      <c r="L895" t="s">
        <v>231</v>
      </c>
      <c r="M895" t="s">
        <v>232</v>
      </c>
      <c r="N895" t="s">
        <v>67</v>
      </c>
      <c r="O895" t="s">
        <v>233</v>
      </c>
      <c r="P895" t="s">
        <v>234</v>
      </c>
      <c r="S895" s="5"/>
      <c r="T895" t="s">
        <v>72</v>
      </c>
      <c r="U895" t="s">
        <v>73</v>
      </c>
      <c r="V895" t="s">
        <v>74</v>
      </c>
      <c r="W895" t="s">
        <v>87</v>
      </c>
      <c r="AE895" s="2"/>
      <c r="AF895" s="2"/>
      <c r="AG895" s="2"/>
      <c r="AH895" s="2"/>
      <c r="AK895" t="s">
        <v>313</v>
      </c>
      <c r="AL895" s="2">
        <v>1100000</v>
      </c>
      <c r="AM895" s="2">
        <v>0</v>
      </c>
      <c r="AN895" s="2"/>
      <c r="AO895" s="2">
        <v>0</v>
      </c>
      <c r="AP895" s="2">
        <v>1100000</v>
      </c>
      <c r="AQ895" s="2">
        <v>0</v>
      </c>
      <c r="AR895" s="2">
        <v>0</v>
      </c>
      <c r="AS895" s="2">
        <v>0</v>
      </c>
      <c r="AT895" s="2">
        <v>0</v>
      </c>
      <c r="AU895" s="2">
        <v>0</v>
      </c>
      <c r="AV895" s="2">
        <v>0</v>
      </c>
      <c r="AW895" s="4"/>
      <c r="AX895" t="s">
        <v>75</v>
      </c>
      <c r="AZ895" t="s">
        <v>748</v>
      </c>
      <c r="BA895" t="s">
        <v>67</v>
      </c>
      <c r="BB895" t="s">
        <v>749</v>
      </c>
      <c r="BC895" t="s">
        <v>750</v>
      </c>
      <c r="BD895" t="s">
        <v>79</v>
      </c>
      <c r="BE895" t="s">
        <v>117</v>
      </c>
      <c r="BF895" s="5">
        <v>46569</v>
      </c>
      <c r="BH895">
        <v>1</v>
      </c>
      <c r="BI895" s="6">
        <v>1500000</v>
      </c>
      <c r="BJ895" s="6">
        <v>0</v>
      </c>
      <c r="BK895" s="6">
        <v>400000</v>
      </c>
      <c r="BL895" s="6">
        <v>1100000</v>
      </c>
      <c r="BM895" s="2">
        <v>1100000</v>
      </c>
      <c r="BN895">
        <f>InvoiceTable[[#This Row],[Giảm giá]]*InvoiceTable[[#This Row],[Số lượng]]</f>
        <v>400000</v>
      </c>
    </row>
    <row r="896" spans="1:66" x14ac:dyDescent="0.25">
      <c r="A896" t="s">
        <v>65</v>
      </c>
      <c r="B896" t="s">
        <v>2805</v>
      </c>
      <c r="F896" s="2"/>
      <c r="G896" s="3">
        <v>46006.713735185185</v>
      </c>
      <c r="H896" s="3">
        <v>46006.713712118057</v>
      </c>
      <c r="I896" s="4" t="s">
        <v>2585</v>
      </c>
      <c r="J896" t="s">
        <v>67</v>
      </c>
      <c r="K896" t="s">
        <v>67</v>
      </c>
      <c r="L896" t="s">
        <v>231</v>
      </c>
      <c r="M896" t="s">
        <v>232</v>
      </c>
      <c r="N896" t="s">
        <v>67</v>
      </c>
      <c r="O896" t="s">
        <v>233</v>
      </c>
      <c r="P896" t="s">
        <v>234</v>
      </c>
      <c r="S896" s="5"/>
      <c r="T896" t="s">
        <v>72</v>
      </c>
      <c r="U896" t="s">
        <v>73</v>
      </c>
      <c r="V896" t="s">
        <v>74</v>
      </c>
      <c r="W896" t="s">
        <v>87</v>
      </c>
      <c r="AE896" s="2"/>
      <c r="AF896" s="2"/>
      <c r="AG896" s="2"/>
      <c r="AH896" s="2"/>
      <c r="AL896" s="2">
        <v>75000</v>
      </c>
      <c r="AM896" s="2">
        <v>0</v>
      </c>
      <c r="AN896" s="2"/>
      <c r="AO896" s="2">
        <v>0</v>
      </c>
      <c r="AP896" s="2">
        <v>75000</v>
      </c>
      <c r="AQ896" s="2">
        <v>0</v>
      </c>
      <c r="AR896" s="2">
        <v>0</v>
      </c>
      <c r="AS896" s="2">
        <v>0</v>
      </c>
      <c r="AT896" s="2">
        <v>0</v>
      </c>
      <c r="AU896" s="2">
        <v>0</v>
      </c>
      <c r="AV896" s="2">
        <v>0</v>
      </c>
      <c r="AW896" s="4"/>
      <c r="AX896" t="s">
        <v>75</v>
      </c>
      <c r="AZ896" t="s">
        <v>291</v>
      </c>
      <c r="BA896" t="s">
        <v>67</v>
      </c>
      <c r="BB896" t="s">
        <v>292</v>
      </c>
      <c r="BC896" t="s">
        <v>126</v>
      </c>
      <c r="BD896" t="s">
        <v>79</v>
      </c>
      <c r="BE896" t="s">
        <v>293</v>
      </c>
      <c r="BF896" s="5">
        <v>46722</v>
      </c>
      <c r="BG896" t="s">
        <v>67</v>
      </c>
      <c r="BH896">
        <v>1</v>
      </c>
      <c r="BI896" s="6">
        <v>250000</v>
      </c>
      <c r="BJ896" s="6">
        <v>0</v>
      </c>
      <c r="BK896" s="6">
        <v>175000</v>
      </c>
      <c r="BL896" s="6">
        <v>75000</v>
      </c>
      <c r="BM896" s="2">
        <v>75000</v>
      </c>
      <c r="BN896">
        <f>InvoiceTable[[#This Row],[Giảm giá]]*InvoiceTable[[#This Row],[Số lượng]]</f>
        <v>175000</v>
      </c>
    </row>
    <row r="897" spans="1:66" x14ac:dyDescent="0.25">
      <c r="A897" t="s">
        <v>65</v>
      </c>
      <c r="B897" t="s">
        <v>2806</v>
      </c>
      <c r="F897" s="2"/>
      <c r="G897" s="3">
        <v>46006.713112500001</v>
      </c>
      <c r="H897" s="3">
        <v>46006.713112650461</v>
      </c>
      <c r="I897" s="4" t="s">
        <v>67</v>
      </c>
      <c r="J897" t="s">
        <v>2807</v>
      </c>
      <c r="K897" t="s">
        <v>67</v>
      </c>
      <c r="L897" t="s">
        <v>231</v>
      </c>
      <c r="M897" t="s">
        <v>232</v>
      </c>
      <c r="N897" t="s">
        <v>67</v>
      </c>
      <c r="O897" t="s">
        <v>233</v>
      </c>
      <c r="P897" t="s">
        <v>234</v>
      </c>
      <c r="S897" s="5"/>
      <c r="T897" t="s">
        <v>72</v>
      </c>
      <c r="U897" t="s">
        <v>73</v>
      </c>
      <c r="V897" t="s">
        <v>74</v>
      </c>
      <c r="W897" t="s">
        <v>87</v>
      </c>
      <c r="AE897" s="2"/>
      <c r="AF897" s="2"/>
      <c r="AG897" s="2"/>
      <c r="AH897" s="2"/>
      <c r="AK897" t="s">
        <v>2808</v>
      </c>
      <c r="AL897" s="2">
        <v>1260000</v>
      </c>
      <c r="AM897" s="2">
        <v>0</v>
      </c>
      <c r="AN897" s="2"/>
      <c r="AO897" s="2">
        <v>0</v>
      </c>
      <c r="AP897" s="2">
        <v>1260000</v>
      </c>
      <c r="AQ897" s="2">
        <v>0</v>
      </c>
      <c r="AR897" s="2">
        <v>0</v>
      </c>
      <c r="AS897" s="2">
        <v>0</v>
      </c>
      <c r="AT897" s="2">
        <v>0</v>
      </c>
      <c r="AU897" s="2">
        <v>0</v>
      </c>
      <c r="AV897" s="2">
        <v>0</v>
      </c>
      <c r="AW897" s="4"/>
      <c r="AX897" t="s">
        <v>75</v>
      </c>
      <c r="AZ897" t="s">
        <v>2809</v>
      </c>
      <c r="BA897" t="s">
        <v>67</v>
      </c>
      <c r="BB897" t="s">
        <v>2810</v>
      </c>
      <c r="BC897" t="s">
        <v>1983</v>
      </c>
      <c r="BD897" t="s">
        <v>79</v>
      </c>
      <c r="BE897" t="s">
        <v>1035</v>
      </c>
      <c r="BF897" s="5">
        <v>46204</v>
      </c>
      <c r="BG897" t="s">
        <v>67</v>
      </c>
      <c r="BH897">
        <v>1</v>
      </c>
      <c r="BI897" s="6">
        <v>2000000</v>
      </c>
      <c r="BJ897" s="6">
        <v>37</v>
      </c>
      <c r="BK897" s="6">
        <v>740000</v>
      </c>
      <c r="BL897" s="6">
        <v>1260000</v>
      </c>
      <c r="BM897" s="2">
        <v>1260000</v>
      </c>
      <c r="BN897">
        <f>InvoiceTable[[#This Row],[Giảm giá]]*InvoiceTable[[#This Row],[Số lượng]]</f>
        <v>740000</v>
      </c>
    </row>
    <row r="898" spans="1:66" x14ac:dyDescent="0.25">
      <c r="A898" t="s">
        <v>65</v>
      </c>
      <c r="B898" t="s">
        <v>2811</v>
      </c>
      <c r="F898" s="2"/>
      <c r="G898" s="3">
        <v>46006.712840243054</v>
      </c>
      <c r="H898" s="3">
        <v>46006.71284039352</v>
      </c>
      <c r="I898" s="4" t="s">
        <v>67</v>
      </c>
      <c r="J898" t="s">
        <v>2812</v>
      </c>
      <c r="K898" t="s">
        <v>67</v>
      </c>
      <c r="L898" t="s">
        <v>726</v>
      </c>
      <c r="M898" t="s">
        <v>727</v>
      </c>
      <c r="N898" t="s">
        <v>67</v>
      </c>
      <c r="O898" t="s">
        <v>728</v>
      </c>
      <c r="P898" t="s">
        <v>729</v>
      </c>
      <c r="S898" s="5"/>
      <c r="T898" t="s">
        <v>72</v>
      </c>
      <c r="U898" t="s">
        <v>87</v>
      </c>
      <c r="V898" t="s">
        <v>74</v>
      </c>
      <c r="W898" t="s">
        <v>87</v>
      </c>
      <c r="AE898" s="2"/>
      <c r="AF898" s="2"/>
      <c r="AG898" s="2"/>
      <c r="AH898" s="2"/>
      <c r="AK898" t="s">
        <v>240</v>
      </c>
      <c r="AL898" s="2">
        <v>9063000</v>
      </c>
      <c r="AM898" s="2">
        <v>0</v>
      </c>
      <c r="AN898" s="2"/>
      <c r="AO898" s="2">
        <v>0</v>
      </c>
      <c r="AP898" s="2">
        <v>9063000</v>
      </c>
      <c r="AQ898" s="2">
        <v>0</v>
      </c>
      <c r="AR898" s="2">
        <v>0</v>
      </c>
      <c r="AS898" s="2">
        <v>0</v>
      </c>
      <c r="AT898" s="2">
        <v>0</v>
      </c>
      <c r="AU898" s="2">
        <v>0</v>
      </c>
      <c r="AV898" s="2">
        <v>0</v>
      </c>
      <c r="AW898" s="4"/>
      <c r="AX898" t="s">
        <v>75</v>
      </c>
      <c r="AZ898" t="s">
        <v>763</v>
      </c>
      <c r="BA898" t="s">
        <v>67</v>
      </c>
      <c r="BB898" t="s">
        <v>764</v>
      </c>
      <c r="BC898" t="s">
        <v>251</v>
      </c>
      <c r="BD898" t="s">
        <v>79</v>
      </c>
      <c r="BE898" t="s">
        <v>715</v>
      </c>
      <c r="BF898" s="5">
        <v>46631</v>
      </c>
      <c r="BG898" t="s">
        <v>67</v>
      </c>
      <c r="BH898">
        <v>10</v>
      </c>
      <c r="BI898" s="6">
        <v>435000</v>
      </c>
      <c r="BJ898" s="6">
        <v>43</v>
      </c>
      <c r="BK898" s="6">
        <v>187050</v>
      </c>
      <c r="BL898" s="6">
        <v>247950</v>
      </c>
      <c r="BM898" s="2">
        <v>2479500</v>
      </c>
      <c r="BN898">
        <f>InvoiceTable[[#This Row],[Giảm giá]]*InvoiceTable[[#This Row],[Số lượng]]</f>
        <v>1870500</v>
      </c>
    </row>
    <row r="899" spans="1:66" x14ac:dyDescent="0.25">
      <c r="A899" t="s">
        <v>65</v>
      </c>
      <c r="B899" t="s">
        <v>2811</v>
      </c>
      <c r="F899" s="2"/>
      <c r="G899" s="3">
        <v>46006.712840243054</v>
      </c>
      <c r="H899" s="3">
        <v>46006.71284039352</v>
      </c>
      <c r="I899" s="4" t="s">
        <v>67</v>
      </c>
      <c r="J899" t="s">
        <v>2812</v>
      </c>
      <c r="K899" t="s">
        <v>67</v>
      </c>
      <c r="L899" t="s">
        <v>726</v>
      </c>
      <c r="M899" t="s">
        <v>727</v>
      </c>
      <c r="N899" t="s">
        <v>67</v>
      </c>
      <c r="O899" t="s">
        <v>728</v>
      </c>
      <c r="P899" t="s">
        <v>729</v>
      </c>
      <c r="S899" s="5"/>
      <c r="T899" t="s">
        <v>72</v>
      </c>
      <c r="U899" t="s">
        <v>87</v>
      </c>
      <c r="V899" t="s">
        <v>74</v>
      </c>
      <c r="W899" t="s">
        <v>87</v>
      </c>
      <c r="AE899" s="2"/>
      <c r="AF899" s="2"/>
      <c r="AG899" s="2"/>
      <c r="AH899" s="2"/>
      <c r="AK899" t="s">
        <v>240</v>
      </c>
      <c r="AL899" s="2">
        <v>9063000</v>
      </c>
      <c r="AM899" s="2">
        <v>0</v>
      </c>
      <c r="AN899" s="2"/>
      <c r="AO899" s="2">
        <v>0</v>
      </c>
      <c r="AP899" s="2">
        <v>9063000</v>
      </c>
      <c r="AQ899" s="2">
        <v>0</v>
      </c>
      <c r="AR899" s="2">
        <v>0</v>
      </c>
      <c r="AS899" s="2">
        <v>0</v>
      </c>
      <c r="AT899" s="2">
        <v>0</v>
      </c>
      <c r="AU899" s="2">
        <v>0</v>
      </c>
      <c r="AV899" s="2">
        <v>0</v>
      </c>
      <c r="AW899" s="4"/>
      <c r="AX899" t="s">
        <v>75</v>
      </c>
      <c r="AZ899" t="s">
        <v>761</v>
      </c>
      <c r="BB899" t="s">
        <v>762</v>
      </c>
      <c r="BC899" t="s">
        <v>251</v>
      </c>
      <c r="BD899" t="s">
        <v>79</v>
      </c>
      <c r="BE899" t="s">
        <v>715</v>
      </c>
      <c r="BF899" s="5">
        <v>46631</v>
      </c>
      <c r="BH899">
        <v>30</v>
      </c>
      <c r="BI899" s="6">
        <v>385000</v>
      </c>
      <c r="BJ899" s="6">
        <v>43</v>
      </c>
      <c r="BK899" s="6">
        <v>165550</v>
      </c>
      <c r="BL899" s="6">
        <v>219450</v>
      </c>
      <c r="BM899" s="2">
        <v>6583500</v>
      </c>
      <c r="BN899">
        <f>InvoiceTable[[#This Row],[Giảm giá]]*InvoiceTable[[#This Row],[Số lượng]]</f>
        <v>4966500</v>
      </c>
    </row>
    <row r="900" spans="1:66" x14ac:dyDescent="0.25">
      <c r="A900" t="s">
        <v>65</v>
      </c>
      <c r="B900" t="s">
        <v>2813</v>
      </c>
      <c r="F900" s="2"/>
      <c r="G900" s="3">
        <v>46006.712683136575</v>
      </c>
      <c r="H900" s="3">
        <v>46006.712683298611</v>
      </c>
      <c r="I900" s="4" t="s">
        <v>67</v>
      </c>
      <c r="J900" t="s">
        <v>2814</v>
      </c>
      <c r="K900" t="s">
        <v>67</v>
      </c>
      <c r="L900" t="s">
        <v>1203</v>
      </c>
      <c r="M900" t="s">
        <v>1204</v>
      </c>
      <c r="N900" t="s">
        <v>1205</v>
      </c>
      <c r="O900" t="s">
        <v>1206</v>
      </c>
      <c r="P900" t="s">
        <v>1207</v>
      </c>
      <c r="S900" s="5"/>
      <c r="T900" t="s">
        <v>72</v>
      </c>
      <c r="U900" t="s">
        <v>87</v>
      </c>
      <c r="V900" t="s">
        <v>74</v>
      </c>
      <c r="W900" t="s">
        <v>87</v>
      </c>
      <c r="AE900" s="2"/>
      <c r="AF900" s="2"/>
      <c r="AG900" s="2"/>
      <c r="AH900" s="2"/>
      <c r="AK900" t="s">
        <v>2815</v>
      </c>
      <c r="AL900" s="2">
        <v>4687288</v>
      </c>
      <c r="AM900" s="2">
        <v>0</v>
      </c>
      <c r="AN900" s="2"/>
      <c r="AO900" s="2">
        <v>0</v>
      </c>
      <c r="AP900" s="2">
        <v>4687288</v>
      </c>
      <c r="AQ900" s="2">
        <v>4687288</v>
      </c>
      <c r="AR900" s="2">
        <v>0</v>
      </c>
      <c r="AS900" s="2">
        <v>0</v>
      </c>
      <c r="AT900" s="2">
        <v>0</v>
      </c>
      <c r="AU900" s="2">
        <v>4687288</v>
      </c>
      <c r="AV900" s="2">
        <v>0</v>
      </c>
      <c r="AW900" s="4"/>
      <c r="AX900" t="s">
        <v>75</v>
      </c>
      <c r="AZ900" t="s">
        <v>860</v>
      </c>
      <c r="BA900" t="s">
        <v>67</v>
      </c>
      <c r="BB900" t="s">
        <v>861</v>
      </c>
      <c r="BC900" t="s">
        <v>191</v>
      </c>
      <c r="BD900" t="s">
        <v>79</v>
      </c>
      <c r="BE900" t="s">
        <v>862</v>
      </c>
      <c r="BF900" s="5">
        <v>47515</v>
      </c>
      <c r="BH900">
        <v>2</v>
      </c>
      <c r="BI900" s="6">
        <v>470291</v>
      </c>
      <c r="BJ900" s="6">
        <v>42</v>
      </c>
      <c r="BK900" s="6">
        <v>197522.22</v>
      </c>
      <c r="BL900" s="6">
        <v>272768.78000000003</v>
      </c>
      <c r="BM900" s="2">
        <v>545538</v>
      </c>
      <c r="BN900">
        <f>InvoiceTable[[#This Row],[Giảm giá]]*InvoiceTable[[#This Row],[Số lượng]]</f>
        <v>395044.44</v>
      </c>
    </row>
    <row r="901" spans="1:66" x14ac:dyDescent="0.25">
      <c r="A901" t="s">
        <v>65</v>
      </c>
      <c r="B901" t="s">
        <v>2813</v>
      </c>
      <c r="F901" s="2"/>
      <c r="G901" s="3">
        <v>46006.712683136575</v>
      </c>
      <c r="H901" s="3">
        <v>46006.712683298611</v>
      </c>
      <c r="I901" s="4" t="s">
        <v>67</v>
      </c>
      <c r="J901" t="s">
        <v>2814</v>
      </c>
      <c r="K901" t="s">
        <v>67</v>
      </c>
      <c r="L901" t="s">
        <v>1203</v>
      </c>
      <c r="M901" t="s">
        <v>1204</v>
      </c>
      <c r="N901" t="s">
        <v>1205</v>
      </c>
      <c r="O901" t="s">
        <v>1206</v>
      </c>
      <c r="P901" t="s">
        <v>1207</v>
      </c>
      <c r="S901" s="5"/>
      <c r="T901" t="s">
        <v>72</v>
      </c>
      <c r="U901" t="s">
        <v>87</v>
      </c>
      <c r="V901" t="s">
        <v>74</v>
      </c>
      <c r="W901" t="s">
        <v>87</v>
      </c>
      <c r="AE901" s="2"/>
      <c r="AF901" s="2"/>
      <c r="AG901" s="2"/>
      <c r="AH901" s="2"/>
      <c r="AK901" t="s">
        <v>2815</v>
      </c>
      <c r="AL901" s="2">
        <v>4687288</v>
      </c>
      <c r="AM901" s="2">
        <v>0</v>
      </c>
      <c r="AN901" s="2"/>
      <c r="AO901" s="2">
        <v>0</v>
      </c>
      <c r="AP901" s="2">
        <v>4687288</v>
      </c>
      <c r="AQ901" s="2">
        <v>4687288</v>
      </c>
      <c r="AR901" s="2">
        <v>0</v>
      </c>
      <c r="AS901" s="2">
        <v>0</v>
      </c>
      <c r="AT901" s="2">
        <v>0</v>
      </c>
      <c r="AU901" s="2">
        <v>4687288</v>
      </c>
      <c r="AV901" s="2">
        <v>0</v>
      </c>
      <c r="AW901" s="4"/>
      <c r="AX901" t="s">
        <v>75</v>
      </c>
      <c r="AZ901" t="s">
        <v>1212</v>
      </c>
      <c r="BA901" t="s">
        <v>67</v>
      </c>
      <c r="BB901" t="s">
        <v>1213</v>
      </c>
      <c r="BC901" t="s">
        <v>770</v>
      </c>
      <c r="BD901" t="s">
        <v>79</v>
      </c>
      <c r="BE901" t="s">
        <v>1214</v>
      </c>
      <c r="BF901" s="5">
        <v>47696</v>
      </c>
      <c r="BH901">
        <v>1</v>
      </c>
      <c r="BI901" s="6">
        <v>320000</v>
      </c>
      <c r="BJ901" s="6">
        <v>32</v>
      </c>
      <c r="BK901" s="6">
        <v>102400</v>
      </c>
      <c r="BL901" s="6">
        <v>217600</v>
      </c>
      <c r="BM901" s="2">
        <v>217600</v>
      </c>
      <c r="BN901">
        <f>InvoiceTable[[#This Row],[Giảm giá]]*InvoiceTable[[#This Row],[Số lượng]]</f>
        <v>102400</v>
      </c>
    </row>
    <row r="902" spans="1:66" x14ac:dyDescent="0.25">
      <c r="A902" t="s">
        <v>65</v>
      </c>
      <c r="B902" t="s">
        <v>2813</v>
      </c>
      <c r="F902" s="2"/>
      <c r="G902" s="3">
        <v>46006.712683136575</v>
      </c>
      <c r="H902" s="3">
        <v>46006.712683298611</v>
      </c>
      <c r="I902" s="4" t="s">
        <v>67</v>
      </c>
      <c r="J902" t="s">
        <v>2814</v>
      </c>
      <c r="K902" t="s">
        <v>67</v>
      </c>
      <c r="L902" t="s">
        <v>1203</v>
      </c>
      <c r="M902" t="s">
        <v>1204</v>
      </c>
      <c r="N902" t="s">
        <v>1205</v>
      </c>
      <c r="O902" t="s">
        <v>1206</v>
      </c>
      <c r="P902" t="s">
        <v>1207</v>
      </c>
      <c r="S902" s="5"/>
      <c r="T902" t="s">
        <v>72</v>
      </c>
      <c r="U902" t="s">
        <v>87</v>
      </c>
      <c r="V902" t="s">
        <v>74</v>
      </c>
      <c r="W902" t="s">
        <v>87</v>
      </c>
      <c r="AE902" s="2"/>
      <c r="AF902" s="2"/>
      <c r="AG902" s="2"/>
      <c r="AH902" s="2"/>
      <c r="AK902" t="s">
        <v>2815</v>
      </c>
      <c r="AL902" s="2">
        <v>4687288</v>
      </c>
      <c r="AM902" s="2">
        <v>0</v>
      </c>
      <c r="AN902" s="2"/>
      <c r="AO902" s="2">
        <v>0</v>
      </c>
      <c r="AP902" s="2">
        <v>4687288</v>
      </c>
      <c r="AQ902" s="2">
        <v>4687288</v>
      </c>
      <c r="AR902" s="2">
        <v>0</v>
      </c>
      <c r="AS902" s="2">
        <v>0</v>
      </c>
      <c r="AT902" s="2">
        <v>0</v>
      </c>
      <c r="AU902" s="2">
        <v>4687288</v>
      </c>
      <c r="AV902" s="2">
        <v>0</v>
      </c>
      <c r="AW902" s="4"/>
      <c r="AX902" t="s">
        <v>75</v>
      </c>
      <c r="AZ902" t="s">
        <v>2816</v>
      </c>
      <c r="BA902" t="s">
        <v>67</v>
      </c>
      <c r="BB902" t="s">
        <v>2817</v>
      </c>
      <c r="BC902" t="s">
        <v>986</v>
      </c>
      <c r="BD902" t="s">
        <v>79</v>
      </c>
      <c r="BE902" t="s">
        <v>188</v>
      </c>
      <c r="BF902" s="5">
        <v>46905</v>
      </c>
      <c r="BH902">
        <v>1</v>
      </c>
      <c r="BI902" s="6">
        <v>1404000</v>
      </c>
      <c r="BJ902" s="6">
        <v>0</v>
      </c>
      <c r="BK902" s="6">
        <v>0</v>
      </c>
      <c r="BL902" s="6">
        <v>1404000</v>
      </c>
      <c r="BM902" s="2">
        <v>1404000</v>
      </c>
      <c r="BN902">
        <f>InvoiceTable[[#This Row],[Giảm giá]]*InvoiceTable[[#This Row],[Số lượng]]</f>
        <v>0</v>
      </c>
    </row>
    <row r="903" spans="1:66" x14ac:dyDescent="0.25">
      <c r="A903" t="s">
        <v>65</v>
      </c>
      <c r="B903" t="s">
        <v>2813</v>
      </c>
      <c r="F903" s="2"/>
      <c r="G903" s="3">
        <v>46006.712683136575</v>
      </c>
      <c r="H903" s="3">
        <v>46006.712683298611</v>
      </c>
      <c r="I903" s="4" t="s">
        <v>67</v>
      </c>
      <c r="J903" t="s">
        <v>2814</v>
      </c>
      <c r="K903" t="s">
        <v>67</v>
      </c>
      <c r="L903" t="s">
        <v>1203</v>
      </c>
      <c r="M903" t="s">
        <v>1204</v>
      </c>
      <c r="N903" t="s">
        <v>1205</v>
      </c>
      <c r="O903" t="s">
        <v>1206</v>
      </c>
      <c r="P903" t="s">
        <v>1207</v>
      </c>
      <c r="S903" s="5"/>
      <c r="T903" t="s">
        <v>72</v>
      </c>
      <c r="U903" t="s">
        <v>87</v>
      </c>
      <c r="V903" t="s">
        <v>74</v>
      </c>
      <c r="W903" t="s">
        <v>87</v>
      </c>
      <c r="AE903" s="2"/>
      <c r="AF903" s="2"/>
      <c r="AG903" s="2"/>
      <c r="AH903" s="2"/>
      <c r="AK903" t="s">
        <v>2815</v>
      </c>
      <c r="AL903" s="2">
        <v>4687288</v>
      </c>
      <c r="AM903" s="2">
        <v>0</v>
      </c>
      <c r="AN903" s="2"/>
      <c r="AO903" s="2">
        <v>0</v>
      </c>
      <c r="AP903" s="2">
        <v>4687288</v>
      </c>
      <c r="AQ903" s="2">
        <v>4687288</v>
      </c>
      <c r="AR903" s="2">
        <v>0</v>
      </c>
      <c r="AS903" s="2">
        <v>0</v>
      </c>
      <c r="AT903" s="2">
        <v>0</v>
      </c>
      <c r="AU903" s="2">
        <v>4687288</v>
      </c>
      <c r="AV903" s="2">
        <v>0</v>
      </c>
      <c r="AW903" s="4"/>
      <c r="AX903" t="s">
        <v>75</v>
      </c>
      <c r="AZ903" t="s">
        <v>1210</v>
      </c>
      <c r="BA903" t="s">
        <v>67</v>
      </c>
      <c r="BB903" t="s">
        <v>1211</v>
      </c>
      <c r="BC903" t="s">
        <v>251</v>
      </c>
      <c r="BD903" t="s">
        <v>79</v>
      </c>
      <c r="BE903" t="s">
        <v>293</v>
      </c>
      <c r="BF903" s="5">
        <v>46722</v>
      </c>
      <c r="BH903">
        <v>1</v>
      </c>
      <c r="BI903" s="6">
        <v>520000</v>
      </c>
      <c r="BJ903" s="6">
        <v>42</v>
      </c>
      <c r="BK903" s="6">
        <v>218400</v>
      </c>
      <c r="BL903" s="6">
        <v>301600</v>
      </c>
      <c r="BM903" s="2">
        <v>301600</v>
      </c>
      <c r="BN903">
        <f>InvoiceTable[[#This Row],[Giảm giá]]*InvoiceTable[[#This Row],[Số lượng]]</f>
        <v>218400</v>
      </c>
    </row>
    <row r="904" spans="1:66" x14ac:dyDescent="0.25">
      <c r="A904" t="s">
        <v>65</v>
      </c>
      <c r="B904" t="s">
        <v>2813</v>
      </c>
      <c r="F904" s="2"/>
      <c r="G904" s="3">
        <v>46006.712683136575</v>
      </c>
      <c r="H904" s="3">
        <v>46006.712683298611</v>
      </c>
      <c r="I904" s="4" t="s">
        <v>67</v>
      </c>
      <c r="J904" t="s">
        <v>2814</v>
      </c>
      <c r="K904" t="s">
        <v>67</v>
      </c>
      <c r="L904" t="s">
        <v>1203</v>
      </c>
      <c r="M904" t="s">
        <v>1204</v>
      </c>
      <c r="N904" t="s">
        <v>1205</v>
      </c>
      <c r="O904" t="s">
        <v>1206</v>
      </c>
      <c r="P904" t="s">
        <v>1207</v>
      </c>
      <c r="S904" s="5"/>
      <c r="T904" t="s">
        <v>72</v>
      </c>
      <c r="U904" t="s">
        <v>87</v>
      </c>
      <c r="V904" t="s">
        <v>74</v>
      </c>
      <c r="W904" t="s">
        <v>87</v>
      </c>
      <c r="AE904" s="2"/>
      <c r="AF904" s="2"/>
      <c r="AG904" s="2"/>
      <c r="AH904" s="2"/>
      <c r="AK904" t="s">
        <v>2815</v>
      </c>
      <c r="AL904" s="2">
        <v>4687288</v>
      </c>
      <c r="AM904" s="2">
        <v>0</v>
      </c>
      <c r="AN904" s="2"/>
      <c r="AO904" s="2">
        <v>0</v>
      </c>
      <c r="AP904" s="2">
        <v>4687288</v>
      </c>
      <c r="AQ904" s="2">
        <v>4687288</v>
      </c>
      <c r="AR904" s="2">
        <v>0</v>
      </c>
      <c r="AS904" s="2">
        <v>0</v>
      </c>
      <c r="AT904" s="2">
        <v>0</v>
      </c>
      <c r="AU904" s="2">
        <v>4687288</v>
      </c>
      <c r="AV904" s="2">
        <v>0</v>
      </c>
      <c r="AW904" s="4"/>
      <c r="AX904" t="s">
        <v>75</v>
      </c>
      <c r="AZ904" t="s">
        <v>1217</v>
      </c>
      <c r="BA904" t="s">
        <v>67</v>
      </c>
      <c r="BB904" t="s">
        <v>1218</v>
      </c>
      <c r="BC904" t="s">
        <v>1219</v>
      </c>
      <c r="BD904" t="s">
        <v>79</v>
      </c>
      <c r="BE904" t="s">
        <v>1220</v>
      </c>
      <c r="BF904" s="5">
        <v>46952</v>
      </c>
      <c r="BG904" t="s">
        <v>67</v>
      </c>
      <c r="BH904">
        <v>1</v>
      </c>
      <c r="BI904" s="6">
        <v>560000</v>
      </c>
      <c r="BJ904" s="6">
        <v>42</v>
      </c>
      <c r="BK904" s="6">
        <v>235200</v>
      </c>
      <c r="BL904" s="6">
        <v>324800</v>
      </c>
      <c r="BM904" s="2">
        <v>324800</v>
      </c>
      <c r="BN904">
        <f>InvoiceTable[[#This Row],[Giảm giá]]*InvoiceTable[[#This Row],[Số lượng]]</f>
        <v>235200</v>
      </c>
    </row>
    <row r="905" spans="1:66" x14ac:dyDescent="0.25">
      <c r="A905" t="s">
        <v>65</v>
      </c>
      <c r="B905" t="s">
        <v>2813</v>
      </c>
      <c r="F905" s="2"/>
      <c r="G905" s="3">
        <v>46006.712683136575</v>
      </c>
      <c r="H905" s="3">
        <v>46006.712683298611</v>
      </c>
      <c r="I905" s="4" t="s">
        <v>67</v>
      </c>
      <c r="J905" t="s">
        <v>2814</v>
      </c>
      <c r="K905" t="s">
        <v>67</v>
      </c>
      <c r="L905" t="s">
        <v>1203</v>
      </c>
      <c r="M905" t="s">
        <v>1204</v>
      </c>
      <c r="N905" t="s">
        <v>1205</v>
      </c>
      <c r="O905" t="s">
        <v>1206</v>
      </c>
      <c r="P905" t="s">
        <v>1207</v>
      </c>
      <c r="S905" s="5"/>
      <c r="T905" t="s">
        <v>72</v>
      </c>
      <c r="U905" t="s">
        <v>87</v>
      </c>
      <c r="V905" t="s">
        <v>74</v>
      </c>
      <c r="W905" t="s">
        <v>87</v>
      </c>
      <c r="AE905" s="2"/>
      <c r="AF905" s="2"/>
      <c r="AG905" s="2"/>
      <c r="AH905" s="2"/>
      <c r="AK905" t="s">
        <v>2815</v>
      </c>
      <c r="AL905" s="2">
        <v>4687288</v>
      </c>
      <c r="AM905" s="2">
        <v>0</v>
      </c>
      <c r="AN905" s="2"/>
      <c r="AO905" s="2">
        <v>0</v>
      </c>
      <c r="AP905" s="2">
        <v>4687288</v>
      </c>
      <c r="AQ905" s="2">
        <v>4687288</v>
      </c>
      <c r="AR905" s="2">
        <v>0</v>
      </c>
      <c r="AS905" s="2">
        <v>0</v>
      </c>
      <c r="AT905" s="2">
        <v>0</v>
      </c>
      <c r="AU905" s="2">
        <v>4687288</v>
      </c>
      <c r="AV905" s="2">
        <v>0</v>
      </c>
      <c r="AW905" s="4"/>
      <c r="AX905" t="s">
        <v>75</v>
      </c>
      <c r="AZ905" t="s">
        <v>2818</v>
      </c>
      <c r="BA905" t="s">
        <v>67</v>
      </c>
      <c r="BB905" t="s">
        <v>2819</v>
      </c>
      <c r="BC905" t="s">
        <v>204</v>
      </c>
      <c r="BD905" t="s">
        <v>79</v>
      </c>
      <c r="BE905" t="s">
        <v>205</v>
      </c>
      <c r="BF905" s="5">
        <v>47453</v>
      </c>
      <c r="BH905">
        <v>1</v>
      </c>
      <c r="BI905" s="6">
        <v>385000</v>
      </c>
      <c r="BJ905" s="6">
        <v>37</v>
      </c>
      <c r="BK905" s="6">
        <v>142450</v>
      </c>
      <c r="BL905" s="6">
        <v>242550</v>
      </c>
      <c r="BM905" s="2">
        <v>242550</v>
      </c>
      <c r="BN905">
        <f>InvoiceTable[[#This Row],[Giảm giá]]*InvoiceTable[[#This Row],[Số lượng]]</f>
        <v>142450</v>
      </c>
    </row>
    <row r="906" spans="1:66" x14ac:dyDescent="0.25">
      <c r="A906" t="s">
        <v>65</v>
      </c>
      <c r="B906" t="s">
        <v>2813</v>
      </c>
      <c r="F906" s="2"/>
      <c r="G906" s="3">
        <v>46006.712683136575</v>
      </c>
      <c r="H906" s="3">
        <v>46006.712683298611</v>
      </c>
      <c r="I906" s="4" t="s">
        <v>67</v>
      </c>
      <c r="J906" t="s">
        <v>2814</v>
      </c>
      <c r="K906" t="s">
        <v>67</v>
      </c>
      <c r="L906" t="s">
        <v>1203</v>
      </c>
      <c r="M906" t="s">
        <v>1204</v>
      </c>
      <c r="N906" t="s">
        <v>1205</v>
      </c>
      <c r="O906" t="s">
        <v>1206</v>
      </c>
      <c r="P906" t="s">
        <v>1207</v>
      </c>
      <c r="S906" s="5"/>
      <c r="T906" t="s">
        <v>72</v>
      </c>
      <c r="U906" t="s">
        <v>87</v>
      </c>
      <c r="V906" t="s">
        <v>74</v>
      </c>
      <c r="W906" t="s">
        <v>87</v>
      </c>
      <c r="AE906" s="2"/>
      <c r="AF906" s="2"/>
      <c r="AG906" s="2"/>
      <c r="AH906" s="2"/>
      <c r="AK906" t="s">
        <v>2815</v>
      </c>
      <c r="AL906" s="2">
        <v>4687288</v>
      </c>
      <c r="AM906" s="2">
        <v>0</v>
      </c>
      <c r="AN906" s="2"/>
      <c r="AO906" s="2">
        <v>0</v>
      </c>
      <c r="AP906" s="2">
        <v>4687288</v>
      </c>
      <c r="AQ906" s="2">
        <v>4687288</v>
      </c>
      <c r="AR906" s="2">
        <v>0</v>
      </c>
      <c r="AS906" s="2">
        <v>0</v>
      </c>
      <c r="AT906" s="2">
        <v>0</v>
      </c>
      <c r="AU906" s="2">
        <v>4687288</v>
      </c>
      <c r="AV906" s="2">
        <v>0</v>
      </c>
      <c r="AW906" s="4"/>
      <c r="AX906" t="s">
        <v>75</v>
      </c>
      <c r="AZ906" t="s">
        <v>1284</v>
      </c>
      <c r="BA906" t="s">
        <v>67</v>
      </c>
      <c r="BB906" t="s">
        <v>1285</v>
      </c>
      <c r="BC906" t="s">
        <v>1219</v>
      </c>
      <c r="BD906" t="s">
        <v>79</v>
      </c>
      <c r="BE906" t="s">
        <v>317</v>
      </c>
      <c r="BF906" s="5">
        <v>46935</v>
      </c>
      <c r="BH906">
        <v>2</v>
      </c>
      <c r="BI906" s="6">
        <v>480000</v>
      </c>
      <c r="BJ906" s="6">
        <v>42</v>
      </c>
      <c r="BK906" s="6">
        <v>201600</v>
      </c>
      <c r="BL906" s="6">
        <v>278400</v>
      </c>
      <c r="BM906" s="2">
        <v>556800</v>
      </c>
      <c r="BN906">
        <f>InvoiceTable[[#This Row],[Giảm giá]]*InvoiceTable[[#This Row],[Số lượng]]</f>
        <v>403200</v>
      </c>
    </row>
    <row r="907" spans="1:66" x14ac:dyDescent="0.25">
      <c r="A907" t="s">
        <v>65</v>
      </c>
      <c r="B907" t="s">
        <v>2813</v>
      </c>
      <c r="F907" s="2"/>
      <c r="G907" s="3">
        <v>46006.712683136575</v>
      </c>
      <c r="H907" s="3">
        <v>46006.712683298611</v>
      </c>
      <c r="I907" s="4" t="s">
        <v>67</v>
      </c>
      <c r="J907" t="s">
        <v>2814</v>
      </c>
      <c r="K907" t="s">
        <v>67</v>
      </c>
      <c r="L907" t="s">
        <v>1203</v>
      </c>
      <c r="M907" t="s">
        <v>1204</v>
      </c>
      <c r="N907" t="s">
        <v>1205</v>
      </c>
      <c r="O907" t="s">
        <v>1206</v>
      </c>
      <c r="P907" t="s">
        <v>1207</v>
      </c>
      <c r="S907" s="5"/>
      <c r="T907" t="s">
        <v>72</v>
      </c>
      <c r="U907" t="s">
        <v>87</v>
      </c>
      <c r="V907" t="s">
        <v>74</v>
      </c>
      <c r="W907" t="s">
        <v>87</v>
      </c>
      <c r="AE907" s="2"/>
      <c r="AF907" s="2"/>
      <c r="AG907" s="2"/>
      <c r="AH907" s="2"/>
      <c r="AK907" t="s">
        <v>2815</v>
      </c>
      <c r="AL907" s="2">
        <v>4687288</v>
      </c>
      <c r="AM907" s="2">
        <v>0</v>
      </c>
      <c r="AN907" s="2"/>
      <c r="AO907" s="2">
        <v>0</v>
      </c>
      <c r="AP907" s="2">
        <v>4687288</v>
      </c>
      <c r="AQ907" s="2">
        <v>4687288</v>
      </c>
      <c r="AR907" s="2">
        <v>0</v>
      </c>
      <c r="AS907" s="2">
        <v>0</v>
      </c>
      <c r="AT907" s="2">
        <v>0</v>
      </c>
      <c r="AU907" s="2">
        <v>4687288</v>
      </c>
      <c r="AV907" s="2">
        <v>0</v>
      </c>
      <c r="AW907" s="4"/>
      <c r="AX907" t="s">
        <v>75</v>
      </c>
      <c r="AZ907" t="s">
        <v>213</v>
      </c>
      <c r="BA907" t="s">
        <v>67</v>
      </c>
      <c r="BB907" t="s">
        <v>214</v>
      </c>
      <c r="BC907" t="s">
        <v>215</v>
      </c>
      <c r="BD907" t="s">
        <v>79</v>
      </c>
      <c r="BE907" t="s">
        <v>216</v>
      </c>
      <c r="BF907" s="5">
        <v>46784</v>
      </c>
      <c r="BH907">
        <v>3</v>
      </c>
      <c r="BI907" s="6">
        <v>760000</v>
      </c>
      <c r="BJ907" s="6">
        <v>52</v>
      </c>
      <c r="BK907" s="6">
        <v>395200</v>
      </c>
      <c r="BL907" s="6">
        <v>364800</v>
      </c>
      <c r="BM907" s="2">
        <v>1094400</v>
      </c>
      <c r="BN907">
        <f>InvoiceTable[[#This Row],[Giảm giá]]*InvoiceTable[[#This Row],[Số lượng]]</f>
        <v>1185600</v>
      </c>
    </row>
    <row r="908" spans="1:66" x14ac:dyDescent="0.25">
      <c r="A908" t="s">
        <v>65</v>
      </c>
      <c r="B908" t="s">
        <v>2820</v>
      </c>
      <c r="F908" s="2"/>
      <c r="G908" s="3">
        <v>46006.712423807869</v>
      </c>
      <c r="H908" s="3">
        <v>46006.712423958335</v>
      </c>
      <c r="I908" s="4" t="s">
        <v>67</v>
      </c>
      <c r="J908" t="s">
        <v>2821</v>
      </c>
      <c r="K908" t="s">
        <v>67</v>
      </c>
      <c r="L908" t="s">
        <v>464</v>
      </c>
      <c r="M908" t="s">
        <v>465</v>
      </c>
      <c r="N908" t="s">
        <v>466</v>
      </c>
      <c r="O908" t="s">
        <v>467</v>
      </c>
      <c r="P908" t="s">
        <v>468</v>
      </c>
      <c r="S908" s="5"/>
      <c r="T908" t="s">
        <v>72</v>
      </c>
      <c r="U908" t="s">
        <v>73</v>
      </c>
      <c r="V908" t="s">
        <v>74</v>
      </c>
      <c r="W908" t="s">
        <v>87</v>
      </c>
      <c r="AE908" s="2"/>
      <c r="AF908" s="2"/>
      <c r="AG908" s="2"/>
      <c r="AH908" s="2"/>
      <c r="AL908" s="2">
        <v>4127188</v>
      </c>
      <c r="AM908" s="2">
        <v>0</v>
      </c>
      <c r="AN908" s="2"/>
      <c r="AO908" s="2">
        <v>0</v>
      </c>
      <c r="AP908" s="2">
        <v>4127188</v>
      </c>
      <c r="AQ908" s="2">
        <v>4127188</v>
      </c>
      <c r="AR908" s="2">
        <v>4127188</v>
      </c>
      <c r="AS908" s="2">
        <v>0</v>
      </c>
      <c r="AT908" s="2">
        <v>0</v>
      </c>
      <c r="AU908" s="2">
        <v>0</v>
      </c>
      <c r="AV908" s="2">
        <v>0</v>
      </c>
      <c r="AW908" s="4"/>
      <c r="AX908" t="s">
        <v>75</v>
      </c>
      <c r="AZ908" t="s">
        <v>2822</v>
      </c>
      <c r="BA908" t="s">
        <v>67</v>
      </c>
      <c r="BB908" t="s">
        <v>2823</v>
      </c>
      <c r="BC908" t="s">
        <v>215</v>
      </c>
      <c r="BD908" t="s">
        <v>79</v>
      </c>
      <c r="BE908" t="s">
        <v>310</v>
      </c>
      <c r="BF908" s="5">
        <v>46919</v>
      </c>
      <c r="BG908" t="s">
        <v>67</v>
      </c>
      <c r="BH908">
        <v>1</v>
      </c>
      <c r="BI908" s="6">
        <v>2400000</v>
      </c>
      <c r="BJ908" s="6">
        <v>50</v>
      </c>
      <c r="BK908" s="6">
        <v>1200000</v>
      </c>
      <c r="BL908" s="6">
        <v>1200000</v>
      </c>
      <c r="BM908" s="2">
        <v>1200000</v>
      </c>
      <c r="BN908">
        <f>InvoiceTable[[#This Row],[Giảm giá]]*InvoiceTable[[#This Row],[Số lượng]]</f>
        <v>1200000</v>
      </c>
    </row>
    <row r="909" spans="1:66" x14ac:dyDescent="0.25">
      <c r="A909" t="s">
        <v>65</v>
      </c>
      <c r="B909" t="s">
        <v>2820</v>
      </c>
      <c r="F909" s="2"/>
      <c r="G909" s="3">
        <v>46006.712423807869</v>
      </c>
      <c r="H909" s="3">
        <v>46006.712423958335</v>
      </c>
      <c r="I909" s="4" t="s">
        <v>67</v>
      </c>
      <c r="J909" t="s">
        <v>2821</v>
      </c>
      <c r="K909" t="s">
        <v>67</v>
      </c>
      <c r="L909" t="s">
        <v>464</v>
      </c>
      <c r="M909" t="s">
        <v>465</v>
      </c>
      <c r="N909" t="s">
        <v>466</v>
      </c>
      <c r="O909" t="s">
        <v>467</v>
      </c>
      <c r="P909" t="s">
        <v>468</v>
      </c>
      <c r="S909" s="5"/>
      <c r="T909" t="s">
        <v>72</v>
      </c>
      <c r="U909" t="s">
        <v>73</v>
      </c>
      <c r="V909" t="s">
        <v>74</v>
      </c>
      <c r="W909" t="s">
        <v>87</v>
      </c>
      <c r="AE909" s="2"/>
      <c r="AF909" s="2"/>
      <c r="AG909" s="2"/>
      <c r="AH909" s="2"/>
      <c r="AL909" s="2">
        <v>4127188</v>
      </c>
      <c r="AM909" s="2">
        <v>0</v>
      </c>
      <c r="AN909" s="2"/>
      <c r="AO909" s="2">
        <v>0</v>
      </c>
      <c r="AP909" s="2">
        <v>4127188</v>
      </c>
      <c r="AQ909" s="2">
        <v>4127188</v>
      </c>
      <c r="AR909" s="2">
        <v>4127188</v>
      </c>
      <c r="AS909" s="2">
        <v>0</v>
      </c>
      <c r="AT909" s="2">
        <v>0</v>
      </c>
      <c r="AU909" s="2">
        <v>0</v>
      </c>
      <c r="AV909" s="2">
        <v>0</v>
      </c>
      <c r="AW909" s="4"/>
      <c r="AX909" t="s">
        <v>75</v>
      </c>
      <c r="AZ909" t="s">
        <v>365</v>
      </c>
      <c r="BA909" t="s">
        <v>67</v>
      </c>
      <c r="BB909" t="s">
        <v>366</v>
      </c>
      <c r="BC909" t="s">
        <v>367</v>
      </c>
      <c r="BD909" t="s">
        <v>79</v>
      </c>
      <c r="BE909" t="s">
        <v>94</v>
      </c>
      <c r="BF909" s="5">
        <v>46692</v>
      </c>
      <c r="BH909">
        <v>5</v>
      </c>
      <c r="BI909" s="6">
        <v>380000</v>
      </c>
      <c r="BJ909" s="6">
        <v>30</v>
      </c>
      <c r="BK909" s="6">
        <v>114000</v>
      </c>
      <c r="BL909" s="6">
        <v>266000</v>
      </c>
      <c r="BM909" s="2">
        <v>1330000</v>
      </c>
      <c r="BN909">
        <f>InvoiceTable[[#This Row],[Giảm giá]]*InvoiceTable[[#This Row],[Số lượng]]</f>
        <v>570000</v>
      </c>
    </row>
    <row r="910" spans="1:66" x14ac:dyDescent="0.25">
      <c r="A910" t="s">
        <v>65</v>
      </c>
      <c r="B910" t="s">
        <v>2820</v>
      </c>
      <c r="F910" s="2"/>
      <c r="G910" s="3">
        <v>46006.712423807869</v>
      </c>
      <c r="H910" s="3">
        <v>46006.712423958335</v>
      </c>
      <c r="I910" s="4" t="s">
        <v>67</v>
      </c>
      <c r="J910" t="s">
        <v>2821</v>
      </c>
      <c r="K910" t="s">
        <v>67</v>
      </c>
      <c r="L910" t="s">
        <v>464</v>
      </c>
      <c r="M910" t="s">
        <v>465</v>
      </c>
      <c r="N910" t="s">
        <v>466</v>
      </c>
      <c r="O910" t="s">
        <v>467</v>
      </c>
      <c r="P910" t="s">
        <v>468</v>
      </c>
      <c r="S910" s="5"/>
      <c r="T910" t="s">
        <v>72</v>
      </c>
      <c r="U910" t="s">
        <v>73</v>
      </c>
      <c r="V910" t="s">
        <v>74</v>
      </c>
      <c r="W910" t="s">
        <v>87</v>
      </c>
      <c r="AE910" s="2"/>
      <c r="AF910" s="2"/>
      <c r="AG910" s="2"/>
      <c r="AH910" s="2"/>
      <c r="AL910" s="2">
        <v>4127188</v>
      </c>
      <c r="AM910" s="2">
        <v>0</v>
      </c>
      <c r="AN910" s="2"/>
      <c r="AO910" s="2">
        <v>0</v>
      </c>
      <c r="AP910" s="2">
        <v>4127188</v>
      </c>
      <c r="AQ910" s="2">
        <v>4127188</v>
      </c>
      <c r="AR910" s="2">
        <v>4127188</v>
      </c>
      <c r="AS910" s="2">
        <v>0</v>
      </c>
      <c r="AT910" s="2">
        <v>0</v>
      </c>
      <c r="AU910" s="2">
        <v>0</v>
      </c>
      <c r="AV910" s="2">
        <v>0</v>
      </c>
      <c r="AW910" s="4"/>
      <c r="AX910" t="s">
        <v>75</v>
      </c>
      <c r="AZ910" t="s">
        <v>860</v>
      </c>
      <c r="BA910" t="s">
        <v>67</v>
      </c>
      <c r="BB910" t="s">
        <v>861</v>
      </c>
      <c r="BC910" t="s">
        <v>191</v>
      </c>
      <c r="BD910" t="s">
        <v>79</v>
      </c>
      <c r="BE910" t="s">
        <v>862</v>
      </c>
      <c r="BF910" s="5">
        <v>47515</v>
      </c>
      <c r="BH910">
        <v>2</v>
      </c>
      <c r="BI910" s="6">
        <v>470291</v>
      </c>
      <c r="BJ910" s="6">
        <v>42</v>
      </c>
      <c r="BK910" s="6">
        <v>197522.22</v>
      </c>
      <c r="BL910" s="6">
        <v>272768.78000000003</v>
      </c>
      <c r="BM910" s="2">
        <v>545538</v>
      </c>
      <c r="BN910">
        <f>InvoiceTable[[#This Row],[Giảm giá]]*InvoiceTable[[#This Row],[Số lượng]]</f>
        <v>395044.44</v>
      </c>
    </row>
    <row r="911" spans="1:66" x14ac:dyDescent="0.25">
      <c r="A911" t="s">
        <v>65</v>
      </c>
      <c r="B911" t="s">
        <v>2820</v>
      </c>
      <c r="F911" s="2"/>
      <c r="G911" s="3">
        <v>46006.712423807869</v>
      </c>
      <c r="H911" s="3">
        <v>46006.712423958335</v>
      </c>
      <c r="I911" s="4" t="s">
        <v>67</v>
      </c>
      <c r="J911" t="s">
        <v>2821</v>
      </c>
      <c r="K911" t="s">
        <v>67</v>
      </c>
      <c r="L911" t="s">
        <v>464</v>
      </c>
      <c r="M911" t="s">
        <v>465</v>
      </c>
      <c r="N911" t="s">
        <v>466</v>
      </c>
      <c r="O911" t="s">
        <v>467</v>
      </c>
      <c r="P911" t="s">
        <v>468</v>
      </c>
      <c r="S911" s="5"/>
      <c r="T911" t="s">
        <v>72</v>
      </c>
      <c r="U911" t="s">
        <v>73</v>
      </c>
      <c r="V911" t="s">
        <v>74</v>
      </c>
      <c r="W911" t="s">
        <v>87</v>
      </c>
      <c r="AE911" s="2"/>
      <c r="AF911" s="2"/>
      <c r="AG911" s="2"/>
      <c r="AH911" s="2"/>
      <c r="AL911" s="2">
        <v>4127188</v>
      </c>
      <c r="AM911" s="2">
        <v>0</v>
      </c>
      <c r="AN911" s="2"/>
      <c r="AO911" s="2">
        <v>0</v>
      </c>
      <c r="AP911" s="2">
        <v>4127188</v>
      </c>
      <c r="AQ911" s="2">
        <v>4127188</v>
      </c>
      <c r="AR911" s="2">
        <v>4127188</v>
      </c>
      <c r="AS911" s="2">
        <v>0</v>
      </c>
      <c r="AT911" s="2">
        <v>0</v>
      </c>
      <c r="AU911" s="2">
        <v>0</v>
      </c>
      <c r="AV911" s="2">
        <v>0</v>
      </c>
      <c r="AW911" s="4"/>
      <c r="AX911" t="s">
        <v>75</v>
      </c>
      <c r="AZ911" t="s">
        <v>2824</v>
      </c>
      <c r="BA911" t="s">
        <v>67</v>
      </c>
      <c r="BB911" t="s">
        <v>2825</v>
      </c>
      <c r="BC911" t="s">
        <v>2604</v>
      </c>
      <c r="BD911" t="s">
        <v>79</v>
      </c>
      <c r="BE911" t="s">
        <v>94</v>
      </c>
      <c r="BF911" s="5">
        <v>46692</v>
      </c>
      <c r="BG911" t="s">
        <v>67</v>
      </c>
      <c r="BH911">
        <v>3</v>
      </c>
      <c r="BI911" s="6">
        <v>615000</v>
      </c>
      <c r="BJ911" s="6">
        <v>43</v>
      </c>
      <c r="BK911" s="6">
        <v>264450</v>
      </c>
      <c r="BL911" s="6">
        <v>350550</v>
      </c>
      <c r="BM911" s="2">
        <v>1051650</v>
      </c>
      <c r="BN911">
        <f>InvoiceTable[[#This Row],[Giảm giá]]*InvoiceTable[[#This Row],[Số lượng]]</f>
        <v>793350</v>
      </c>
    </row>
    <row r="912" spans="1:66" x14ac:dyDescent="0.25">
      <c r="A912" t="s">
        <v>65</v>
      </c>
      <c r="B912" t="s">
        <v>2826</v>
      </c>
      <c r="F912" s="2"/>
      <c r="G912" s="3">
        <v>46006.712222800925</v>
      </c>
      <c r="H912" s="3">
        <v>46006.712222916663</v>
      </c>
      <c r="I912" s="4" t="s">
        <v>67</v>
      </c>
      <c r="J912" t="s">
        <v>2827</v>
      </c>
      <c r="K912" t="s">
        <v>67</v>
      </c>
      <c r="L912" t="s">
        <v>245</v>
      </c>
      <c r="M912" t="s">
        <v>246</v>
      </c>
      <c r="N912" t="s">
        <v>67</v>
      </c>
      <c r="O912" t="s">
        <v>247</v>
      </c>
      <c r="P912" t="s">
        <v>248</v>
      </c>
      <c r="Q912" t="s">
        <v>67</v>
      </c>
      <c r="R912" t="s">
        <v>67</v>
      </c>
      <c r="S912" s="5"/>
      <c r="T912" t="s">
        <v>72</v>
      </c>
      <c r="U912" t="s">
        <v>73</v>
      </c>
      <c r="V912" t="s">
        <v>74</v>
      </c>
      <c r="W912" t="s">
        <v>87</v>
      </c>
      <c r="AE912" s="2"/>
      <c r="AF912" s="2"/>
      <c r="AG912" s="2"/>
      <c r="AH912" s="2"/>
      <c r="AL912" s="2">
        <v>1082538</v>
      </c>
      <c r="AM912" s="2">
        <v>0</v>
      </c>
      <c r="AN912" s="2"/>
      <c r="AO912" s="2">
        <v>0</v>
      </c>
      <c r="AP912" s="2">
        <v>1082538</v>
      </c>
      <c r="AQ912" s="2">
        <v>1082538</v>
      </c>
      <c r="AR912" s="2">
        <v>0</v>
      </c>
      <c r="AS912" s="2">
        <v>0</v>
      </c>
      <c r="AT912" s="2">
        <v>0</v>
      </c>
      <c r="AU912" s="2">
        <v>1082538</v>
      </c>
      <c r="AV912" s="2">
        <v>0</v>
      </c>
      <c r="AW912" s="4"/>
      <c r="AX912" t="s">
        <v>75</v>
      </c>
      <c r="AZ912" t="s">
        <v>249</v>
      </c>
      <c r="BA912" t="s">
        <v>67</v>
      </c>
      <c r="BB912" t="s">
        <v>250</v>
      </c>
      <c r="BC912" t="s">
        <v>251</v>
      </c>
      <c r="BD912" t="s">
        <v>79</v>
      </c>
      <c r="BE912" t="s">
        <v>145</v>
      </c>
      <c r="BF912" s="5">
        <v>46508</v>
      </c>
      <c r="BG912" t="s">
        <v>67</v>
      </c>
      <c r="BH912">
        <v>1</v>
      </c>
      <c r="BI912" s="6">
        <v>895000</v>
      </c>
      <c r="BJ912" s="6">
        <v>40</v>
      </c>
      <c r="BK912" s="6">
        <v>358000</v>
      </c>
      <c r="BL912" s="6">
        <v>537000</v>
      </c>
      <c r="BM912" s="2">
        <v>537000</v>
      </c>
      <c r="BN912">
        <f>InvoiceTable[[#This Row],[Giảm giá]]*InvoiceTable[[#This Row],[Số lượng]]</f>
        <v>358000</v>
      </c>
    </row>
    <row r="913" spans="1:66" x14ac:dyDescent="0.25">
      <c r="A913" t="s">
        <v>65</v>
      </c>
      <c r="B913" t="s">
        <v>2826</v>
      </c>
      <c r="F913" s="2"/>
      <c r="G913" s="3">
        <v>46006.712222800925</v>
      </c>
      <c r="H913" s="3">
        <v>46006.712222916663</v>
      </c>
      <c r="I913" s="4" t="s">
        <v>67</v>
      </c>
      <c r="J913" t="s">
        <v>2827</v>
      </c>
      <c r="K913" t="s">
        <v>67</v>
      </c>
      <c r="L913" t="s">
        <v>245</v>
      </c>
      <c r="M913" t="s">
        <v>246</v>
      </c>
      <c r="N913" t="s">
        <v>67</v>
      </c>
      <c r="O913" t="s">
        <v>247</v>
      </c>
      <c r="P913" t="s">
        <v>248</v>
      </c>
      <c r="Q913" t="s">
        <v>67</v>
      </c>
      <c r="R913" t="s">
        <v>67</v>
      </c>
      <c r="S913" s="5"/>
      <c r="T913" t="s">
        <v>72</v>
      </c>
      <c r="U913" t="s">
        <v>73</v>
      </c>
      <c r="V913" t="s">
        <v>74</v>
      </c>
      <c r="W913" t="s">
        <v>87</v>
      </c>
      <c r="AE913" s="2"/>
      <c r="AF913" s="2"/>
      <c r="AG913" s="2"/>
      <c r="AH913" s="2"/>
      <c r="AL913" s="2">
        <v>1082538</v>
      </c>
      <c r="AM913" s="2">
        <v>0</v>
      </c>
      <c r="AN913" s="2"/>
      <c r="AO913" s="2">
        <v>0</v>
      </c>
      <c r="AP913" s="2">
        <v>1082538</v>
      </c>
      <c r="AQ913" s="2">
        <v>1082538</v>
      </c>
      <c r="AR913" s="2">
        <v>0</v>
      </c>
      <c r="AS913" s="2">
        <v>0</v>
      </c>
      <c r="AT913" s="2">
        <v>0</v>
      </c>
      <c r="AU913" s="2">
        <v>1082538</v>
      </c>
      <c r="AV913" s="2">
        <v>0</v>
      </c>
      <c r="AW913" s="4"/>
      <c r="AX913" t="s">
        <v>75</v>
      </c>
      <c r="AZ913" t="s">
        <v>860</v>
      </c>
      <c r="BA913" t="s">
        <v>67</v>
      </c>
      <c r="BB913" t="s">
        <v>861</v>
      </c>
      <c r="BC913" t="s">
        <v>191</v>
      </c>
      <c r="BD913" t="s">
        <v>79</v>
      </c>
      <c r="BE913" t="s">
        <v>862</v>
      </c>
      <c r="BF913" s="5">
        <v>47515</v>
      </c>
      <c r="BH913">
        <v>2</v>
      </c>
      <c r="BI913" s="6">
        <v>470291</v>
      </c>
      <c r="BJ913" s="6">
        <v>42</v>
      </c>
      <c r="BK913" s="6">
        <v>197522.22</v>
      </c>
      <c r="BL913" s="6">
        <v>272768.78000000003</v>
      </c>
      <c r="BM913" s="2">
        <v>545538</v>
      </c>
      <c r="BN913">
        <f>InvoiceTable[[#This Row],[Giảm giá]]*InvoiceTable[[#This Row],[Số lượng]]</f>
        <v>395044.44</v>
      </c>
    </row>
    <row r="914" spans="1:66" x14ac:dyDescent="0.25">
      <c r="A914" t="s">
        <v>65</v>
      </c>
      <c r="B914" t="s">
        <v>2828</v>
      </c>
      <c r="F914" s="2"/>
      <c r="G914" s="3">
        <v>46006.7120496875</v>
      </c>
      <c r="H914" s="3">
        <v>46006.712049803238</v>
      </c>
      <c r="I914" s="4" t="s">
        <v>67</v>
      </c>
      <c r="J914" t="s">
        <v>2829</v>
      </c>
      <c r="K914" t="s">
        <v>67</v>
      </c>
      <c r="L914" t="s">
        <v>1118</v>
      </c>
      <c r="M914" t="s">
        <v>1119</v>
      </c>
      <c r="N914" t="s">
        <v>1120</v>
      </c>
      <c r="O914" t="s">
        <v>1121</v>
      </c>
      <c r="P914" t="s">
        <v>1122</v>
      </c>
      <c r="Q914" t="s">
        <v>67</v>
      </c>
      <c r="R914" t="s">
        <v>67</v>
      </c>
      <c r="S914" s="5"/>
      <c r="T914" t="s">
        <v>72</v>
      </c>
      <c r="U914" t="s">
        <v>87</v>
      </c>
      <c r="V914" t="s">
        <v>74</v>
      </c>
      <c r="W914" t="s">
        <v>87</v>
      </c>
      <c r="AE914" s="2"/>
      <c r="AF914" s="2"/>
      <c r="AG914" s="2"/>
      <c r="AH914" s="2"/>
      <c r="AL914" s="2">
        <v>1313520</v>
      </c>
      <c r="AM914" s="2">
        <v>0</v>
      </c>
      <c r="AN914" s="2"/>
      <c r="AO914" s="2">
        <v>0</v>
      </c>
      <c r="AP914" s="2">
        <v>1313520</v>
      </c>
      <c r="AQ914" s="2">
        <v>0</v>
      </c>
      <c r="AR914" s="2">
        <v>0</v>
      </c>
      <c r="AS914" s="2">
        <v>0</v>
      </c>
      <c r="AT914" s="2">
        <v>0</v>
      </c>
      <c r="AU914" s="2">
        <v>0</v>
      </c>
      <c r="AV914" s="2">
        <v>0</v>
      </c>
      <c r="AW914" s="4"/>
      <c r="AX914" t="s">
        <v>75</v>
      </c>
      <c r="AZ914" t="s">
        <v>1047</v>
      </c>
      <c r="BA914" t="s">
        <v>67</v>
      </c>
      <c r="BB914" t="s">
        <v>1048</v>
      </c>
      <c r="BC914" t="s">
        <v>344</v>
      </c>
      <c r="BD914" t="s">
        <v>79</v>
      </c>
      <c r="BE914" t="s">
        <v>139</v>
      </c>
      <c r="BF914" s="5">
        <v>46447</v>
      </c>
      <c r="BH914">
        <v>1</v>
      </c>
      <c r="BI914" s="6">
        <v>1050000</v>
      </c>
      <c r="BJ914" s="6">
        <v>42</v>
      </c>
      <c r="BK914" s="6">
        <v>441000</v>
      </c>
      <c r="BL914" s="6">
        <v>609000</v>
      </c>
      <c r="BM914" s="2">
        <v>609000</v>
      </c>
      <c r="BN914">
        <f>InvoiceTable[[#This Row],[Giảm giá]]*InvoiceTable[[#This Row],[Số lượng]]</f>
        <v>441000</v>
      </c>
    </row>
    <row r="915" spans="1:66" x14ac:dyDescent="0.25">
      <c r="A915" t="s">
        <v>65</v>
      </c>
      <c r="B915" t="s">
        <v>2828</v>
      </c>
      <c r="F915" s="2"/>
      <c r="G915" s="3">
        <v>46006.7120496875</v>
      </c>
      <c r="H915" s="3">
        <v>46006.712049803238</v>
      </c>
      <c r="I915" s="4" t="s">
        <v>67</v>
      </c>
      <c r="J915" t="s">
        <v>2829</v>
      </c>
      <c r="K915" t="s">
        <v>67</v>
      </c>
      <c r="L915" t="s">
        <v>1118</v>
      </c>
      <c r="M915" t="s">
        <v>1119</v>
      </c>
      <c r="N915" t="s">
        <v>1120</v>
      </c>
      <c r="O915" t="s">
        <v>1121</v>
      </c>
      <c r="P915" t="s">
        <v>1122</v>
      </c>
      <c r="Q915" t="s">
        <v>67</v>
      </c>
      <c r="R915" t="s">
        <v>67</v>
      </c>
      <c r="S915" s="5"/>
      <c r="T915" t="s">
        <v>72</v>
      </c>
      <c r="U915" t="s">
        <v>87</v>
      </c>
      <c r="V915" t="s">
        <v>74</v>
      </c>
      <c r="W915" t="s">
        <v>87</v>
      </c>
      <c r="AE915" s="2"/>
      <c r="AF915" s="2"/>
      <c r="AG915" s="2"/>
      <c r="AH915" s="2"/>
      <c r="AL915" s="2">
        <v>1313520</v>
      </c>
      <c r="AM915" s="2">
        <v>0</v>
      </c>
      <c r="AN915" s="2"/>
      <c r="AO915" s="2">
        <v>0</v>
      </c>
      <c r="AP915" s="2">
        <v>1313520</v>
      </c>
      <c r="AQ915" s="2">
        <v>0</v>
      </c>
      <c r="AR915" s="2">
        <v>0</v>
      </c>
      <c r="AS915" s="2">
        <v>0</v>
      </c>
      <c r="AT915" s="2">
        <v>0</v>
      </c>
      <c r="AU915" s="2">
        <v>0</v>
      </c>
      <c r="AV915" s="2">
        <v>0</v>
      </c>
      <c r="AW915" s="4"/>
      <c r="AX915" t="s">
        <v>75</v>
      </c>
      <c r="AZ915" t="s">
        <v>2830</v>
      </c>
      <c r="BA915" t="s">
        <v>67</v>
      </c>
      <c r="BB915" t="s">
        <v>2831</v>
      </c>
      <c r="BC915" t="s">
        <v>173</v>
      </c>
      <c r="BD915" t="s">
        <v>79</v>
      </c>
      <c r="BE915" t="s">
        <v>220</v>
      </c>
      <c r="BF915" s="5">
        <v>47178</v>
      </c>
      <c r="BH915">
        <v>1</v>
      </c>
      <c r="BI915" s="6">
        <v>1236000</v>
      </c>
      <c r="BJ915" s="6">
        <v>43</v>
      </c>
      <c r="BK915" s="6">
        <v>531480</v>
      </c>
      <c r="BL915" s="6">
        <v>704520</v>
      </c>
      <c r="BM915" s="2">
        <v>704520</v>
      </c>
      <c r="BN915">
        <f>InvoiceTable[[#This Row],[Giảm giá]]*InvoiceTable[[#This Row],[Số lượng]]</f>
        <v>531480</v>
      </c>
    </row>
    <row r="916" spans="1:66" x14ac:dyDescent="0.25">
      <c r="A916" t="s">
        <v>65</v>
      </c>
      <c r="B916" t="s">
        <v>2832</v>
      </c>
      <c r="F916" s="2"/>
      <c r="G916" s="3">
        <v>46006.705719178244</v>
      </c>
      <c r="H916" s="3">
        <v>46006.705719328704</v>
      </c>
      <c r="I916" s="4" t="s">
        <v>67</v>
      </c>
      <c r="J916" t="s">
        <v>67</v>
      </c>
      <c r="K916" t="s">
        <v>67</v>
      </c>
      <c r="L916" t="s">
        <v>1238</v>
      </c>
      <c r="M916" t="s">
        <v>1239</v>
      </c>
      <c r="N916" t="s">
        <v>67</v>
      </c>
      <c r="O916" t="s">
        <v>67</v>
      </c>
      <c r="Q916" t="s">
        <v>67</v>
      </c>
      <c r="R916" t="s">
        <v>67</v>
      </c>
      <c r="S916" s="5"/>
      <c r="T916" t="s">
        <v>72</v>
      </c>
      <c r="U916" t="s">
        <v>87</v>
      </c>
      <c r="V916" t="s">
        <v>74</v>
      </c>
      <c r="W916" t="s">
        <v>87</v>
      </c>
      <c r="AE916" s="2"/>
      <c r="AF916" s="2"/>
      <c r="AG916" s="2"/>
      <c r="AH916" s="2"/>
      <c r="AL916" s="2">
        <v>1875000</v>
      </c>
      <c r="AM916" s="2">
        <v>0</v>
      </c>
      <c r="AN916" s="2"/>
      <c r="AO916" s="2">
        <v>0</v>
      </c>
      <c r="AP916" s="2">
        <v>1875000</v>
      </c>
      <c r="AQ916" s="2">
        <v>0</v>
      </c>
      <c r="AR916" s="2">
        <v>0</v>
      </c>
      <c r="AS916" s="2">
        <v>0</v>
      </c>
      <c r="AT916" s="2">
        <v>0</v>
      </c>
      <c r="AU916" s="2">
        <v>0</v>
      </c>
      <c r="AV916" s="2">
        <v>0</v>
      </c>
      <c r="AW916" s="4"/>
      <c r="AX916" t="s">
        <v>75</v>
      </c>
      <c r="AZ916" t="s">
        <v>808</v>
      </c>
      <c r="BA916" t="s">
        <v>67</v>
      </c>
      <c r="BB916" t="s">
        <v>809</v>
      </c>
      <c r="BC916" t="s">
        <v>78</v>
      </c>
      <c r="BD916" t="s">
        <v>79</v>
      </c>
      <c r="BE916" t="s">
        <v>810</v>
      </c>
      <c r="BF916" s="5">
        <v>46539</v>
      </c>
      <c r="BH916">
        <v>1</v>
      </c>
      <c r="BI916" s="6">
        <v>3750000</v>
      </c>
      <c r="BJ916" s="6">
        <v>50</v>
      </c>
      <c r="BK916" s="6">
        <v>1875000</v>
      </c>
      <c r="BL916" s="6">
        <v>1875000</v>
      </c>
      <c r="BM916" s="2">
        <v>1875000</v>
      </c>
      <c r="BN916">
        <f>InvoiceTable[[#This Row],[Giảm giá]]*InvoiceTable[[#This Row],[Số lượng]]</f>
        <v>1875000</v>
      </c>
    </row>
    <row r="917" spans="1:66" x14ac:dyDescent="0.25">
      <c r="A917" t="s">
        <v>65</v>
      </c>
      <c r="B917" t="s">
        <v>2833</v>
      </c>
      <c r="F917" s="2"/>
      <c r="G917" s="3">
        <v>46006.705284641204</v>
      </c>
      <c r="H917" s="3">
        <v>46006.70528480324</v>
      </c>
      <c r="I917" s="4" t="s">
        <v>67</v>
      </c>
      <c r="J917" t="s">
        <v>67</v>
      </c>
      <c r="K917" t="s">
        <v>67</v>
      </c>
      <c r="L917" t="s">
        <v>111</v>
      </c>
      <c r="M917" t="s">
        <v>112</v>
      </c>
      <c r="N917" t="s">
        <v>67</v>
      </c>
      <c r="O917" t="s">
        <v>113</v>
      </c>
      <c r="P917" t="s">
        <v>114</v>
      </c>
      <c r="Q917" t="s">
        <v>67</v>
      </c>
      <c r="R917" t="s">
        <v>67</v>
      </c>
      <c r="S917" s="5"/>
      <c r="T917" t="s">
        <v>72</v>
      </c>
      <c r="U917" t="s">
        <v>87</v>
      </c>
      <c r="V917" t="s">
        <v>74</v>
      </c>
      <c r="W917" t="s">
        <v>87</v>
      </c>
      <c r="AE917" s="2"/>
      <c r="AF917" s="2"/>
      <c r="AG917" s="2"/>
      <c r="AH917" s="2"/>
      <c r="AL917" s="2">
        <v>1350000</v>
      </c>
      <c r="AM917" s="2">
        <v>0</v>
      </c>
      <c r="AN917" s="2"/>
      <c r="AO917" s="2">
        <v>0</v>
      </c>
      <c r="AP917" s="2">
        <v>1350000</v>
      </c>
      <c r="AQ917" s="2">
        <v>0</v>
      </c>
      <c r="AR917" s="2">
        <v>0</v>
      </c>
      <c r="AS917" s="2">
        <v>0</v>
      </c>
      <c r="AT917" s="2">
        <v>0</v>
      </c>
      <c r="AU917" s="2">
        <v>0</v>
      </c>
      <c r="AV917" s="2">
        <v>0</v>
      </c>
      <c r="AW917" s="4"/>
      <c r="AX917" t="s">
        <v>75</v>
      </c>
      <c r="AZ917" t="s">
        <v>1961</v>
      </c>
      <c r="BB917" t="s">
        <v>1962</v>
      </c>
      <c r="BC917" t="s">
        <v>78</v>
      </c>
      <c r="BD917" t="s">
        <v>79</v>
      </c>
      <c r="BE917" t="s">
        <v>106</v>
      </c>
      <c r="BF917" s="5">
        <v>46327</v>
      </c>
      <c r="BG917" t="s">
        <v>67</v>
      </c>
      <c r="BH917">
        <v>1</v>
      </c>
      <c r="BI917" s="6">
        <v>2700000</v>
      </c>
      <c r="BJ917" s="6">
        <v>50</v>
      </c>
      <c r="BK917" s="6">
        <v>1350000</v>
      </c>
      <c r="BL917" s="6">
        <v>1350000</v>
      </c>
      <c r="BM917" s="2">
        <v>1350000</v>
      </c>
      <c r="BN917">
        <f>InvoiceTable[[#This Row],[Giảm giá]]*InvoiceTable[[#This Row],[Số lượng]]</f>
        <v>1350000</v>
      </c>
    </row>
    <row r="918" spans="1:66" x14ac:dyDescent="0.25">
      <c r="A918" t="s">
        <v>65</v>
      </c>
      <c r="B918" t="s">
        <v>2834</v>
      </c>
      <c r="F918" s="2"/>
      <c r="G918" s="3">
        <v>46006.698352083331</v>
      </c>
      <c r="H918" s="3">
        <v>46006.698352199077</v>
      </c>
      <c r="I918" s="4" t="s">
        <v>67</v>
      </c>
      <c r="J918" t="s">
        <v>67</v>
      </c>
      <c r="K918" t="s">
        <v>67</v>
      </c>
      <c r="L918" t="s">
        <v>2835</v>
      </c>
      <c r="M918" t="s">
        <v>2836</v>
      </c>
      <c r="N918" t="s">
        <v>67</v>
      </c>
      <c r="O918" t="s">
        <v>2837</v>
      </c>
      <c r="P918" t="s">
        <v>2838</v>
      </c>
      <c r="S918" s="5"/>
      <c r="T918" t="s">
        <v>72</v>
      </c>
      <c r="U918" t="s">
        <v>87</v>
      </c>
      <c r="V918" t="s">
        <v>74</v>
      </c>
      <c r="W918" t="s">
        <v>87</v>
      </c>
      <c r="AE918" s="2"/>
      <c r="AF918" s="2"/>
      <c r="AG918" s="2"/>
      <c r="AH918" s="2"/>
      <c r="AL918" s="2">
        <v>24505000</v>
      </c>
      <c r="AM918" s="2">
        <v>0</v>
      </c>
      <c r="AN918" s="2"/>
      <c r="AO918" s="2">
        <v>0</v>
      </c>
      <c r="AP918" s="2">
        <v>24505000</v>
      </c>
      <c r="AQ918" s="2">
        <v>0</v>
      </c>
      <c r="AR918" s="2">
        <v>0</v>
      </c>
      <c r="AS918" s="2">
        <v>0</v>
      </c>
      <c r="AT918" s="2">
        <v>0</v>
      </c>
      <c r="AU918" s="2">
        <v>0</v>
      </c>
      <c r="AV918" s="2">
        <v>0</v>
      </c>
      <c r="AW918" s="4"/>
      <c r="AX918" t="s">
        <v>75</v>
      </c>
      <c r="AZ918" t="s">
        <v>1435</v>
      </c>
      <c r="BA918" t="s">
        <v>67</v>
      </c>
      <c r="BB918" t="s">
        <v>1436</v>
      </c>
      <c r="BC918" t="s">
        <v>377</v>
      </c>
      <c r="BD918" t="s">
        <v>79</v>
      </c>
      <c r="BE918" t="s">
        <v>188</v>
      </c>
      <c r="BF918" s="5">
        <v>46905</v>
      </c>
      <c r="BH918">
        <v>20</v>
      </c>
      <c r="BI918" s="6">
        <v>1885000</v>
      </c>
      <c r="BJ918" s="6">
        <v>35</v>
      </c>
      <c r="BK918" s="6">
        <v>659750</v>
      </c>
      <c r="BL918" s="6">
        <v>1225250</v>
      </c>
      <c r="BM918" s="2">
        <v>24505000</v>
      </c>
      <c r="BN918">
        <f>InvoiceTable[[#This Row],[Giảm giá]]*InvoiceTable[[#This Row],[Số lượng]]</f>
        <v>13195000</v>
      </c>
    </row>
    <row r="919" spans="1:66" x14ac:dyDescent="0.25">
      <c r="A919" t="s">
        <v>65</v>
      </c>
      <c r="B919" t="s">
        <v>2834</v>
      </c>
      <c r="F919" s="2"/>
      <c r="G919" s="3">
        <v>46006.698352083331</v>
      </c>
      <c r="H919" s="3">
        <v>46006.698352199077</v>
      </c>
      <c r="I919" s="4" t="s">
        <v>67</v>
      </c>
      <c r="J919" t="s">
        <v>67</v>
      </c>
      <c r="K919" t="s">
        <v>67</v>
      </c>
      <c r="L919" t="s">
        <v>2835</v>
      </c>
      <c r="M919" t="s">
        <v>2836</v>
      </c>
      <c r="N919" t="s">
        <v>67</v>
      </c>
      <c r="O919" t="s">
        <v>2837</v>
      </c>
      <c r="P919" t="s">
        <v>2838</v>
      </c>
      <c r="S919" s="5"/>
      <c r="T919" t="s">
        <v>72</v>
      </c>
      <c r="U919" t="s">
        <v>87</v>
      </c>
      <c r="V919" t="s">
        <v>74</v>
      </c>
      <c r="W919" t="s">
        <v>87</v>
      </c>
      <c r="AE919" s="2"/>
      <c r="AF919" s="2"/>
      <c r="AG919" s="2"/>
      <c r="AH919" s="2"/>
      <c r="AL919" s="2">
        <v>24505000</v>
      </c>
      <c r="AM919" s="2">
        <v>0</v>
      </c>
      <c r="AN919" s="2"/>
      <c r="AO919" s="2">
        <v>0</v>
      </c>
      <c r="AP919" s="2">
        <v>24505000</v>
      </c>
      <c r="AQ919" s="2">
        <v>0</v>
      </c>
      <c r="AR919" s="2">
        <v>0</v>
      </c>
      <c r="AS919" s="2">
        <v>0</v>
      </c>
      <c r="AT919" s="2">
        <v>0</v>
      </c>
      <c r="AU919" s="2">
        <v>0</v>
      </c>
      <c r="AV919" s="2">
        <v>0</v>
      </c>
      <c r="AW919" s="4"/>
      <c r="AX919" t="s">
        <v>75</v>
      </c>
      <c r="AZ919" t="s">
        <v>1435</v>
      </c>
      <c r="BA919" t="s">
        <v>67</v>
      </c>
      <c r="BB919" t="s">
        <v>1436</v>
      </c>
      <c r="BC919" t="s">
        <v>377</v>
      </c>
      <c r="BD919" t="s">
        <v>79</v>
      </c>
      <c r="BE919" t="s">
        <v>188</v>
      </c>
      <c r="BF919" s="5">
        <v>46905</v>
      </c>
      <c r="BG919" t="s">
        <v>67</v>
      </c>
      <c r="BH919">
        <v>2</v>
      </c>
      <c r="BI919" s="6">
        <v>1885000</v>
      </c>
      <c r="BJ919" s="6">
        <v>0</v>
      </c>
      <c r="BK919" s="6">
        <v>1885000</v>
      </c>
      <c r="BL919" s="6">
        <v>0</v>
      </c>
      <c r="BM919" s="2">
        <v>0</v>
      </c>
      <c r="BN919">
        <f>InvoiceTable[[#This Row],[Giảm giá]]*InvoiceTable[[#This Row],[Số lượng]]</f>
        <v>3770000</v>
      </c>
    </row>
    <row r="920" spans="1:66" x14ac:dyDescent="0.25">
      <c r="A920" t="s">
        <v>65</v>
      </c>
      <c r="B920" t="s">
        <v>2839</v>
      </c>
      <c r="F920" s="2"/>
      <c r="G920" s="3">
        <v>46006.694624074073</v>
      </c>
      <c r="H920" s="3">
        <v>46006.69462415509</v>
      </c>
      <c r="I920" s="4" t="s">
        <v>67</v>
      </c>
      <c r="J920" t="s">
        <v>67</v>
      </c>
      <c r="K920" t="s">
        <v>67</v>
      </c>
      <c r="L920" t="s">
        <v>2840</v>
      </c>
      <c r="M920" t="s">
        <v>2841</v>
      </c>
      <c r="N920" t="s">
        <v>67</v>
      </c>
      <c r="O920" t="s">
        <v>2842</v>
      </c>
      <c r="S920" s="5"/>
      <c r="T920" t="s">
        <v>72</v>
      </c>
      <c r="U920" t="s">
        <v>87</v>
      </c>
      <c r="V920" t="s">
        <v>74</v>
      </c>
      <c r="W920" t="s">
        <v>87</v>
      </c>
      <c r="AE920" s="2"/>
      <c r="AF920" s="2"/>
      <c r="AG920" s="2"/>
      <c r="AH920" s="2"/>
      <c r="AL920" s="2">
        <v>3556000</v>
      </c>
      <c r="AM920" s="2">
        <v>0</v>
      </c>
      <c r="AN920" s="2"/>
      <c r="AO920" s="2">
        <v>0</v>
      </c>
      <c r="AP920" s="2">
        <v>3556000</v>
      </c>
      <c r="AQ920" s="2">
        <v>0</v>
      </c>
      <c r="AR920" s="2">
        <v>0</v>
      </c>
      <c r="AS920" s="2">
        <v>0</v>
      </c>
      <c r="AT920" s="2">
        <v>0</v>
      </c>
      <c r="AU920" s="2">
        <v>0</v>
      </c>
      <c r="AV920" s="2">
        <v>0</v>
      </c>
      <c r="AW920" s="4"/>
      <c r="AX920" t="s">
        <v>75</v>
      </c>
      <c r="AZ920" t="s">
        <v>2843</v>
      </c>
      <c r="BA920" t="s">
        <v>67</v>
      </c>
      <c r="BB920" t="s">
        <v>2844</v>
      </c>
      <c r="BC920" t="s">
        <v>485</v>
      </c>
      <c r="BD920" t="s">
        <v>79</v>
      </c>
      <c r="BE920" t="s">
        <v>106</v>
      </c>
      <c r="BF920" s="5">
        <v>46327</v>
      </c>
      <c r="BG920" t="s">
        <v>67</v>
      </c>
      <c r="BH920">
        <v>1</v>
      </c>
      <c r="BI920" s="6">
        <v>5080000</v>
      </c>
      <c r="BJ920" s="6">
        <v>30</v>
      </c>
      <c r="BK920" s="6">
        <v>1524000</v>
      </c>
      <c r="BL920" s="6">
        <v>3556000</v>
      </c>
      <c r="BM920" s="2">
        <v>3556000</v>
      </c>
      <c r="BN920">
        <f>InvoiceTable[[#This Row],[Giảm giá]]*InvoiceTable[[#This Row],[Số lượng]]</f>
        <v>1524000</v>
      </c>
    </row>
    <row r="921" spans="1:66" x14ac:dyDescent="0.25">
      <c r="A921" t="s">
        <v>65</v>
      </c>
      <c r="B921" t="s">
        <v>2845</v>
      </c>
      <c r="F921" s="2"/>
      <c r="G921" s="3">
        <v>46006.674509803241</v>
      </c>
      <c r="H921" s="3">
        <v>46006.674509918979</v>
      </c>
      <c r="I921" s="4" t="s">
        <v>67</v>
      </c>
      <c r="J921" t="s">
        <v>67</v>
      </c>
      <c r="K921" t="s">
        <v>67</v>
      </c>
      <c r="L921" t="s">
        <v>866</v>
      </c>
      <c r="M921" t="s">
        <v>867</v>
      </c>
      <c r="N921" t="s">
        <v>868</v>
      </c>
      <c r="O921" t="s">
        <v>869</v>
      </c>
      <c r="P921" t="s">
        <v>870</v>
      </c>
      <c r="S921" s="5"/>
      <c r="T921" t="s">
        <v>72</v>
      </c>
      <c r="U921" t="s">
        <v>87</v>
      </c>
      <c r="V921" t="s">
        <v>74</v>
      </c>
      <c r="W921" t="s">
        <v>87</v>
      </c>
      <c r="AE921" s="2"/>
      <c r="AF921" s="2"/>
      <c r="AG921" s="2"/>
      <c r="AH921" s="2"/>
      <c r="AK921" t="s">
        <v>2846</v>
      </c>
      <c r="AL921" s="2">
        <v>2364540</v>
      </c>
      <c r="AM921" s="2">
        <v>0</v>
      </c>
      <c r="AN921" s="2"/>
      <c r="AO921" s="2">
        <v>0</v>
      </c>
      <c r="AP921" s="2">
        <v>2364540</v>
      </c>
      <c r="AQ921" s="2">
        <v>0</v>
      </c>
      <c r="AR921" s="2">
        <v>0</v>
      </c>
      <c r="AS921" s="2">
        <v>0</v>
      </c>
      <c r="AT921" s="2">
        <v>0</v>
      </c>
      <c r="AU921" s="2">
        <v>0</v>
      </c>
      <c r="AV921" s="2">
        <v>0</v>
      </c>
      <c r="AW921" s="4"/>
      <c r="AX921" t="s">
        <v>75</v>
      </c>
      <c r="AZ921" t="s">
        <v>2847</v>
      </c>
      <c r="BA921" t="s">
        <v>67</v>
      </c>
      <c r="BB921" t="s">
        <v>2848</v>
      </c>
      <c r="BC921" t="s">
        <v>567</v>
      </c>
      <c r="BD921" t="s">
        <v>79</v>
      </c>
      <c r="BE921" t="s">
        <v>155</v>
      </c>
      <c r="BF921" s="5">
        <v>46600</v>
      </c>
      <c r="BH921">
        <v>2</v>
      </c>
      <c r="BI921" s="6">
        <v>278000</v>
      </c>
      <c r="BJ921" s="6">
        <v>38</v>
      </c>
      <c r="BK921" s="6">
        <v>105640</v>
      </c>
      <c r="BL921" s="6">
        <v>172360</v>
      </c>
      <c r="BM921" s="2">
        <v>344720</v>
      </c>
      <c r="BN921">
        <f>InvoiceTable[[#This Row],[Giảm giá]]*InvoiceTable[[#This Row],[Số lượng]]</f>
        <v>211280</v>
      </c>
    </row>
    <row r="922" spans="1:66" x14ac:dyDescent="0.25">
      <c r="A922" t="s">
        <v>65</v>
      </c>
      <c r="B922" t="s">
        <v>2845</v>
      </c>
      <c r="F922" s="2"/>
      <c r="G922" s="3">
        <v>46006.674509803241</v>
      </c>
      <c r="H922" s="3">
        <v>46006.674509918979</v>
      </c>
      <c r="I922" s="4" t="s">
        <v>67</v>
      </c>
      <c r="J922" t="s">
        <v>67</v>
      </c>
      <c r="K922" t="s">
        <v>67</v>
      </c>
      <c r="L922" t="s">
        <v>866</v>
      </c>
      <c r="M922" t="s">
        <v>867</v>
      </c>
      <c r="N922" t="s">
        <v>868</v>
      </c>
      <c r="O922" t="s">
        <v>869</v>
      </c>
      <c r="P922" t="s">
        <v>870</v>
      </c>
      <c r="S922" s="5"/>
      <c r="T922" t="s">
        <v>72</v>
      </c>
      <c r="U922" t="s">
        <v>87</v>
      </c>
      <c r="V922" t="s">
        <v>74</v>
      </c>
      <c r="W922" t="s">
        <v>87</v>
      </c>
      <c r="AE922" s="2"/>
      <c r="AF922" s="2"/>
      <c r="AG922" s="2"/>
      <c r="AH922" s="2"/>
      <c r="AK922" t="s">
        <v>2846</v>
      </c>
      <c r="AL922" s="2">
        <v>2364540</v>
      </c>
      <c r="AM922" s="2">
        <v>0</v>
      </c>
      <c r="AN922" s="2"/>
      <c r="AO922" s="2">
        <v>0</v>
      </c>
      <c r="AP922" s="2">
        <v>2364540</v>
      </c>
      <c r="AQ922" s="2">
        <v>0</v>
      </c>
      <c r="AR922" s="2">
        <v>0</v>
      </c>
      <c r="AS922" s="2">
        <v>0</v>
      </c>
      <c r="AT922" s="2">
        <v>0</v>
      </c>
      <c r="AU922" s="2">
        <v>0</v>
      </c>
      <c r="AV922" s="2">
        <v>0</v>
      </c>
      <c r="AW922" s="4"/>
      <c r="AX922" t="s">
        <v>75</v>
      </c>
      <c r="AZ922" t="s">
        <v>1337</v>
      </c>
      <c r="BA922" t="s">
        <v>67</v>
      </c>
      <c r="BB922" t="s">
        <v>1338</v>
      </c>
      <c r="BC922" t="s">
        <v>567</v>
      </c>
      <c r="BD922" t="s">
        <v>79</v>
      </c>
      <c r="BE922" t="s">
        <v>434</v>
      </c>
      <c r="BF922" s="5">
        <v>46661</v>
      </c>
      <c r="BH922">
        <v>2</v>
      </c>
      <c r="BI922" s="6">
        <v>756000</v>
      </c>
      <c r="BJ922" s="6">
        <v>38</v>
      </c>
      <c r="BK922" s="6">
        <v>287280</v>
      </c>
      <c r="BL922" s="6">
        <v>468720</v>
      </c>
      <c r="BM922" s="2">
        <v>937440</v>
      </c>
      <c r="BN922">
        <f>InvoiceTable[[#This Row],[Giảm giá]]*InvoiceTable[[#This Row],[Số lượng]]</f>
        <v>574560</v>
      </c>
    </row>
    <row r="923" spans="1:66" x14ac:dyDescent="0.25">
      <c r="A923" t="s">
        <v>65</v>
      </c>
      <c r="B923" t="s">
        <v>2845</v>
      </c>
      <c r="F923" s="2"/>
      <c r="G923" s="3">
        <v>46006.674509803241</v>
      </c>
      <c r="H923" s="3">
        <v>46006.674509918979</v>
      </c>
      <c r="I923" s="4" t="s">
        <v>67</v>
      </c>
      <c r="J923" t="s">
        <v>67</v>
      </c>
      <c r="K923" t="s">
        <v>67</v>
      </c>
      <c r="L923" t="s">
        <v>866</v>
      </c>
      <c r="M923" t="s">
        <v>867</v>
      </c>
      <c r="N923" t="s">
        <v>868</v>
      </c>
      <c r="O923" t="s">
        <v>869</v>
      </c>
      <c r="P923" t="s">
        <v>870</v>
      </c>
      <c r="S923" s="5"/>
      <c r="T923" t="s">
        <v>72</v>
      </c>
      <c r="U923" t="s">
        <v>87</v>
      </c>
      <c r="V923" t="s">
        <v>74</v>
      </c>
      <c r="W923" t="s">
        <v>87</v>
      </c>
      <c r="AE923" s="2"/>
      <c r="AF923" s="2"/>
      <c r="AG923" s="2"/>
      <c r="AH923" s="2"/>
      <c r="AK923" t="s">
        <v>2846</v>
      </c>
      <c r="AL923" s="2">
        <v>2364540</v>
      </c>
      <c r="AM923" s="2">
        <v>0</v>
      </c>
      <c r="AN923" s="2"/>
      <c r="AO923" s="2">
        <v>0</v>
      </c>
      <c r="AP923" s="2">
        <v>2364540</v>
      </c>
      <c r="AQ923" s="2">
        <v>0</v>
      </c>
      <c r="AR923" s="2">
        <v>0</v>
      </c>
      <c r="AS923" s="2">
        <v>0</v>
      </c>
      <c r="AT923" s="2">
        <v>0</v>
      </c>
      <c r="AU923" s="2">
        <v>0</v>
      </c>
      <c r="AV923" s="2">
        <v>0</v>
      </c>
      <c r="AW923" s="4"/>
      <c r="AX923" t="s">
        <v>75</v>
      </c>
      <c r="AZ923" t="s">
        <v>2849</v>
      </c>
      <c r="BB923" t="s">
        <v>2850</v>
      </c>
      <c r="BC923" t="s">
        <v>212</v>
      </c>
      <c r="BD923" t="s">
        <v>79</v>
      </c>
      <c r="BE923" t="s">
        <v>145</v>
      </c>
      <c r="BF923" s="5">
        <v>46508</v>
      </c>
      <c r="BH923">
        <v>2</v>
      </c>
      <c r="BI923" s="6">
        <v>415000</v>
      </c>
      <c r="BJ923" s="6">
        <v>35</v>
      </c>
      <c r="BK923" s="6">
        <v>145250</v>
      </c>
      <c r="BL923" s="6">
        <v>269750</v>
      </c>
      <c r="BM923" s="2">
        <v>539500</v>
      </c>
      <c r="BN923">
        <f>InvoiceTable[[#This Row],[Giảm giá]]*InvoiceTable[[#This Row],[Số lượng]]</f>
        <v>290500</v>
      </c>
    </row>
    <row r="924" spans="1:66" x14ac:dyDescent="0.25">
      <c r="A924" t="s">
        <v>65</v>
      </c>
      <c r="B924" t="s">
        <v>2845</v>
      </c>
      <c r="F924" s="2"/>
      <c r="G924" s="3">
        <v>46006.674509803241</v>
      </c>
      <c r="H924" s="3">
        <v>46006.674509918979</v>
      </c>
      <c r="I924" s="4" t="s">
        <v>67</v>
      </c>
      <c r="J924" t="s">
        <v>67</v>
      </c>
      <c r="K924" t="s">
        <v>67</v>
      </c>
      <c r="L924" t="s">
        <v>866</v>
      </c>
      <c r="M924" t="s">
        <v>867</v>
      </c>
      <c r="N924" t="s">
        <v>868</v>
      </c>
      <c r="O924" t="s">
        <v>869</v>
      </c>
      <c r="P924" t="s">
        <v>870</v>
      </c>
      <c r="S924" s="5"/>
      <c r="T924" t="s">
        <v>72</v>
      </c>
      <c r="U924" t="s">
        <v>87</v>
      </c>
      <c r="V924" t="s">
        <v>74</v>
      </c>
      <c r="W924" t="s">
        <v>87</v>
      </c>
      <c r="AE924" s="2"/>
      <c r="AF924" s="2"/>
      <c r="AG924" s="2"/>
      <c r="AH924" s="2"/>
      <c r="AK924" t="s">
        <v>2846</v>
      </c>
      <c r="AL924" s="2">
        <v>2364540</v>
      </c>
      <c r="AM924" s="2">
        <v>0</v>
      </c>
      <c r="AN924" s="2"/>
      <c r="AO924" s="2">
        <v>0</v>
      </c>
      <c r="AP924" s="2">
        <v>2364540</v>
      </c>
      <c r="AQ924" s="2">
        <v>0</v>
      </c>
      <c r="AR924" s="2">
        <v>0</v>
      </c>
      <c r="AS924" s="2">
        <v>0</v>
      </c>
      <c r="AT924" s="2">
        <v>0</v>
      </c>
      <c r="AU924" s="2">
        <v>0</v>
      </c>
      <c r="AV924" s="2">
        <v>0</v>
      </c>
      <c r="AW924" s="4"/>
      <c r="AX924" t="s">
        <v>75</v>
      </c>
      <c r="AZ924" t="s">
        <v>2851</v>
      </c>
      <c r="BA924" t="s">
        <v>67</v>
      </c>
      <c r="BB924" t="s">
        <v>2852</v>
      </c>
      <c r="BC924" t="s">
        <v>208</v>
      </c>
      <c r="BD924" t="s">
        <v>79</v>
      </c>
      <c r="BE924" t="s">
        <v>2853</v>
      </c>
      <c r="BF924" s="5">
        <v>46583</v>
      </c>
      <c r="BG924" t="s">
        <v>67</v>
      </c>
      <c r="BH924">
        <v>2</v>
      </c>
      <c r="BI924" s="6">
        <v>377000</v>
      </c>
      <c r="BJ924" s="6">
        <v>28</v>
      </c>
      <c r="BK924" s="6">
        <v>105560</v>
      </c>
      <c r="BL924" s="6">
        <v>271440</v>
      </c>
      <c r="BM924" s="2">
        <v>542880</v>
      </c>
      <c r="BN924">
        <f>InvoiceTable[[#This Row],[Giảm giá]]*InvoiceTable[[#This Row],[Số lượng]]</f>
        <v>211120</v>
      </c>
    </row>
    <row r="925" spans="1:66" x14ac:dyDescent="0.25">
      <c r="A925" t="s">
        <v>65</v>
      </c>
      <c r="B925" t="s">
        <v>2854</v>
      </c>
      <c r="F925" s="2"/>
      <c r="G925" s="3">
        <v>46006.64477175926</v>
      </c>
      <c r="H925" s="3">
        <v>46006.644760381947</v>
      </c>
      <c r="I925" s="4" t="s">
        <v>2803</v>
      </c>
      <c r="J925" t="s">
        <v>2855</v>
      </c>
      <c r="K925" t="s">
        <v>67</v>
      </c>
      <c r="L925" t="s">
        <v>1273</v>
      </c>
      <c r="M925" t="s">
        <v>1274</v>
      </c>
      <c r="N925" t="s">
        <v>67</v>
      </c>
      <c r="O925" t="s">
        <v>1275</v>
      </c>
      <c r="P925" t="s">
        <v>1276</v>
      </c>
      <c r="S925" s="5"/>
      <c r="T925" t="s">
        <v>72</v>
      </c>
      <c r="U925" t="s">
        <v>73</v>
      </c>
      <c r="V925" t="s">
        <v>74</v>
      </c>
      <c r="W925" t="s">
        <v>87</v>
      </c>
      <c r="AE925" s="2"/>
      <c r="AF925" s="2"/>
      <c r="AG925" s="2"/>
      <c r="AH925" s="2"/>
      <c r="AK925" t="s">
        <v>258</v>
      </c>
      <c r="AL925" s="2">
        <v>10600000</v>
      </c>
      <c r="AM925" s="2">
        <v>0</v>
      </c>
      <c r="AN925" s="2"/>
      <c r="AO925" s="2">
        <v>0</v>
      </c>
      <c r="AP925" s="2">
        <v>10600000</v>
      </c>
      <c r="AQ925" s="2">
        <v>10600000</v>
      </c>
      <c r="AR925" s="2">
        <v>0</v>
      </c>
      <c r="AS925" s="2">
        <v>0</v>
      </c>
      <c r="AT925" s="2">
        <v>0</v>
      </c>
      <c r="AU925" s="2">
        <v>10600000</v>
      </c>
      <c r="AV925" s="2">
        <v>0</v>
      </c>
      <c r="AW925" s="4"/>
      <c r="AX925" t="s">
        <v>75</v>
      </c>
      <c r="AZ925" t="s">
        <v>1678</v>
      </c>
      <c r="BB925" t="s">
        <v>1679</v>
      </c>
      <c r="BC925" t="s">
        <v>590</v>
      </c>
      <c r="BD925" t="s">
        <v>79</v>
      </c>
      <c r="BE925" t="s">
        <v>1231</v>
      </c>
      <c r="BF925" s="5">
        <v>47239</v>
      </c>
      <c r="BH925">
        <v>1</v>
      </c>
      <c r="BI925" s="6">
        <v>7490000</v>
      </c>
      <c r="BJ925" s="6">
        <v>0</v>
      </c>
      <c r="BK925" s="6">
        <v>1140000</v>
      </c>
      <c r="BL925" s="6">
        <v>6350000</v>
      </c>
      <c r="BM925" s="2">
        <v>6350000</v>
      </c>
      <c r="BN925">
        <f>InvoiceTable[[#This Row],[Giảm giá]]*InvoiceTable[[#This Row],[Số lượng]]</f>
        <v>1140000</v>
      </c>
    </row>
    <row r="926" spans="1:66" x14ac:dyDescent="0.25">
      <c r="A926" t="s">
        <v>65</v>
      </c>
      <c r="B926" t="s">
        <v>2854</v>
      </c>
      <c r="F926" s="2"/>
      <c r="G926" s="3">
        <v>46006.64477175926</v>
      </c>
      <c r="H926" s="3">
        <v>46006.644760381947</v>
      </c>
      <c r="I926" s="4" t="s">
        <v>2803</v>
      </c>
      <c r="J926" t="s">
        <v>2855</v>
      </c>
      <c r="K926" t="s">
        <v>67</v>
      </c>
      <c r="L926" t="s">
        <v>1273</v>
      </c>
      <c r="M926" t="s">
        <v>1274</v>
      </c>
      <c r="N926" t="s">
        <v>67</v>
      </c>
      <c r="O926" t="s">
        <v>1275</v>
      </c>
      <c r="P926" t="s">
        <v>1276</v>
      </c>
      <c r="S926" s="5"/>
      <c r="T926" t="s">
        <v>72</v>
      </c>
      <c r="U926" t="s">
        <v>73</v>
      </c>
      <c r="V926" t="s">
        <v>74</v>
      </c>
      <c r="W926" t="s">
        <v>87</v>
      </c>
      <c r="AE926" s="2"/>
      <c r="AF926" s="2"/>
      <c r="AG926" s="2"/>
      <c r="AH926" s="2"/>
      <c r="AK926" t="s">
        <v>258</v>
      </c>
      <c r="AL926" s="2">
        <v>10600000</v>
      </c>
      <c r="AM926" s="2">
        <v>0</v>
      </c>
      <c r="AN926" s="2"/>
      <c r="AO926" s="2">
        <v>0</v>
      </c>
      <c r="AP926" s="2">
        <v>10600000</v>
      </c>
      <c r="AQ926" s="2">
        <v>10600000</v>
      </c>
      <c r="AR926" s="2">
        <v>0</v>
      </c>
      <c r="AS926" s="2">
        <v>0</v>
      </c>
      <c r="AT926" s="2">
        <v>0</v>
      </c>
      <c r="AU926" s="2">
        <v>10600000</v>
      </c>
      <c r="AV926" s="2">
        <v>0</v>
      </c>
      <c r="AW926" s="4"/>
      <c r="AX926" t="s">
        <v>75</v>
      </c>
      <c r="AZ926" t="s">
        <v>103</v>
      </c>
      <c r="BB926" t="s">
        <v>104</v>
      </c>
      <c r="BC926" t="s">
        <v>105</v>
      </c>
      <c r="BD926" t="s">
        <v>79</v>
      </c>
      <c r="BE926" t="s">
        <v>106</v>
      </c>
      <c r="BF926" s="5">
        <v>46327</v>
      </c>
      <c r="BH926">
        <v>1</v>
      </c>
      <c r="BI926" s="6">
        <v>6930000</v>
      </c>
      <c r="BJ926" s="6">
        <v>0</v>
      </c>
      <c r="BK926" s="6">
        <v>2680000</v>
      </c>
      <c r="BL926" s="6">
        <v>4250000</v>
      </c>
      <c r="BM926" s="2">
        <v>4250000</v>
      </c>
      <c r="BN926">
        <f>InvoiceTable[[#This Row],[Giảm giá]]*InvoiceTable[[#This Row],[Số lượng]]</f>
        <v>2680000</v>
      </c>
    </row>
    <row r="927" spans="1:66" x14ac:dyDescent="0.25">
      <c r="A927" t="s">
        <v>65</v>
      </c>
      <c r="B927" t="s">
        <v>2856</v>
      </c>
      <c r="F927" s="2"/>
      <c r="G927" s="3">
        <v>46006.644277164349</v>
      </c>
      <c r="H927" s="3">
        <v>46006.644265740739</v>
      </c>
      <c r="I927" s="4" t="s">
        <v>2803</v>
      </c>
      <c r="J927" t="s">
        <v>67</v>
      </c>
      <c r="K927" t="s">
        <v>67</v>
      </c>
      <c r="L927" t="s">
        <v>1483</v>
      </c>
      <c r="M927" t="s">
        <v>1484</v>
      </c>
      <c r="N927" t="s">
        <v>67</v>
      </c>
      <c r="O927" t="s">
        <v>1485</v>
      </c>
      <c r="P927" t="s">
        <v>1486</v>
      </c>
      <c r="S927" s="5"/>
      <c r="T927" t="s">
        <v>72</v>
      </c>
      <c r="U927" t="s">
        <v>87</v>
      </c>
      <c r="V927" t="s">
        <v>74</v>
      </c>
      <c r="W927" t="s">
        <v>87</v>
      </c>
      <c r="AE927" s="2"/>
      <c r="AF927" s="2"/>
      <c r="AG927" s="2"/>
      <c r="AH927" s="2"/>
      <c r="AL927" s="2">
        <v>1300000</v>
      </c>
      <c r="AM927" s="2">
        <v>0</v>
      </c>
      <c r="AN927" s="2"/>
      <c r="AO927" s="2">
        <v>0</v>
      </c>
      <c r="AP927" s="2">
        <v>1300000</v>
      </c>
      <c r="AQ927" s="2">
        <v>0</v>
      </c>
      <c r="AR927" s="2">
        <v>0</v>
      </c>
      <c r="AS927" s="2">
        <v>0</v>
      </c>
      <c r="AT927" s="2">
        <v>0</v>
      </c>
      <c r="AU927" s="2">
        <v>0</v>
      </c>
      <c r="AV927" s="2">
        <v>0</v>
      </c>
      <c r="AW927" s="4"/>
      <c r="AX927" t="s">
        <v>75</v>
      </c>
      <c r="AZ927" t="s">
        <v>435</v>
      </c>
      <c r="BA927" t="s">
        <v>67</v>
      </c>
      <c r="BB927" t="s">
        <v>436</v>
      </c>
      <c r="BC927" t="s">
        <v>437</v>
      </c>
      <c r="BD927" t="s">
        <v>79</v>
      </c>
      <c r="BE927" t="s">
        <v>142</v>
      </c>
      <c r="BF927" s="5">
        <v>46844</v>
      </c>
      <c r="BH927">
        <v>2</v>
      </c>
      <c r="BI927" s="6">
        <v>1200000</v>
      </c>
      <c r="BJ927" s="6">
        <v>0</v>
      </c>
      <c r="BK927" s="6">
        <v>550000</v>
      </c>
      <c r="BL927" s="6">
        <v>650000</v>
      </c>
      <c r="BM927" s="2">
        <v>1300000</v>
      </c>
      <c r="BN927">
        <f>InvoiceTable[[#This Row],[Giảm giá]]*InvoiceTable[[#This Row],[Số lượng]]</f>
        <v>1100000</v>
      </c>
    </row>
    <row r="928" spans="1:66" x14ac:dyDescent="0.25">
      <c r="A928" t="s">
        <v>65</v>
      </c>
      <c r="B928" t="s">
        <v>2857</v>
      </c>
      <c r="F928" s="2"/>
      <c r="G928" s="3">
        <v>46006.643991435187</v>
      </c>
      <c r="H928" s="3">
        <v>46006.643980057874</v>
      </c>
      <c r="I928" s="4" t="s">
        <v>2803</v>
      </c>
      <c r="J928" t="s">
        <v>67</v>
      </c>
      <c r="K928" t="s">
        <v>67</v>
      </c>
      <c r="L928" t="s">
        <v>1099</v>
      </c>
      <c r="M928" t="s">
        <v>1100</v>
      </c>
      <c r="N928" t="s">
        <v>67</v>
      </c>
      <c r="O928" t="s">
        <v>1101</v>
      </c>
      <c r="P928" t="s">
        <v>1102</v>
      </c>
      <c r="S928" s="5"/>
      <c r="T928" t="s">
        <v>72</v>
      </c>
      <c r="U928" t="s">
        <v>87</v>
      </c>
      <c r="V928" t="s">
        <v>74</v>
      </c>
      <c r="W928" t="s">
        <v>87</v>
      </c>
      <c r="AE928" s="2"/>
      <c r="AF928" s="2"/>
      <c r="AG928" s="2"/>
      <c r="AH928" s="2"/>
      <c r="AL928" s="2">
        <v>2997500</v>
      </c>
      <c r="AM928" s="2">
        <v>0</v>
      </c>
      <c r="AN928" s="2"/>
      <c r="AO928" s="2">
        <v>0</v>
      </c>
      <c r="AP928" s="2">
        <v>2997500</v>
      </c>
      <c r="AQ928" s="2">
        <v>0</v>
      </c>
      <c r="AR928" s="2">
        <v>0</v>
      </c>
      <c r="AS928" s="2">
        <v>0</v>
      </c>
      <c r="AT928" s="2">
        <v>0</v>
      </c>
      <c r="AU928" s="2">
        <v>0</v>
      </c>
      <c r="AV928" s="2">
        <v>0</v>
      </c>
      <c r="AW928" s="4"/>
      <c r="AX928" t="s">
        <v>75</v>
      </c>
      <c r="AZ928" t="s">
        <v>2301</v>
      </c>
      <c r="BA928" t="s">
        <v>67</v>
      </c>
      <c r="BB928" t="s">
        <v>2302</v>
      </c>
      <c r="BC928" t="s">
        <v>587</v>
      </c>
      <c r="BD928" t="s">
        <v>79</v>
      </c>
      <c r="BE928" t="s">
        <v>434</v>
      </c>
      <c r="BF928" s="5">
        <v>46661</v>
      </c>
      <c r="BH928">
        <v>1</v>
      </c>
      <c r="BI928" s="6">
        <v>3970000</v>
      </c>
      <c r="BJ928" s="6">
        <v>0</v>
      </c>
      <c r="BK928" s="6">
        <v>972500</v>
      </c>
      <c r="BL928" s="6">
        <v>2997500</v>
      </c>
      <c r="BM928" s="2">
        <v>2997500</v>
      </c>
      <c r="BN928">
        <f>InvoiceTable[[#This Row],[Giảm giá]]*InvoiceTable[[#This Row],[Số lượng]]</f>
        <v>972500</v>
      </c>
    </row>
    <row r="929" spans="1:66" x14ac:dyDescent="0.25">
      <c r="A929" t="s">
        <v>65</v>
      </c>
      <c r="B929" t="s">
        <v>2858</v>
      </c>
      <c r="F929" s="2"/>
      <c r="G929" s="3">
        <v>46006.636865162036</v>
      </c>
      <c r="H929" s="3">
        <v>46006.636865243054</v>
      </c>
      <c r="I929" s="4" t="s">
        <v>67</v>
      </c>
      <c r="J929" t="s">
        <v>67</v>
      </c>
      <c r="K929" t="s">
        <v>67</v>
      </c>
      <c r="L929" t="s">
        <v>630</v>
      </c>
      <c r="M929" t="s">
        <v>631</v>
      </c>
      <c r="N929" t="s">
        <v>632</v>
      </c>
      <c r="O929" t="s">
        <v>633</v>
      </c>
      <c r="P929" t="s">
        <v>634</v>
      </c>
      <c r="S929" s="5"/>
      <c r="T929" t="s">
        <v>72</v>
      </c>
      <c r="U929" t="s">
        <v>87</v>
      </c>
      <c r="V929" t="s">
        <v>74</v>
      </c>
      <c r="W929" t="s">
        <v>87</v>
      </c>
      <c r="AE929" s="2"/>
      <c r="AF929" s="2"/>
      <c r="AG929" s="2"/>
      <c r="AH929" s="2"/>
      <c r="AL929" s="2">
        <v>690000</v>
      </c>
      <c r="AM929" s="2">
        <v>0</v>
      </c>
      <c r="AN929" s="2"/>
      <c r="AO929" s="2">
        <v>0</v>
      </c>
      <c r="AP929" s="2">
        <v>690000</v>
      </c>
      <c r="AQ929" s="2">
        <v>0</v>
      </c>
      <c r="AR929" s="2">
        <v>0</v>
      </c>
      <c r="AS929" s="2">
        <v>0</v>
      </c>
      <c r="AT929" s="2">
        <v>0</v>
      </c>
      <c r="AU929" s="2">
        <v>0</v>
      </c>
      <c r="AV929" s="2">
        <v>0</v>
      </c>
      <c r="AW929" s="4"/>
      <c r="AX929" t="s">
        <v>75</v>
      </c>
      <c r="AZ929" t="s">
        <v>1768</v>
      </c>
      <c r="BA929" t="s">
        <v>67</v>
      </c>
      <c r="BB929" t="s">
        <v>1769</v>
      </c>
      <c r="BC929" t="s">
        <v>187</v>
      </c>
      <c r="BD929" t="s">
        <v>79</v>
      </c>
      <c r="BE929" t="s">
        <v>142</v>
      </c>
      <c r="BF929" s="5">
        <v>46844</v>
      </c>
      <c r="BH929">
        <v>2</v>
      </c>
      <c r="BI929" s="6">
        <v>690000</v>
      </c>
      <c r="BJ929" s="6">
        <v>50</v>
      </c>
      <c r="BK929" s="6">
        <v>345000</v>
      </c>
      <c r="BL929" s="6">
        <v>345000</v>
      </c>
      <c r="BM929" s="2">
        <v>690000</v>
      </c>
      <c r="BN929">
        <f>InvoiceTable[[#This Row],[Giảm giá]]*InvoiceTable[[#This Row],[Số lượng]]</f>
        <v>690000</v>
      </c>
    </row>
    <row r="930" spans="1:66" x14ac:dyDescent="0.25">
      <c r="A930" t="s">
        <v>65</v>
      </c>
      <c r="B930" t="s">
        <v>2859</v>
      </c>
      <c r="F930" s="2"/>
      <c r="G930" s="3">
        <v>46006.626336886577</v>
      </c>
      <c r="H930" s="3">
        <v>46006.626337037036</v>
      </c>
      <c r="I930" s="4" t="s">
        <v>67</v>
      </c>
      <c r="J930" t="s">
        <v>2860</v>
      </c>
      <c r="K930" t="s">
        <v>67</v>
      </c>
      <c r="L930" t="s">
        <v>1061</v>
      </c>
      <c r="M930" t="s">
        <v>1062</v>
      </c>
      <c r="N930" t="s">
        <v>67</v>
      </c>
      <c r="O930" t="s">
        <v>1063</v>
      </c>
      <c r="P930" t="s">
        <v>1064</v>
      </c>
      <c r="Q930" t="s">
        <v>67</v>
      </c>
      <c r="R930" t="s">
        <v>67</v>
      </c>
      <c r="S930" s="5"/>
      <c r="T930" t="s">
        <v>72</v>
      </c>
      <c r="U930" t="s">
        <v>73</v>
      </c>
      <c r="V930" t="s">
        <v>74</v>
      </c>
      <c r="W930" t="s">
        <v>87</v>
      </c>
      <c r="AE930" s="2"/>
      <c r="AF930" s="2"/>
      <c r="AG930" s="2"/>
      <c r="AH930" s="2"/>
      <c r="AK930" t="s">
        <v>67</v>
      </c>
      <c r="AL930" s="2">
        <v>1035000</v>
      </c>
      <c r="AM930" s="2">
        <v>0</v>
      </c>
      <c r="AN930" s="2"/>
      <c r="AO930" s="2">
        <v>0</v>
      </c>
      <c r="AP930" s="2">
        <v>1035000</v>
      </c>
      <c r="AQ930" s="2">
        <v>1035000</v>
      </c>
      <c r="AR930" s="2">
        <v>1035000</v>
      </c>
      <c r="AS930" s="2">
        <v>0</v>
      </c>
      <c r="AT930" s="2">
        <v>0</v>
      </c>
      <c r="AU930" s="2">
        <v>0</v>
      </c>
      <c r="AV930" s="2">
        <v>0</v>
      </c>
      <c r="AW930" s="4"/>
      <c r="AX930" t="s">
        <v>75</v>
      </c>
      <c r="AZ930" t="s">
        <v>88</v>
      </c>
      <c r="BB930" t="s">
        <v>89</v>
      </c>
      <c r="BC930" t="s">
        <v>90</v>
      </c>
      <c r="BF930" s="5"/>
      <c r="BG930" t="s">
        <v>67</v>
      </c>
      <c r="BH930">
        <v>1</v>
      </c>
      <c r="BI930" s="6">
        <v>15000</v>
      </c>
      <c r="BJ930" s="6">
        <v>0</v>
      </c>
      <c r="BK930" s="6">
        <v>0</v>
      </c>
      <c r="BL930" s="6">
        <v>15000</v>
      </c>
      <c r="BM930" s="2">
        <v>15000</v>
      </c>
      <c r="BN930">
        <f>InvoiceTable[[#This Row],[Giảm giá]]*InvoiceTable[[#This Row],[Số lượng]]</f>
        <v>0</v>
      </c>
    </row>
    <row r="931" spans="1:66" x14ac:dyDescent="0.25">
      <c r="A931" t="s">
        <v>65</v>
      </c>
      <c r="B931" t="s">
        <v>2859</v>
      </c>
      <c r="F931" s="2"/>
      <c r="G931" s="3">
        <v>46006.626336886577</v>
      </c>
      <c r="H931" s="3">
        <v>46006.626337037036</v>
      </c>
      <c r="I931" s="4" t="s">
        <v>67</v>
      </c>
      <c r="J931" t="s">
        <v>2860</v>
      </c>
      <c r="K931" t="s">
        <v>67</v>
      </c>
      <c r="L931" t="s">
        <v>1061</v>
      </c>
      <c r="M931" t="s">
        <v>1062</v>
      </c>
      <c r="N931" t="s">
        <v>67</v>
      </c>
      <c r="O931" t="s">
        <v>1063</v>
      </c>
      <c r="P931" t="s">
        <v>1064</v>
      </c>
      <c r="Q931" t="s">
        <v>67</v>
      </c>
      <c r="R931" t="s">
        <v>67</v>
      </c>
      <c r="S931" s="5"/>
      <c r="T931" t="s">
        <v>72</v>
      </c>
      <c r="U931" t="s">
        <v>73</v>
      </c>
      <c r="V931" t="s">
        <v>74</v>
      </c>
      <c r="W931" t="s">
        <v>87</v>
      </c>
      <c r="AE931" s="2"/>
      <c r="AF931" s="2"/>
      <c r="AG931" s="2"/>
      <c r="AH931" s="2"/>
      <c r="AK931" t="s">
        <v>67</v>
      </c>
      <c r="AL931" s="2">
        <v>1035000</v>
      </c>
      <c r="AM931" s="2">
        <v>0</v>
      </c>
      <c r="AN931" s="2"/>
      <c r="AO931" s="2">
        <v>0</v>
      </c>
      <c r="AP931" s="2">
        <v>1035000</v>
      </c>
      <c r="AQ931" s="2">
        <v>1035000</v>
      </c>
      <c r="AR931" s="2">
        <v>1035000</v>
      </c>
      <c r="AS931" s="2">
        <v>0</v>
      </c>
      <c r="AT931" s="2">
        <v>0</v>
      </c>
      <c r="AU931" s="2">
        <v>0</v>
      </c>
      <c r="AV931" s="2">
        <v>0</v>
      </c>
      <c r="AW931" s="4"/>
      <c r="AX931" t="s">
        <v>75</v>
      </c>
      <c r="AZ931" t="s">
        <v>2861</v>
      </c>
      <c r="BA931" t="s">
        <v>67</v>
      </c>
      <c r="BB931" t="s">
        <v>2862</v>
      </c>
      <c r="BC931" t="s">
        <v>2023</v>
      </c>
      <c r="BD931" t="s">
        <v>79</v>
      </c>
      <c r="BE931" t="s">
        <v>2863</v>
      </c>
      <c r="BF931" s="5">
        <v>46823</v>
      </c>
      <c r="BG931" t="s">
        <v>67</v>
      </c>
      <c r="BH931">
        <v>1</v>
      </c>
      <c r="BI931" s="6">
        <v>1700000</v>
      </c>
      <c r="BJ931" s="6">
        <v>40</v>
      </c>
      <c r="BK931" s="6">
        <v>680000</v>
      </c>
      <c r="BL931" s="6">
        <v>1020000</v>
      </c>
      <c r="BM931" s="2">
        <v>1020000</v>
      </c>
      <c r="BN931">
        <f>InvoiceTable[[#This Row],[Giảm giá]]*InvoiceTable[[#This Row],[Số lượng]]</f>
        <v>680000</v>
      </c>
    </row>
    <row r="932" spans="1:66" x14ac:dyDescent="0.25">
      <c r="A932" t="s">
        <v>65</v>
      </c>
      <c r="B932" t="s">
        <v>2864</v>
      </c>
      <c r="F932" s="2"/>
      <c r="G932" s="3">
        <v>46006.62539760417</v>
      </c>
      <c r="H932" s="3">
        <v>46006.625397719909</v>
      </c>
      <c r="I932" s="4" t="s">
        <v>67</v>
      </c>
      <c r="J932" t="s">
        <v>67</v>
      </c>
      <c r="K932" t="s">
        <v>67</v>
      </c>
      <c r="L932" t="s">
        <v>111</v>
      </c>
      <c r="M932" t="s">
        <v>112</v>
      </c>
      <c r="N932" t="s">
        <v>67</v>
      </c>
      <c r="O932" t="s">
        <v>113</v>
      </c>
      <c r="P932" t="s">
        <v>114</v>
      </c>
      <c r="Q932" t="s">
        <v>67</v>
      </c>
      <c r="R932" t="s">
        <v>67</v>
      </c>
      <c r="S932" s="5"/>
      <c r="T932" t="s">
        <v>72</v>
      </c>
      <c r="U932" t="s">
        <v>87</v>
      </c>
      <c r="V932" t="s">
        <v>74</v>
      </c>
      <c r="W932" t="s">
        <v>87</v>
      </c>
      <c r="AE932" s="2"/>
      <c r="AF932" s="2"/>
      <c r="AG932" s="2"/>
      <c r="AH932" s="2"/>
      <c r="AK932" t="s">
        <v>2865</v>
      </c>
      <c r="AL932" s="2">
        <v>10000000</v>
      </c>
      <c r="AM932" s="2">
        <v>5000000</v>
      </c>
      <c r="AN932" s="2"/>
      <c r="AO932" s="2">
        <v>0</v>
      </c>
      <c r="AP932" s="2">
        <v>5000000</v>
      </c>
      <c r="AQ932" s="2">
        <v>0</v>
      </c>
      <c r="AR932" s="2">
        <v>0</v>
      </c>
      <c r="AS932" s="2">
        <v>0</v>
      </c>
      <c r="AT932" s="2">
        <v>0</v>
      </c>
      <c r="AU932" s="2">
        <v>0</v>
      </c>
      <c r="AV932" s="2">
        <v>0</v>
      </c>
      <c r="AW932" s="4"/>
      <c r="AX932" t="s">
        <v>75</v>
      </c>
      <c r="AZ932" t="s">
        <v>518</v>
      </c>
      <c r="BA932" t="s">
        <v>67</v>
      </c>
      <c r="BB932" t="s">
        <v>519</v>
      </c>
      <c r="BC932" t="s">
        <v>78</v>
      </c>
      <c r="BD932" t="s">
        <v>79</v>
      </c>
      <c r="BE932" t="s">
        <v>80</v>
      </c>
      <c r="BF932" s="5">
        <v>47300</v>
      </c>
      <c r="BH932">
        <v>2</v>
      </c>
      <c r="BI932" s="6">
        <v>3500000</v>
      </c>
      <c r="BJ932" s="6">
        <v>0</v>
      </c>
      <c r="BK932" s="6">
        <v>0</v>
      </c>
      <c r="BL932" s="6">
        <v>3500000</v>
      </c>
      <c r="BM932" s="2">
        <v>7000000</v>
      </c>
      <c r="BN932">
        <f>InvoiceTable[[#This Row],[Giảm giá]]*InvoiceTable[[#This Row],[Số lượng]]</f>
        <v>0</v>
      </c>
    </row>
    <row r="933" spans="1:66" x14ac:dyDescent="0.25">
      <c r="A933" t="s">
        <v>65</v>
      </c>
      <c r="B933" t="s">
        <v>2864</v>
      </c>
      <c r="F933" s="2"/>
      <c r="G933" s="3">
        <v>46006.62539760417</v>
      </c>
      <c r="H933" s="3">
        <v>46006.625397719909</v>
      </c>
      <c r="I933" s="4" t="s">
        <v>67</v>
      </c>
      <c r="J933" t="s">
        <v>67</v>
      </c>
      <c r="K933" t="s">
        <v>67</v>
      </c>
      <c r="L933" t="s">
        <v>111</v>
      </c>
      <c r="M933" t="s">
        <v>112</v>
      </c>
      <c r="N933" t="s">
        <v>67</v>
      </c>
      <c r="O933" t="s">
        <v>113</v>
      </c>
      <c r="P933" t="s">
        <v>114</v>
      </c>
      <c r="Q933" t="s">
        <v>67</v>
      </c>
      <c r="R933" t="s">
        <v>67</v>
      </c>
      <c r="S933" s="5"/>
      <c r="T933" t="s">
        <v>72</v>
      </c>
      <c r="U933" t="s">
        <v>87</v>
      </c>
      <c r="V933" t="s">
        <v>74</v>
      </c>
      <c r="W933" t="s">
        <v>87</v>
      </c>
      <c r="AE933" s="2"/>
      <c r="AF933" s="2"/>
      <c r="AG933" s="2"/>
      <c r="AH933" s="2"/>
      <c r="AK933" t="s">
        <v>2865</v>
      </c>
      <c r="AL933" s="2">
        <v>10000000</v>
      </c>
      <c r="AM933" s="2">
        <v>5000000</v>
      </c>
      <c r="AN933" s="2"/>
      <c r="AO933" s="2">
        <v>0</v>
      </c>
      <c r="AP933" s="2">
        <v>5000000</v>
      </c>
      <c r="AQ933" s="2">
        <v>0</v>
      </c>
      <c r="AR933" s="2">
        <v>0</v>
      </c>
      <c r="AS933" s="2">
        <v>0</v>
      </c>
      <c r="AT933" s="2">
        <v>0</v>
      </c>
      <c r="AU933" s="2">
        <v>0</v>
      </c>
      <c r="AV933" s="2">
        <v>0</v>
      </c>
      <c r="AW933" s="4"/>
      <c r="AX933" t="s">
        <v>75</v>
      </c>
      <c r="AZ933" t="s">
        <v>2000</v>
      </c>
      <c r="BA933" t="s">
        <v>67</v>
      </c>
      <c r="BB933" t="s">
        <v>2001</v>
      </c>
      <c r="BC933" t="s">
        <v>138</v>
      </c>
      <c r="BD933" t="s">
        <v>79</v>
      </c>
      <c r="BE933" t="s">
        <v>195</v>
      </c>
      <c r="BF933" s="5">
        <v>46419</v>
      </c>
      <c r="BH933">
        <v>1</v>
      </c>
      <c r="BI933" s="6">
        <v>1250000</v>
      </c>
      <c r="BJ933" s="6">
        <v>0</v>
      </c>
      <c r="BK933" s="6">
        <v>0</v>
      </c>
      <c r="BL933" s="6">
        <v>1250000</v>
      </c>
      <c r="BM933" s="2">
        <v>1250000</v>
      </c>
      <c r="BN933">
        <f>InvoiceTable[[#This Row],[Giảm giá]]*InvoiceTable[[#This Row],[Số lượng]]</f>
        <v>0</v>
      </c>
    </row>
    <row r="934" spans="1:66" x14ac:dyDescent="0.25">
      <c r="A934" t="s">
        <v>65</v>
      </c>
      <c r="B934" t="s">
        <v>2864</v>
      </c>
      <c r="F934" s="2"/>
      <c r="G934" s="3">
        <v>46006.62539760417</v>
      </c>
      <c r="H934" s="3">
        <v>46006.625397719909</v>
      </c>
      <c r="I934" s="4" t="s">
        <v>67</v>
      </c>
      <c r="J934" t="s">
        <v>67</v>
      </c>
      <c r="K934" t="s">
        <v>67</v>
      </c>
      <c r="L934" t="s">
        <v>111</v>
      </c>
      <c r="M934" t="s">
        <v>112</v>
      </c>
      <c r="N934" t="s">
        <v>67</v>
      </c>
      <c r="O934" t="s">
        <v>113</v>
      </c>
      <c r="P934" t="s">
        <v>114</v>
      </c>
      <c r="Q934" t="s">
        <v>67</v>
      </c>
      <c r="R934" t="s">
        <v>67</v>
      </c>
      <c r="S934" s="5"/>
      <c r="T934" t="s">
        <v>72</v>
      </c>
      <c r="U934" t="s">
        <v>87</v>
      </c>
      <c r="V934" t="s">
        <v>74</v>
      </c>
      <c r="W934" t="s">
        <v>87</v>
      </c>
      <c r="AE934" s="2"/>
      <c r="AF934" s="2"/>
      <c r="AG934" s="2"/>
      <c r="AH934" s="2"/>
      <c r="AK934" t="s">
        <v>2865</v>
      </c>
      <c r="AL934" s="2">
        <v>10000000</v>
      </c>
      <c r="AM934" s="2">
        <v>5000000</v>
      </c>
      <c r="AN934" s="2"/>
      <c r="AO934" s="2">
        <v>0</v>
      </c>
      <c r="AP934" s="2">
        <v>5000000</v>
      </c>
      <c r="AQ934" s="2">
        <v>0</v>
      </c>
      <c r="AR934" s="2">
        <v>0</v>
      </c>
      <c r="AS934" s="2">
        <v>0</v>
      </c>
      <c r="AT934" s="2">
        <v>0</v>
      </c>
      <c r="AU934" s="2">
        <v>0</v>
      </c>
      <c r="AV934" s="2">
        <v>0</v>
      </c>
      <c r="AW934" s="4"/>
      <c r="AX934" t="s">
        <v>75</v>
      </c>
      <c r="AZ934" t="s">
        <v>143</v>
      </c>
      <c r="BA934" t="s">
        <v>143</v>
      </c>
      <c r="BB934" t="s">
        <v>144</v>
      </c>
      <c r="BC934" t="s">
        <v>138</v>
      </c>
      <c r="BD934" t="s">
        <v>79</v>
      </c>
      <c r="BE934" t="s">
        <v>145</v>
      </c>
      <c r="BF934" s="5">
        <v>46508</v>
      </c>
      <c r="BG934" t="s">
        <v>67</v>
      </c>
      <c r="BH934">
        <v>1</v>
      </c>
      <c r="BI934" s="6">
        <v>1750000</v>
      </c>
      <c r="BJ934" s="6">
        <v>0</v>
      </c>
      <c r="BK934" s="6">
        <v>0</v>
      </c>
      <c r="BL934" s="6">
        <v>1750000</v>
      </c>
      <c r="BM934" s="2">
        <v>1750000</v>
      </c>
      <c r="BN934">
        <f>InvoiceTable[[#This Row],[Giảm giá]]*InvoiceTable[[#This Row],[Số lượng]]</f>
        <v>0</v>
      </c>
    </row>
    <row r="935" spans="1:66" x14ac:dyDescent="0.25">
      <c r="A935" t="s">
        <v>65</v>
      </c>
      <c r="B935" t="s">
        <v>2866</v>
      </c>
      <c r="F935" s="2"/>
      <c r="G935" s="3">
        <v>46006.618711145835</v>
      </c>
      <c r="H935" s="3">
        <v>46006.61871130787</v>
      </c>
      <c r="I935" s="4" t="s">
        <v>67</v>
      </c>
      <c r="J935" t="s">
        <v>67</v>
      </c>
      <c r="K935" t="s">
        <v>67</v>
      </c>
      <c r="L935" t="s">
        <v>2451</v>
      </c>
      <c r="M935" t="s">
        <v>2452</v>
      </c>
      <c r="N935" t="s">
        <v>2453</v>
      </c>
      <c r="O935" t="s">
        <v>2454</v>
      </c>
      <c r="P935" t="s">
        <v>2455</v>
      </c>
      <c r="S935" s="5"/>
      <c r="T935" t="s">
        <v>72</v>
      </c>
      <c r="U935" t="s">
        <v>87</v>
      </c>
      <c r="V935" t="s">
        <v>74</v>
      </c>
      <c r="W935" t="s">
        <v>87</v>
      </c>
      <c r="AE935" s="2"/>
      <c r="AF935" s="2"/>
      <c r="AG935" s="2"/>
      <c r="AH935" s="2"/>
      <c r="AL935" s="2">
        <v>1739200</v>
      </c>
      <c r="AM935" s="2">
        <v>0</v>
      </c>
      <c r="AN935" s="2"/>
      <c r="AO935" s="2">
        <v>0</v>
      </c>
      <c r="AP935" s="2">
        <v>1739200</v>
      </c>
      <c r="AQ935" s="2">
        <v>0</v>
      </c>
      <c r="AR935" s="2">
        <v>0</v>
      </c>
      <c r="AS935" s="2">
        <v>0</v>
      </c>
      <c r="AT935" s="2">
        <v>0</v>
      </c>
      <c r="AU935" s="2">
        <v>0</v>
      </c>
      <c r="AV935" s="2">
        <v>0</v>
      </c>
      <c r="AW935" s="4"/>
      <c r="AX935" t="s">
        <v>75</v>
      </c>
      <c r="AZ935" t="s">
        <v>88</v>
      </c>
      <c r="BB935" t="s">
        <v>89</v>
      </c>
      <c r="BC935" t="s">
        <v>90</v>
      </c>
      <c r="BF935" s="5"/>
      <c r="BG935" t="s">
        <v>67</v>
      </c>
      <c r="BH935">
        <v>1</v>
      </c>
      <c r="BI935" s="6">
        <v>30000</v>
      </c>
      <c r="BJ935" s="6">
        <v>0</v>
      </c>
      <c r="BK935" s="6">
        <v>0</v>
      </c>
      <c r="BL935" s="6">
        <v>30000</v>
      </c>
      <c r="BM935" s="2">
        <v>30000</v>
      </c>
      <c r="BN935">
        <f>InvoiceTable[[#This Row],[Giảm giá]]*InvoiceTable[[#This Row],[Số lượng]]</f>
        <v>0</v>
      </c>
    </row>
    <row r="936" spans="1:66" x14ac:dyDescent="0.25">
      <c r="A936" t="s">
        <v>65</v>
      </c>
      <c r="B936" t="s">
        <v>2866</v>
      </c>
      <c r="F936" s="2"/>
      <c r="G936" s="3">
        <v>46006.618711145835</v>
      </c>
      <c r="H936" s="3">
        <v>46006.61871130787</v>
      </c>
      <c r="I936" s="4" t="s">
        <v>67</v>
      </c>
      <c r="J936" t="s">
        <v>67</v>
      </c>
      <c r="K936" t="s">
        <v>67</v>
      </c>
      <c r="L936" t="s">
        <v>2451</v>
      </c>
      <c r="M936" t="s">
        <v>2452</v>
      </c>
      <c r="N936" t="s">
        <v>2453</v>
      </c>
      <c r="O936" t="s">
        <v>2454</v>
      </c>
      <c r="P936" t="s">
        <v>2455</v>
      </c>
      <c r="S936" s="5"/>
      <c r="T936" t="s">
        <v>72</v>
      </c>
      <c r="U936" t="s">
        <v>87</v>
      </c>
      <c r="V936" t="s">
        <v>74</v>
      </c>
      <c r="W936" t="s">
        <v>87</v>
      </c>
      <c r="AE936" s="2"/>
      <c r="AF936" s="2"/>
      <c r="AG936" s="2"/>
      <c r="AH936" s="2"/>
      <c r="AL936" s="2">
        <v>1739200</v>
      </c>
      <c r="AM936" s="2">
        <v>0</v>
      </c>
      <c r="AN936" s="2"/>
      <c r="AO936" s="2">
        <v>0</v>
      </c>
      <c r="AP936" s="2">
        <v>1739200</v>
      </c>
      <c r="AQ936" s="2">
        <v>0</v>
      </c>
      <c r="AR936" s="2">
        <v>0</v>
      </c>
      <c r="AS936" s="2">
        <v>0</v>
      </c>
      <c r="AT936" s="2">
        <v>0</v>
      </c>
      <c r="AU936" s="2">
        <v>0</v>
      </c>
      <c r="AV936" s="2">
        <v>0</v>
      </c>
      <c r="AW936" s="4"/>
      <c r="AX936" t="s">
        <v>75</v>
      </c>
      <c r="AZ936" t="s">
        <v>504</v>
      </c>
      <c r="BA936" t="s">
        <v>67</v>
      </c>
      <c r="BB936" t="s">
        <v>505</v>
      </c>
      <c r="BC936" t="s">
        <v>78</v>
      </c>
      <c r="BD936" t="s">
        <v>79</v>
      </c>
      <c r="BE936" t="s">
        <v>506</v>
      </c>
      <c r="BF936" s="5">
        <v>47604</v>
      </c>
      <c r="BH936">
        <v>1</v>
      </c>
      <c r="BI936" s="6">
        <v>1990000</v>
      </c>
      <c r="BJ936" s="6">
        <v>47</v>
      </c>
      <c r="BK936" s="6">
        <v>935300</v>
      </c>
      <c r="BL936" s="6">
        <v>1054700</v>
      </c>
      <c r="BM936" s="2">
        <v>1054700</v>
      </c>
      <c r="BN936">
        <f>InvoiceTable[[#This Row],[Giảm giá]]*InvoiceTable[[#This Row],[Số lượng]]</f>
        <v>935300</v>
      </c>
    </row>
    <row r="937" spans="1:66" x14ac:dyDescent="0.25">
      <c r="A937" t="s">
        <v>65</v>
      </c>
      <c r="B937" t="s">
        <v>2866</v>
      </c>
      <c r="F937" s="2"/>
      <c r="G937" s="3">
        <v>46006.618711145835</v>
      </c>
      <c r="H937" s="3">
        <v>46006.61871130787</v>
      </c>
      <c r="I937" s="4" t="s">
        <v>67</v>
      </c>
      <c r="J937" t="s">
        <v>67</v>
      </c>
      <c r="K937" t="s">
        <v>67</v>
      </c>
      <c r="L937" t="s">
        <v>2451</v>
      </c>
      <c r="M937" t="s">
        <v>2452</v>
      </c>
      <c r="N937" t="s">
        <v>2453</v>
      </c>
      <c r="O937" t="s">
        <v>2454</v>
      </c>
      <c r="P937" t="s">
        <v>2455</v>
      </c>
      <c r="S937" s="5"/>
      <c r="T937" t="s">
        <v>72</v>
      </c>
      <c r="U937" t="s">
        <v>87</v>
      </c>
      <c r="V937" t="s">
        <v>74</v>
      </c>
      <c r="W937" t="s">
        <v>87</v>
      </c>
      <c r="AE937" s="2"/>
      <c r="AF937" s="2"/>
      <c r="AG937" s="2"/>
      <c r="AH937" s="2"/>
      <c r="AL937" s="2">
        <v>1739200</v>
      </c>
      <c r="AM937" s="2">
        <v>0</v>
      </c>
      <c r="AN937" s="2"/>
      <c r="AO937" s="2">
        <v>0</v>
      </c>
      <c r="AP937" s="2">
        <v>1739200</v>
      </c>
      <c r="AQ937" s="2">
        <v>0</v>
      </c>
      <c r="AR937" s="2">
        <v>0</v>
      </c>
      <c r="AS937" s="2">
        <v>0</v>
      </c>
      <c r="AT937" s="2">
        <v>0</v>
      </c>
      <c r="AU937" s="2">
        <v>0</v>
      </c>
      <c r="AV937" s="2">
        <v>0</v>
      </c>
      <c r="AW937" s="4"/>
      <c r="AX937" t="s">
        <v>75</v>
      </c>
      <c r="AZ937" t="s">
        <v>318</v>
      </c>
      <c r="BA937" t="s">
        <v>67</v>
      </c>
      <c r="BB937" t="s">
        <v>319</v>
      </c>
      <c r="BC937" t="s">
        <v>154</v>
      </c>
      <c r="BD937" t="s">
        <v>79</v>
      </c>
      <c r="BE937" t="s">
        <v>317</v>
      </c>
      <c r="BF937" s="5">
        <v>46935</v>
      </c>
      <c r="BH937">
        <v>1</v>
      </c>
      <c r="BI937" s="6">
        <v>1190000</v>
      </c>
      <c r="BJ937" s="6">
        <v>45</v>
      </c>
      <c r="BK937" s="6">
        <v>535500</v>
      </c>
      <c r="BL937" s="6">
        <v>654500</v>
      </c>
      <c r="BM937" s="2">
        <v>654500</v>
      </c>
      <c r="BN937">
        <f>InvoiceTable[[#This Row],[Giảm giá]]*InvoiceTable[[#This Row],[Số lượng]]</f>
        <v>535500</v>
      </c>
    </row>
    <row r="938" spans="1:66" x14ac:dyDescent="0.25">
      <c r="A938" t="s">
        <v>65</v>
      </c>
      <c r="B938" t="s">
        <v>2867</v>
      </c>
      <c r="F938" s="2"/>
      <c r="G938" s="3">
        <v>46006.607037118054</v>
      </c>
      <c r="H938" s="3">
        <v>46006.607037696762</v>
      </c>
      <c r="I938" s="4" t="s">
        <v>67</v>
      </c>
      <c r="J938" t="s">
        <v>67</v>
      </c>
      <c r="K938" t="s">
        <v>67</v>
      </c>
      <c r="L938" t="s">
        <v>350</v>
      </c>
      <c r="M938" t="s">
        <v>351</v>
      </c>
      <c r="N938" t="s">
        <v>67</v>
      </c>
      <c r="O938" t="s">
        <v>352</v>
      </c>
      <c r="P938" t="s">
        <v>353</v>
      </c>
      <c r="S938" s="5"/>
      <c r="T938" t="s">
        <v>72</v>
      </c>
      <c r="U938" t="s">
        <v>87</v>
      </c>
      <c r="V938" t="s">
        <v>74</v>
      </c>
      <c r="W938" t="s">
        <v>87</v>
      </c>
      <c r="AE938" s="2"/>
      <c r="AF938" s="2"/>
      <c r="AG938" s="2"/>
      <c r="AH938" s="2"/>
      <c r="AK938" t="s">
        <v>2868</v>
      </c>
      <c r="AL938" s="2">
        <v>9735000</v>
      </c>
      <c r="AM938" s="2">
        <v>0</v>
      </c>
      <c r="AN938" s="2"/>
      <c r="AO938" s="2">
        <v>0</v>
      </c>
      <c r="AP938" s="2">
        <v>9735000</v>
      </c>
      <c r="AQ938" s="2">
        <v>0</v>
      </c>
      <c r="AR938" s="2">
        <v>0</v>
      </c>
      <c r="AS938" s="2">
        <v>0</v>
      </c>
      <c r="AT938" s="2">
        <v>0</v>
      </c>
      <c r="AU938" s="2">
        <v>0</v>
      </c>
      <c r="AV938" s="2">
        <v>0</v>
      </c>
      <c r="AW938" s="4"/>
      <c r="AX938" t="s">
        <v>75</v>
      </c>
      <c r="AZ938" t="s">
        <v>424</v>
      </c>
      <c r="BA938" t="s">
        <v>67</v>
      </c>
      <c r="BB938" t="s">
        <v>425</v>
      </c>
      <c r="BC938" t="s">
        <v>426</v>
      </c>
      <c r="BD938" t="s">
        <v>79</v>
      </c>
      <c r="BE938" t="s">
        <v>198</v>
      </c>
      <c r="BF938" s="5">
        <v>46753</v>
      </c>
      <c r="BH938">
        <v>30</v>
      </c>
      <c r="BI938" s="6">
        <v>590000</v>
      </c>
      <c r="BJ938" s="6">
        <v>45</v>
      </c>
      <c r="BK938" s="6">
        <v>265500</v>
      </c>
      <c r="BL938" s="6">
        <v>324500</v>
      </c>
      <c r="BM938" s="2">
        <v>9735000</v>
      </c>
      <c r="BN938">
        <f>InvoiceTable[[#This Row],[Giảm giá]]*InvoiceTable[[#This Row],[Số lượng]]</f>
        <v>7965000</v>
      </c>
    </row>
    <row r="939" spans="1:66" x14ac:dyDescent="0.25">
      <c r="A939" t="s">
        <v>65</v>
      </c>
      <c r="B939" t="s">
        <v>2869</v>
      </c>
      <c r="F939" s="2"/>
      <c r="G939" s="3">
        <v>46006.606446678241</v>
      </c>
      <c r="H939" s="3">
        <v>46006.606446909725</v>
      </c>
      <c r="I939" s="4" t="s">
        <v>67</v>
      </c>
      <c r="J939" t="s">
        <v>67</v>
      </c>
      <c r="K939" t="s">
        <v>67</v>
      </c>
      <c r="L939" t="s">
        <v>654</v>
      </c>
      <c r="M939" t="s">
        <v>655</v>
      </c>
      <c r="N939" t="s">
        <v>67</v>
      </c>
      <c r="O939" t="s">
        <v>656</v>
      </c>
      <c r="P939" t="s">
        <v>657</v>
      </c>
      <c r="Q939" t="s">
        <v>658</v>
      </c>
      <c r="R939" t="s">
        <v>67</v>
      </c>
      <c r="S939" s="5"/>
      <c r="T939" t="s">
        <v>72</v>
      </c>
      <c r="U939" t="s">
        <v>87</v>
      </c>
      <c r="V939" t="s">
        <v>74</v>
      </c>
      <c r="W939" t="s">
        <v>87</v>
      </c>
      <c r="AE939" s="2"/>
      <c r="AF939" s="2"/>
      <c r="AG939" s="2"/>
      <c r="AH939" s="2"/>
      <c r="AL939" s="2">
        <v>3638000</v>
      </c>
      <c r="AM939" s="2">
        <v>0</v>
      </c>
      <c r="AN939" s="2"/>
      <c r="AO939" s="2">
        <v>0</v>
      </c>
      <c r="AP939" s="2">
        <v>3638000</v>
      </c>
      <c r="AQ939" s="2">
        <v>0</v>
      </c>
      <c r="AR939" s="2">
        <v>0</v>
      </c>
      <c r="AS939" s="2">
        <v>0</v>
      </c>
      <c r="AT939" s="2">
        <v>0</v>
      </c>
      <c r="AU939" s="2">
        <v>0</v>
      </c>
      <c r="AV939" s="2">
        <v>0</v>
      </c>
      <c r="AW939" s="4"/>
      <c r="AX939" t="s">
        <v>75</v>
      </c>
      <c r="AZ939" t="s">
        <v>427</v>
      </c>
      <c r="BA939" t="s">
        <v>67</v>
      </c>
      <c r="BB939" t="s">
        <v>428</v>
      </c>
      <c r="BC939" t="s">
        <v>367</v>
      </c>
      <c r="BD939" t="s">
        <v>79</v>
      </c>
      <c r="BE939" t="s">
        <v>228</v>
      </c>
      <c r="BF939" s="5">
        <v>46813</v>
      </c>
      <c r="BH939">
        <v>5</v>
      </c>
      <c r="BI939" s="6">
        <v>535000</v>
      </c>
      <c r="BJ939" s="6">
        <v>32</v>
      </c>
      <c r="BK939" s="6">
        <v>171200</v>
      </c>
      <c r="BL939" s="6">
        <v>363800</v>
      </c>
      <c r="BM939" s="2">
        <v>1819000</v>
      </c>
      <c r="BN939">
        <f>InvoiceTable[[#This Row],[Giảm giá]]*InvoiceTable[[#This Row],[Số lượng]]</f>
        <v>856000</v>
      </c>
    </row>
    <row r="940" spans="1:66" x14ac:dyDescent="0.25">
      <c r="A940" t="s">
        <v>65</v>
      </c>
      <c r="B940" t="s">
        <v>2869</v>
      </c>
      <c r="F940" s="2"/>
      <c r="G940" s="3">
        <v>46006.606446678241</v>
      </c>
      <c r="H940" s="3">
        <v>46006.606446909725</v>
      </c>
      <c r="I940" s="4" t="s">
        <v>67</v>
      </c>
      <c r="J940" t="s">
        <v>67</v>
      </c>
      <c r="K940" t="s">
        <v>67</v>
      </c>
      <c r="L940" t="s">
        <v>654</v>
      </c>
      <c r="M940" t="s">
        <v>655</v>
      </c>
      <c r="N940" t="s">
        <v>67</v>
      </c>
      <c r="O940" t="s">
        <v>656</v>
      </c>
      <c r="P940" t="s">
        <v>657</v>
      </c>
      <c r="Q940" t="s">
        <v>658</v>
      </c>
      <c r="R940" t="s">
        <v>67</v>
      </c>
      <c r="S940" s="5"/>
      <c r="T940" t="s">
        <v>72</v>
      </c>
      <c r="U940" t="s">
        <v>87</v>
      </c>
      <c r="V940" t="s">
        <v>74</v>
      </c>
      <c r="W940" t="s">
        <v>87</v>
      </c>
      <c r="AE940" s="2"/>
      <c r="AF940" s="2"/>
      <c r="AG940" s="2"/>
      <c r="AH940" s="2"/>
      <c r="AL940" s="2">
        <v>3638000</v>
      </c>
      <c r="AM940" s="2">
        <v>0</v>
      </c>
      <c r="AN940" s="2"/>
      <c r="AO940" s="2">
        <v>0</v>
      </c>
      <c r="AP940" s="2">
        <v>3638000</v>
      </c>
      <c r="AQ940" s="2">
        <v>0</v>
      </c>
      <c r="AR940" s="2">
        <v>0</v>
      </c>
      <c r="AS940" s="2">
        <v>0</v>
      </c>
      <c r="AT940" s="2">
        <v>0</v>
      </c>
      <c r="AU940" s="2">
        <v>0</v>
      </c>
      <c r="AV940" s="2">
        <v>0</v>
      </c>
      <c r="AW940" s="4"/>
      <c r="AX940" t="s">
        <v>75</v>
      </c>
      <c r="AZ940" t="s">
        <v>1665</v>
      </c>
      <c r="BA940" t="s">
        <v>67</v>
      </c>
      <c r="BB940" t="s">
        <v>1666</v>
      </c>
      <c r="BC940" t="s">
        <v>367</v>
      </c>
      <c r="BD940" t="s">
        <v>79</v>
      </c>
      <c r="BE940" t="s">
        <v>228</v>
      </c>
      <c r="BF940" s="5">
        <v>46813</v>
      </c>
      <c r="BH940">
        <v>5</v>
      </c>
      <c r="BI940" s="6">
        <v>535000</v>
      </c>
      <c r="BJ940" s="6">
        <v>32</v>
      </c>
      <c r="BK940" s="6">
        <v>171200</v>
      </c>
      <c r="BL940" s="6">
        <v>363800</v>
      </c>
      <c r="BM940" s="2">
        <v>1819000</v>
      </c>
      <c r="BN940">
        <f>InvoiceTable[[#This Row],[Giảm giá]]*InvoiceTable[[#This Row],[Số lượng]]</f>
        <v>856000</v>
      </c>
    </row>
    <row r="941" spans="1:66" x14ac:dyDescent="0.25">
      <c r="A941" t="s">
        <v>65</v>
      </c>
      <c r="B941" t="s">
        <v>2870</v>
      </c>
      <c r="F941" s="2"/>
      <c r="G941" s="3">
        <v>46006.605262766207</v>
      </c>
      <c r="H941" s="3">
        <v>46006.605251817127</v>
      </c>
      <c r="I941" s="4" t="s">
        <v>2803</v>
      </c>
      <c r="J941" t="s">
        <v>2871</v>
      </c>
      <c r="K941" t="s">
        <v>67</v>
      </c>
      <c r="L941" t="s">
        <v>398</v>
      </c>
      <c r="M941" t="s">
        <v>399</v>
      </c>
      <c r="N941" t="s">
        <v>400</v>
      </c>
      <c r="O941" t="s">
        <v>401</v>
      </c>
      <c r="P941" t="s">
        <v>402</v>
      </c>
      <c r="S941" s="5"/>
      <c r="T941" t="s">
        <v>72</v>
      </c>
      <c r="U941" t="s">
        <v>102</v>
      </c>
      <c r="V941" t="s">
        <v>74</v>
      </c>
      <c r="W941" t="s">
        <v>87</v>
      </c>
      <c r="AE941" s="2"/>
      <c r="AF941" s="2"/>
      <c r="AG941" s="2"/>
      <c r="AH941" s="2"/>
      <c r="AK941" t="s">
        <v>2872</v>
      </c>
      <c r="AL941" s="2">
        <v>544500</v>
      </c>
      <c r="AM941" s="2">
        <v>0</v>
      </c>
      <c r="AN941" s="2"/>
      <c r="AO941" s="2">
        <v>0</v>
      </c>
      <c r="AP941" s="2">
        <v>544500</v>
      </c>
      <c r="AQ941" s="2">
        <v>0</v>
      </c>
      <c r="AR941" s="2">
        <v>0</v>
      </c>
      <c r="AS941" s="2">
        <v>0</v>
      </c>
      <c r="AT941" s="2">
        <v>0</v>
      </c>
      <c r="AU941" s="2">
        <v>0</v>
      </c>
      <c r="AV941" s="2">
        <v>0</v>
      </c>
      <c r="AW941" s="4"/>
      <c r="AX941" t="s">
        <v>75</v>
      </c>
      <c r="AZ941" t="s">
        <v>404</v>
      </c>
      <c r="BA941" t="s">
        <v>67</v>
      </c>
      <c r="BB941" t="s">
        <v>405</v>
      </c>
      <c r="BC941" t="s">
        <v>406</v>
      </c>
      <c r="BD941" t="s">
        <v>79</v>
      </c>
      <c r="BE941" t="s">
        <v>131</v>
      </c>
      <c r="BF941" s="5">
        <v>46874</v>
      </c>
      <c r="BH941">
        <v>1</v>
      </c>
      <c r="BI941" s="6">
        <v>990000</v>
      </c>
      <c r="BJ941" s="6">
        <v>45</v>
      </c>
      <c r="BK941" s="6">
        <v>445500</v>
      </c>
      <c r="BL941" s="6">
        <v>544500</v>
      </c>
      <c r="BM941" s="2">
        <v>544500</v>
      </c>
      <c r="BN941">
        <f>InvoiceTable[[#This Row],[Giảm giá]]*InvoiceTable[[#This Row],[Số lượng]]</f>
        <v>445500</v>
      </c>
    </row>
    <row r="942" spans="1:66" x14ac:dyDescent="0.25">
      <c r="A942" t="s">
        <v>65</v>
      </c>
      <c r="B942" t="s">
        <v>2873</v>
      </c>
      <c r="F942" s="2"/>
      <c r="G942" s="3">
        <v>46006.605130787037</v>
      </c>
      <c r="H942" s="3">
        <v>46006.605119409724</v>
      </c>
      <c r="I942" s="4" t="s">
        <v>2803</v>
      </c>
      <c r="J942" t="s">
        <v>2874</v>
      </c>
      <c r="K942" t="s">
        <v>67</v>
      </c>
      <c r="L942" t="s">
        <v>119</v>
      </c>
      <c r="M942" t="s">
        <v>120</v>
      </c>
      <c r="N942" t="s">
        <v>67</v>
      </c>
      <c r="O942" t="s">
        <v>121</v>
      </c>
      <c r="Q942" t="s">
        <v>122</v>
      </c>
      <c r="R942" t="s">
        <v>123</v>
      </c>
      <c r="S942" s="5"/>
      <c r="T942" t="s">
        <v>72</v>
      </c>
      <c r="U942" t="s">
        <v>102</v>
      </c>
      <c r="V942" t="s">
        <v>74</v>
      </c>
      <c r="W942" t="s">
        <v>87</v>
      </c>
      <c r="AE942" s="2"/>
      <c r="AF942" s="2"/>
      <c r="AG942" s="2"/>
      <c r="AH942" s="2"/>
      <c r="AK942" t="s">
        <v>1003</v>
      </c>
      <c r="AL942" s="2">
        <v>1272000</v>
      </c>
      <c r="AM942" s="2">
        <v>0</v>
      </c>
      <c r="AN942" s="2"/>
      <c r="AO942" s="2">
        <v>0</v>
      </c>
      <c r="AP942" s="2">
        <v>1272000</v>
      </c>
      <c r="AQ942" s="2">
        <v>0</v>
      </c>
      <c r="AR942" s="2">
        <v>0</v>
      </c>
      <c r="AS942" s="2">
        <v>0</v>
      </c>
      <c r="AT942" s="2">
        <v>0</v>
      </c>
      <c r="AU942" s="2">
        <v>0</v>
      </c>
      <c r="AV942" s="2">
        <v>0</v>
      </c>
      <c r="AW942" s="4"/>
      <c r="AX942" t="s">
        <v>75</v>
      </c>
      <c r="AZ942" t="s">
        <v>723</v>
      </c>
      <c r="BA942" t="s">
        <v>67</v>
      </c>
      <c r="BB942" t="s">
        <v>724</v>
      </c>
      <c r="BC942" t="s">
        <v>285</v>
      </c>
      <c r="BD942" t="s">
        <v>79</v>
      </c>
      <c r="BE942" t="s">
        <v>117</v>
      </c>
      <c r="BF942" s="5">
        <v>46569</v>
      </c>
      <c r="BH942">
        <v>2</v>
      </c>
      <c r="BI942" s="6">
        <v>1200000</v>
      </c>
      <c r="BJ942" s="6">
        <v>47</v>
      </c>
      <c r="BK942" s="6">
        <v>564000</v>
      </c>
      <c r="BL942" s="6">
        <v>636000</v>
      </c>
      <c r="BM942" s="2">
        <v>1272000</v>
      </c>
      <c r="BN942">
        <f>InvoiceTable[[#This Row],[Giảm giá]]*InvoiceTable[[#This Row],[Số lượng]]</f>
        <v>1128000</v>
      </c>
    </row>
    <row r="943" spans="1:66" x14ac:dyDescent="0.25">
      <c r="A943" t="s">
        <v>65</v>
      </c>
      <c r="B943" t="s">
        <v>2875</v>
      </c>
      <c r="F943" s="2"/>
      <c r="G943" s="3">
        <v>46006.603501041667</v>
      </c>
      <c r="H943" s="3">
        <v>46006.603501122685</v>
      </c>
      <c r="I943" s="4" t="s">
        <v>67</v>
      </c>
      <c r="J943" t="s">
        <v>67</v>
      </c>
      <c r="K943" t="s">
        <v>67</v>
      </c>
      <c r="L943" t="s">
        <v>876</v>
      </c>
      <c r="M943" t="s">
        <v>877</v>
      </c>
      <c r="N943" t="s">
        <v>67</v>
      </c>
      <c r="O943" t="s">
        <v>878</v>
      </c>
      <c r="P943" t="s">
        <v>879</v>
      </c>
      <c r="Q943" t="s">
        <v>880</v>
      </c>
      <c r="R943" t="s">
        <v>881</v>
      </c>
      <c r="S943" s="5"/>
      <c r="T943" t="s">
        <v>72</v>
      </c>
      <c r="U943" t="s">
        <v>87</v>
      </c>
      <c r="V943" t="s">
        <v>74</v>
      </c>
      <c r="W943" t="s">
        <v>87</v>
      </c>
      <c r="AE943" s="2"/>
      <c r="AF943" s="2"/>
      <c r="AG943" s="2"/>
      <c r="AH943" s="2"/>
      <c r="AL943" s="2">
        <v>2539571</v>
      </c>
      <c r="AM943" s="2">
        <v>0</v>
      </c>
      <c r="AN943" s="2"/>
      <c r="AO943" s="2">
        <v>0</v>
      </c>
      <c r="AP943" s="2">
        <v>2539571</v>
      </c>
      <c r="AQ943" s="2">
        <v>0</v>
      </c>
      <c r="AR943" s="2">
        <v>0</v>
      </c>
      <c r="AS943" s="2">
        <v>0</v>
      </c>
      <c r="AT943" s="2">
        <v>0</v>
      </c>
      <c r="AU943" s="2">
        <v>0</v>
      </c>
      <c r="AV943" s="2">
        <v>0</v>
      </c>
      <c r="AW943" s="4"/>
      <c r="AX943" t="s">
        <v>75</v>
      </c>
      <c r="AZ943" t="s">
        <v>860</v>
      </c>
      <c r="BA943" t="s">
        <v>67</v>
      </c>
      <c r="BB943" t="s">
        <v>861</v>
      </c>
      <c r="BC943" t="s">
        <v>191</v>
      </c>
      <c r="BD943" t="s">
        <v>79</v>
      </c>
      <c r="BE943" t="s">
        <v>862</v>
      </c>
      <c r="BF943" s="5">
        <v>47515</v>
      </c>
      <c r="BH943">
        <v>10</v>
      </c>
      <c r="BI943" s="6">
        <v>470291</v>
      </c>
      <c r="BJ943" s="6">
        <v>46</v>
      </c>
      <c r="BK943" s="6">
        <v>216333.86</v>
      </c>
      <c r="BL943" s="6">
        <v>253957.14</v>
      </c>
      <c r="BM943" s="2">
        <v>2539571</v>
      </c>
      <c r="BN943">
        <f>InvoiceTable[[#This Row],[Giảm giá]]*InvoiceTable[[#This Row],[Số lượng]]</f>
        <v>2163338.5999999996</v>
      </c>
    </row>
    <row r="944" spans="1:66" x14ac:dyDescent="0.25">
      <c r="A944" t="s">
        <v>65</v>
      </c>
      <c r="B944" t="s">
        <v>2876</v>
      </c>
      <c r="F944" s="2"/>
      <c r="G944" s="3">
        <v>46006.600210798613</v>
      </c>
      <c r="H944" s="3">
        <v>46006.600168368059</v>
      </c>
      <c r="I944" s="4" t="s">
        <v>2290</v>
      </c>
      <c r="J944" t="s">
        <v>2877</v>
      </c>
      <c r="K944" t="s">
        <v>67</v>
      </c>
      <c r="L944" t="s">
        <v>2878</v>
      </c>
      <c r="M944" t="s">
        <v>2879</v>
      </c>
      <c r="N944" t="s">
        <v>67</v>
      </c>
      <c r="O944" t="s">
        <v>2880</v>
      </c>
      <c r="P944" t="s">
        <v>2881</v>
      </c>
      <c r="Q944" t="s">
        <v>67</v>
      </c>
      <c r="R944" t="s">
        <v>67</v>
      </c>
      <c r="S944" s="5"/>
      <c r="T944" t="s">
        <v>72</v>
      </c>
      <c r="U944" t="s">
        <v>73</v>
      </c>
      <c r="V944" t="s">
        <v>74</v>
      </c>
      <c r="W944" t="s">
        <v>87</v>
      </c>
      <c r="AE944" s="2"/>
      <c r="AF944" s="2"/>
      <c r="AG944" s="2"/>
      <c r="AH944" s="2"/>
      <c r="AK944" t="s">
        <v>2882</v>
      </c>
      <c r="AL944" s="2">
        <v>7400000</v>
      </c>
      <c r="AM944" s="2">
        <v>0</v>
      </c>
      <c r="AN944" s="2"/>
      <c r="AO944" s="2">
        <v>0</v>
      </c>
      <c r="AP944" s="2">
        <v>7400000</v>
      </c>
      <c r="AQ944" s="2">
        <v>0</v>
      </c>
      <c r="AR944" s="2">
        <v>0</v>
      </c>
      <c r="AS944" s="2">
        <v>0</v>
      </c>
      <c r="AT944" s="2">
        <v>0</v>
      </c>
      <c r="AU944" s="2">
        <v>0</v>
      </c>
      <c r="AV944" s="2">
        <v>0</v>
      </c>
      <c r="AW944" s="4"/>
      <c r="AX944" t="s">
        <v>75</v>
      </c>
      <c r="AZ944" t="s">
        <v>2042</v>
      </c>
      <c r="BA944" t="s">
        <v>67</v>
      </c>
      <c r="BB944" t="s">
        <v>2043</v>
      </c>
      <c r="BC944" t="s">
        <v>970</v>
      </c>
      <c r="BD944" t="s">
        <v>79</v>
      </c>
      <c r="BE944" t="s">
        <v>201</v>
      </c>
      <c r="BF944" s="5">
        <v>46966</v>
      </c>
      <c r="BG944" t="s">
        <v>67</v>
      </c>
      <c r="BH944">
        <v>4</v>
      </c>
      <c r="BI944" s="6">
        <v>1850000</v>
      </c>
      <c r="BJ944" s="6">
        <v>0</v>
      </c>
      <c r="BK944" s="6">
        <v>0</v>
      </c>
      <c r="BL944" s="6">
        <v>1850000</v>
      </c>
      <c r="BM944" s="2">
        <v>7400000</v>
      </c>
      <c r="BN944">
        <f>InvoiceTable[[#This Row],[Giảm giá]]*InvoiceTable[[#This Row],[Số lượng]]</f>
        <v>0</v>
      </c>
    </row>
    <row r="945" spans="1:66" x14ac:dyDescent="0.25">
      <c r="A945" t="s">
        <v>65</v>
      </c>
      <c r="B945" t="s">
        <v>2876</v>
      </c>
      <c r="F945" s="2"/>
      <c r="G945" s="3">
        <v>46006.600210798613</v>
      </c>
      <c r="H945" s="3">
        <v>46006.600168368059</v>
      </c>
      <c r="I945" s="4" t="s">
        <v>2290</v>
      </c>
      <c r="J945" t="s">
        <v>2877</v>
      </c>
      <c r="K945" t="s">
        <v>67</v>
      </c>
      <c r="L945" t="s">
        <v>2878</v>
      </c>
      <c r="M945" t="s">
        <v>2879</v>
      </c>
      <c r="N945" t="s">
        <v>67</v>
      </c>
      <c r="O945" t="s">
        <v>2880</v>
      </c>
      <c r="P945" t="s">
        <v>2881</v>
      </c>
      <c r="Q945" t="s">
        <v>67</v>
      </c>
      <c r="R945" t="s">
        <v>67</v>
      </c>
      <c r="S945" s="5"/>
      <c r="T945" t="s">
        <v>72</v>
      </c>
      <c r="U945" t="s">
        <v>73</v>
      </c>
      <c r="V945" t="s">
        <v>74</v>
      </c>
      <c r="W945" t="s">
        <v>87</v>
      </c>
      <c r="AE945" s="2"/>
      <c r="AF945" s="2"/>
      <c r="AG945" s="2"/>
      <c r="AH945" s="2"/>
      <c r="AK945" t="s">
        <v>2882</v>
      </c>
      <c r="AL945" s="2">
        <v>7400000</v>
      </c>
      <c r="AM945" s="2">
        <v>0</v>
      </c>
      <c r="AN945" s="2"/>
      <c r="AO945" s="2">
        <v>0</v>
      </c>
      <c r="AP945" s="2">
        <v>7400000</v>
      </c>
      <c r="AQ945" s="2">
        <v>0</v>
      </c>
      <c r="AR945" s="2">
        <v>0</v>
      </c>
      <c r="AS945" s="2">
        <v>0</v>
      </c>
      <c r="AT945" s="2">
        <v>0</v>
      </c>
      <c r="AU945" s="2">
        <v>0</v>
      </c>
      <c r="AV945" s="2">
        <v>0</v>
      </c>
      <c r="AW945" s="4"/>
      <c r="AX945" t="s">
        <v>75</v>
      </c>
      <c r="AZ945" t="s">
        <v>2042</v>
      </c>
      <c r="BA945" t="s">
        <v>67</v>
      </c>
      <c r="BB945" t="s">
        <v>2043</v>
      </c>
      <c r="BC945" t="s">
        <v>970</v>
      </c>
      <c r="BD945" t="s">
        <v>79</v>
      </c>
      <c r="BE945" t="s">
        <v>201</v>
      </c>
      <c r="BF945" s="5">
        <v>46966</v>
      </c>
      <c r="BG945" t="s">
        <v>67</v>
      </c>
      <c r="BH945">
        <v>1</v>
      </c>
      <c r="BI945" s="6">
        <v>1850000</v>
      </c>
      <c r="BJ945" s="6">
        <v>0</v>
      </c>
      <c r="BK945" s="6">
        <v>1850000</v>
      </c>
      <c r="BL945" s="6">
        <v>0</v>
      </c>
      <c r="BM945" s="2">
        <v>0</v>
      </c>
      <c r="BN945">
        <f>InvoiceTable[[#This Row],[Giảm giá]]*InvoiceTable[[#This Row],[Số lượng]]</f>
        <v>1850000</v>
      </c>
    </row>
    <row r="946" spans="1:66" x14ac:dyDescent="0.25">
      <c r="A946" t="s">
        <v>65</v>
      </c>
      <c r="B946" t="s">
        <v>2883</v>
      </c>
      <c r="F946" s="2"/>
      <c r="G946" s="3">
        <v>46006.599281909723</v>
      </c>
      <c r="H946" s="3">
        <v>46006.5991778588</v>
      </c>
      <c r="I946" s="4" t="s">
        <v>1050</v>
      </c>
      <c r="J946" t="s">
        <v>67</v>
      </c>
      <c r="K946" t="s">
        <v>67</v>
      </c>
      <c r="L946" t="s">
        <v>697</v>
      </c>
      <c r="M946" t="s">
        <v>698</v>
      </c>
      <c r="N946" t="s">
        <v>67</v>
      </c>
      <c r="O946" t="s">
        <v>699</v>
      </c>
      <c r="P946" t="s">
        <v>700</v>
      </c>
      <c r="Q946" t="s">
        <v>67</v>
      </c>
      <c r="R946" t="s">
        <v>67</v>
      </c>
      <c r="S946" s="5"/>
      <c r="T946" t="s">
        <v>72</v>
      </c>
      <c r="U946" t="s">
        <v>87</v>
      </c>
      <c r="V946" t="s">
        <v>74</v>
      </c>
      <c r="W946" t="s">
        <v>87</v>
      </c>
      <c r="AE946" s="2"/>
      <c r="AF946" s="2"/>
      <c r="AG946" s="2"/>
      <c r="AH946" s="2"/>
      <c r="AL946" s="2">
        <v>848000</v>
      </c>
      <c r="AM946" s="2">
        <v>0</v>
      </c>
      <c r="AN946" s="2"/>
      <c r="AO946" s="2">
        <v>0</v>
      </c>
      <c r="AP946" s="2">
        <v>848000</v>
      </c>
      <c r="AQ946" s="2">
        <v>563000</v>
      </c>
      <c r="AR946" s="2">
        <v>0</v>
      </c>
      <c r="AS946" s="2">
        <v>0</v>
      </c>
      <c r="AT946" s="2">
        <v>0</v>
      </c>
      <c r="AU946" s="2">
        <v>563000</v>
      </c>
      <c r="AV946" s="2">
        <v>0</v>
      </c>
      <c r="AW946" s="4"/>
      <c r="AX946" t="s">
        <v>75</v>
      </c>
      <c r="AZ946" t="s">
        <v>958</v>
      </c>
      <c r="BA946" t="s">
        <v>67</v>
      </c>
      <c r="BB946" t="s">
        <v>959</v>
      </c>
      <c r="BC946" t="s">
        <v>960</v>
      </c>
      <c r="BD946" t="s">
        <v>79</v>
      </c>
      <c r="BE946" t="s">
        <v>324</v>
      </c>
      <c r="BF946" s="5">
        <v>47058</v>
      </c>
      <c r="BH946">
        <v>1</v>
      </c>
      <c r="BI946" s="6">
        <v>1600000</v>
      </c>
      <c r="BJ946" s="6">
        <v>47</v>
      </c>
      <c r="BK946" s="6">
        <v>752000</v>
      </c>
      <c r="BL946" s="6">
        <v>848000</v>
      </c>
      <c r="BM946" s="2">
        <v>848000</v>
      </c>
      <c r="BN946">
        <f>InvoiceTable[[#This Row],[Giảm giá]]*InvoiceTable[[#This Row],[Số lượng]]</f>
        <v>752000</v>
      </c>
    </row>
    <row r="947" spans="1:66" x14ac:dyDescent="0.25">
      <c r="A947" t="s">
        <v>65</v>
      </c>
      <c r="B947" t="s">
        <v>2884</v>
      </c>
      <c r="F947" s="2"/>
      <c r="G947" s="3">
        <v>46006.598872800925</v>
      </c>
      <c r="H947" s="3">
        <v>46006.59882658565</v>
      </c>
      <c r="I947" s="4" t="s">
        <v>2290</v>
      </c>
      <c r="J947" t="s">
        <v>67</v>
      </c>
      <c r="K947" t="s">
        <v>67</v>
      </c>
      <c r="L947" t="s">
        <v>2491</v>
      </c>
      <c r="M947" t="s">
        <v>2492</v>
      </c>
      <c r="N947" t="s">
        <v>2493</v>
      </c>
      <c r="O947" t="s">
        <v>2494</v>
      </c>
      <c r="P947" t="s">
        <v>2495</v>
      </c>
      <c r="S947" s="5"/>
      <c r="T947" t="s">
        <v>72</v>
      </c>
      <c r="U947" t="s">
        <v>87</v>
      </c>
      <c r="V947" t="s">
        <v>74</v>
      </c>
      <c r="W947" t="s">
        <v>87</v>
      </c>
      <c r="AE947" s="2"/>
      <c r="AF947" s="2"/>
      <c r="AG947" s="2"/>
      <c r="AH947" s="2"/>
      <c r="AL947" s="2">
        <v>4680000</v>
      </c>
      <c r="AM947" s="2">
        <v>0</v>
      </c>
      <c r="AN947" s="2"/>
      <c r="AO947" s="2">
        <v>0</v>
      </c>
      <c r="AP947" s="2">
        <v>4680000</v>
      </c>
      <c r="AQ947" s="2">
        <v>4680000</v>
      </c>
      <c r="AR947" s="2">
        <v>0</v>
      </c>
      <c r="AS947" s="2">
        <v>0</v>
      </c>
      <c r="AT947" s="2">
        <v>0</v>
      </c>
      <c r="AU947" s="2">
        <v>4680000</v>
      </c>
      <c r="AV947" s="2">
        <v>0</v>
      </c>
      <c r="AW947" s="4"/>
      <c r="AX947" t="s">
        <v>75</v>
      </c>
      <c r="AZ947" t="s">
        <v>1019</v>
      </c>
      <c r="BA947" t="s">
        <v>67</v>
      </c>
      <c r="BB947" t="s">
        <v>1020</v>
      </c>
      <c r="BC947" t="s">
        <v>676</v>
      </c>
      <c r="BD947" t="s">
        <v>79</v>
      </c>
      <c r="BE947" t="s">
        <v>131</v>
      </c>
      <c r="BF947" s="5">
        <v>46874</v>
      </c>
      <c r="BH947">
        <v>2</v>
      </c>
      <c r="BI947" s="6">
        <v>1690000</v>
      </c>
      <c r="BJ947" s="6">
        <v>0</v>
      </c>
      <c r="BK947" s="6">
        <v>520000</v>
      </c>
      <c r="BL947" s="6">
        <v>1170000</v>
      </c>
      <c r="BM947" s="2">
        <v>2340000</v>
      </c>
      <c r="BN947">
        <f>InvoiceTable[[#This Row],[Giảm giá]]*InvoiceTable[[#This Row],[Số lượng]]</f>
        <v>1040000</v>
      </c>
    </row>
    <row r="948" spans="1:66" x14ac:dyDescent="0.25">
      <c r="A948" t="s">
        <v>65</v>
      </c>
      <c r="B948" t="s">
        <v>2884</v>
      </c>
      <c r="F948" s="2"/>
      <c r="G948" s="3">
        <v>46006.598872800925</v>
      </c>
      <c r="H948" s="3">
        <v>46006.59882658565</v>
      </c>
      <c r="I948" s="4" t="s">
        <v>2290</v>
      </c>
      <c r="J948" t="s">
        <v>67</v>
      </c>
      <c r="K948" t="s">
        <v>67</v>
      </c>
      <c r="L948" t="s">
        <v>2491</v>
      </c>
      <c r="M948" t="s">
        <v>2492</v>
      </c>
      <c r="N948" t="s">
        <v>2493</v>
      </c>
      <c r="O948" t="s">
        <v>2494</v>
      </c>
      <c r="P948" t="s">
        <v>2495</v>
      </c>
      <c r="S948" s="5"/>
      <c r="T948" t="s">
        <v>72</v>
      </c>
      <c r="U948" t="s">
        <v>87</v>
      </c>
      <c r="V948" t="s">
        <v>74</v>
      </c>
      <c r="W948" t="s">
        <v>87</v>
      </c>
      <c r="AE948" s="2"/>
      <c r="AF948" s="2"/>
      <c r="AG948" s="2"/>
      <c r="AH948" s="2"/>
      <c r="AL948" s="2">
        <v>4680000</v>
      </c>
      <c r="AM948" s="2">
        <v>0</v>
      </c>
      <c r="AN948" s="2"/>
      <c r="AO948" s="2">
        <v>0</v>
      </c>
      <c r="AP948" s="2">
        <v>4680000</v>
      </c>
      <c r="AQ948" s="2">
        <v>4680000</v>
      </c>
      <c r="AR948" s="2">
        <v>0</v>
      </c>
      <c r="AS948" s="2">
        <v>0</v>
      </c>
      <c r="AT948" s="2">
        <v>0</v>
      </c>
      <c r="AU948" s="2">
        <v>4680000</v>
      </c>
      <c r="AV948" s="2">
        <v>0</v>
      </c>
      <c r="AW948" s="4"/>
      <c r="AX948" t="s">
        <v>75</v>
      </c>
      <c r="AZ948" t="s">
        <v>674</v>
      </c>
      <c r="BA948" t="s">
        <v>67</v>
      </c>
      <c r="BB948" t="s">
        <v>675</v>
      </c>
      <c r="BC948" t="s">
        <v>676</v>
      </c>
      <c r="BD948" t="s">
        <v>79</v>
      </c>
      <c r="BE948" t="s">
        <v>677</v>
      </c>
      <c r="BF948" s="5">
        <v>46943</v>
      </c>
      <c r="BH948">
        <v>2</v>
      </c>
      <c r="BI948" s="6">
        <v>1690000</v>
      </c>
      <c r="BJ948" s="6">
        <v>0</v>
      </c>
      <c r="BK948" s="6">
        <v>520000</v>
      </c>
      <c r="BL948" s="6">
        <v>1170000</v>
      </c>
      <c r="BM948" s="2">
        <v>2340000</v>
      </c>
      <c r="BN948">
        <f>InvoiceTable[[#This Row],[Giảm giá]]*InvoiceTable[[#This Row],[Số lượng]]</f>
        <v>1040000</v>
      </c>
    </row>
    <row r="949" spans="1:66" x14ac:dyDescent="0.25">
      <c r="A949" t="s">
        <v>65</v>
      </c>
      <c r="B949" t="s">
        <v>2885</v>
      </c>
      <c r="F949" s="2"/>
      <c r="G949" s="3">
        <v>46006.598425729164</v>
      </c>
      <c r="H949" s="3">
        <v>46006.598414236112</v>
      </c>
      <c r="I949" s="4" t="s">
        <v>2803</v>
      </c>
      <c r="J949" t="s">
        <v>67</v>
      </c>
      <c r="K949" t="s">
        <v>67</v>
      </c>
      <c r="L949" t="s">
        <v>2886</v>
      </c>
      <c r="M949" t="s">
        <v>2887</v>
      </c>
      <c r="N949" t="s">
        <v>67</v>
      </c>
      <c r="O949" t="s">
        <v>2888</v>
      </c>
      <c r="P949" t="s">
        <v>2889</v>
      </c>
      <c r="Q949" t="s">
        <v>67</v>
      </c>
      <c r="R949" t="s">
        <v>67</v>
      </c>
      <c r="S949" s="5"/>
      <c r="T949" t="s">
        <v>72</v>
      </c>
      <c r="U949" t="s">
        <v>87</v>
      </c>
      <c r="V949" t="s">
        <v>74</v>
      </c>
      <c r="W949" t="s">
        <v>87</v>
      </c>
      <c r="AE949" s="2"/>
      <c r="AF949" s="2"/>
      <c r="AG949" s="2"/>
      <c r="AH949" s="2"/>
      <c r="AL949" s="2">
        <v>1960000</v>
      </c>
      <c r="AM949" s="2">
        <v>0</v>
      </c>
      <c r="AN949" s="2"/>
      <c r="AO949" s="2">
        <v>0</v>
      </c>
      <c r="AP949" s="2">
        <v>1960000</v>
      </c>
      <c r="AQ949" s="2">
        <v>0</v>
      </c>
      <c r="AR949" s="2">
        <v>0</v>
      </c>
      <c r="AS949" s="2">
        <v>0</v>
      </c>
      <c r="AT949" s="2">
        <v>0</v>
      </c>
      <c r="AU949" s="2">
        <v>0</v>
      </c>
      <c r="AV949" s="2">
        <v>0</v>
      </c>
      <c r="AW949" s="4"/>
      <c r="AX949" t="s">
        <v>75</v>
      </c>
      <c r="AZ949" t="s">
        <v>480</v>
      </c>
      <c r="BA949" t="s">
        <v>67</v>
      </c>
      <c r="BB949" t="s">
        <v>481</v>
      </c>
      <c r="BC949" t="s">
        <v>90</v>
      </c>
      <c r="BD949" t="s">
        <v>79</v>
      </c>
      <c r="BE949" t="s">
        <v>482</v>
      </c>
      <c r="BF949" s="5">
        <v>46773</v>
      </c>
      <c r="BG949" t="s">
        <v>67</v>
      </c>
      <c r="BH949">
        <v>2</v>
      </c>
      <c r="BI949" s="6">
        <v>1800000</v>
      </c>
      <c r="BJ949" s="6">
        <v>0</v>
      </c>
      <c r="BK949" s="6">
        <v>820000</v>
      </c>
      <c r="BL949" s="6">
        <v>980000</v>
      </c>
      <c r="BM949" s="2">
        <v>1960000</v>
      </c>
      <c r="BN949">
        <f>InvoiceTable[[#This Row],[Giảm giá]]*InvoiceTable[[#This Row],[Số lượng]]</f>
        <v>1640000</v>
      </c>
    </row>
    <row r="950" spans="1:66" x14ac:dyDescent="0.25">
      <c r="A950" t="s">
        <v>65</v>
      </c>
      <c r="B950" t="s">
        <v>2890</v>
      </c>
      <c r="F950" s="2"/>
      <c r="G950" s="3">
        <v>46006.598211574077</v>
      </c>
      <c r="H950" s="3">
        <v>46006.598165393516</v>
      </c>
      <c r="I950" s="4" t="s">
        <v>2428</v>
      </c>
      <c r="J950" t="s">
        <v>67</v>
      </c>
      <c r="K950" t="s">
        <v>67</v>
      </c>
      <c r="L950" t="s">
        <v>654</v>
      </c>
      <c r="M950" t="s">
        <v>655</v>
      </c>
      <c r="N950" t="s">
        <v>67</v>
      </c>
      <c r="O950" t="s">
        <v>656</v>
      </c>
      <c r="P950" t="s">
        <v>657</v>
      </c>
      <c r="Q950" t="s">
        <v>658</v>
      </c>
      <c r="R950" t="s">
        <v>67</v>
      </c>
      <c r="S950" s="5"/>
      <c r="T950" t="s">
        <v>72</v>
      </c>
      <c r="U950" t="s">
        <v>87</v>
      </c>
      <c r="V950" t="s">
        <v>74</v>
      </c>
      <c r="W950" t="s">
        <v>87</v>
      </c>
      <c r="AE950" s="2"/>
      <c r="AF950" s="2"/>
      <c r="AG950" s="2"/>
      <c r="AH950" s="2"/>
      <c r="AL950" s="2">
        <v>1840000</v>
      </c>
      <c r="AM950" s="2">
        <v>0</v>
      </c>
      <c r="AN950" s="2"/>
      <c r="AO950" s="2">
        <v>0</v>
      </c>
      <c r="AP950" s="2">
        <v>1840000</v>
      </c>
      <c r="AQ950" s="2">
        <v>0</v>
      </c>
      <c r="AR950" s="2">
        <v>0</v>
      </c>
      <c r="AS950" s="2">
        <v>0</v>
      </c>
      <c r="AT950" s="2">
        <v>0</v>
      </c>
      <c r="AU950" s="2">
        <v>0</v>
      </c>
      <c r="AV950" s="2">
        <v>0</v>
      </c>
      <c r="AW950" s="4"/>
      <c r="AX950" t="s">
        <v>75</v>
      </c>
      <c r="AZ950" t="s">
        <v>1297</v>
      </c>
      <c r="BA950" t="s">
        <v>67</v>
      </c>
      <c r="BB950" t="s">
        <v>1298</v>
      </c>
      <c r="BC950" t="s">
        <v>1299</v>
      </c>
      <c r="BD950" t="s">
        <v>79</v>
      </c>
      <c r="BE950" t="s">
        <v>159</v>
      </c>
      <c r="BF950" s="5">
        <v>46478</v>
      </c>
      <c r="BH950">
        <v>20</v>
      </c>
      <c r="BI950" s="6">
        <v>270000</v>
      </c>
      <c r="BJ950" s="6">
        <v>0</v>
      </c>
      <c r="BK950" s="6">
        <v>178000</v>
      </c>
      <c r="BL950" s="6">
        <v>92000</v>
      </c>
      <c r="BM950" s="2">
        <v>1840000</v>
      </c>
      <c r="BN950">
        <f>InvoiceTable[[#This Row],[Giảm giá]]*InvoiceTable[[#This Row],[Số lượng]]</f>
        <v>3560000</v>
      </c>
    </row>
    <row r="951" spans="1:66" x14ac:dyDescent="0.25">
      <c r="A951" t="s">
        <v>65</v>
      </c>
      <c r="B951" t="s">
        <v>2891</v>
      </c>
      <c r="F951" s="2"/>
      <c r="G951" s="3">
        <v>46006.596882557868</v>
      </c>
      <c r="H951" s="3">
        <v>46006.596766979164</v>
      </c>
      <c r="I951" s="4" t="s">
        <v>686</v>
      </c>
      <c r="J951" t="s">
        <v>67</v>
      </c>
      <c r="K951" t="s">
        <v>67</v>
      </c>
      <c r="L951" t="s">
        <v>654</v>
      </c>
      <c r="M951" t="s">
        <v>655</v>
      </c>
      <c r="N951" t="s">
        <v>67</v>
      </c>
      <c r="O951" t="s">
        <v>656</v>
      </c>
      <c r="P951" t="s">
        <v>657</v>
      </c>
      <c r="Q951" t="s">
        <v>658</v>
      </c>
      <c r="R951" t="s">
        <v>67</v>
      </c>
      <c r="S951" s="5"/>
      <c r="T951" t="s">
        <v>72</v>
      </c>
      <c r="U951" t="s">
        <v>87</v>
      </c>
      <c r="V951" t="s">
        <v>74</v>
      </c>
      <c r="W951" t="s">
        <v>87</v>
      </c>
      <c r="AE951" s="2"/>
      <c r="AF951" s="2"/>
      <c r="AG951" s="2"/>
      <c r="AH951" s="2"/>
      <c r="AL951" s="2">
        <v>1350000</v>
      </c>
      <c r="AM951" s="2">
        <v>0</v>
      </c>
      <c r="AN951" s="2"/>
      <c r="AO951" s="2">
        <v>0</v>
      </c>
      <c r="AP951" s="2">
        <v>1350000</v>
      </c>
      <c r="AQ951" s="2">
        <v>0</v>
      </c>
      <c r="AR951" s="2">
        <v>0</v>
      </c>
      <c r="AS951" s="2">
        <v>0</v>
      </c>
      <c r="AT951" s="2">
        <v>0</v>
      </c>
      <c r="AU951" s="2">
        <v>0</v>
      </c>
      <c r="AV951" s="2">
        <v>0</v>
      </c>
      <c r="AW951" s="4"/>
      <c r="AX951" t="s">
        <v>75</v>
      </c>
      <c r="AZ951" t="s">
        <v>438</v>
      </c>
      <c r="BA951" t="s">
        <v>67</v>
      </c>
      <c r="BB951" t="s">
        <v>439</v>
      </c>
      <c r="BC951" t="s">
        <v>440</v>
      </c>
      <c r="BD951" t="s">
        <v>79</v>
      </c>
      <c r="BE951" t="s">
        <v>216</v>
      </c>
      <c r="BF951" s="5">
        <v>46784</v>
      </c>
      <c r="BH951">
        <v>6</v>
      </c>
      <c r="BI951" s="6">
        <v>450000</v>
      </c>
      <c r="BJ951" s="6">
        <v>0</v>
      </c>
      <c r="BK951" s="6">
        <v>225000</v>
      </c>
      <c r="BL951" s="6">
        <v>225000</v>
      </c>
      <c r="BM951" s="2">
        <v>1350000</v>
      </c>
      <c r="BN951">
        <f>InvoiceTable[[#This Row],[Giảm giá]]*InvoiceTable[[#This Row],[Số lượng]]</f>
        <v>1350000</v>
      </c>
    </row>
    <row r="952" spans="1:66" x14ac:dyDescent="0.25">
      <c r="A952" t="s">
        <v>65</v>
      </c>
      <c r="B952" t="s">
        <v>2892</v>
      </c>
      <c r="F952" s="2"/>
      <c r="G952" s="3">
        <v>46006.596252233794</v>
      </c>
      <c r="H952" s="3">
        <v>46006.596240775463</v>
      </c>
      <c r="I952" s="4" t="s">
        <v>1050</v>
      </c>
      <c r="J952" t="s">
        <v>67</v>
      </c>
      <c r="K952" t="s">
        <v>67</v>
      </c>
      <c r="L952" t="s">
        <v>654</v>
      </c>
      <c r="M952" t="s">
        <v>655</v>
      </c>
      <c r="N952" t="s">
        <v>67</v>
      </c>
      <c r="O952" t="s">
        <v>656</v>
      </c>
      <c r="P952" t="s">
        <v>657</v>
      </c>
      <c r="Q952" t="s">
        <v>658</v>
      </c>
      <c r="R952" t="s">
        <v>67</v>
      </c>
      <c r="S952" s="5"/>
      <c r="T952" t="s">
        <v>72</v>
      </c>
      <c r="U952" t="s">
        <v>87</v>
      </c>
      <c r="V952" t="s">
        <v>74</v>
      </c>
      <c r="W952" t="s">
        <v>87</v>
      </c>
      <c r="AE952" s="2"/>
      <c r="AF952" s="2"/>
      <c r="AG952" s="2"/>
      <c r="AH952" s="2"/>
      <c r="AL952" s="2">
        <v>1991290</v>
      </c>
      <c r="AM952" s="2">
        <v>0</v>
      </c>
      <c r="AN952" s="2"/>
      <c r="AO952" s="2">
        <v>0</v>
      </c>
      <c r="AP952" s="2">
        <v>1991290</v>
      </c>
      <c r="AQ952" s="2">
        <v>0</v>
      </c>
      <c r="AR952" s="2">
        <v>0</v>
      </c>
      <c r="AS952" s="2">
        <v>0</v>
      </c>
      <c r="AT952" s="2">
        <v>0</v>
      </c>
      <c r="AU952" s="2">
        <v>0</v>
      </c>
      <c r="AV952" s="2">
        <v>0</v>
      </c>
      <c r="AW952" s="4"/>
      <c r="AX952" t="s">
        <v>75</v>
      </c>
      <c r="AZ952" t="s">
        <v>2893</v>
      </c>
      <c r="BA952" t="s">
        <v>67</v>
      </c>
      <c r="BB952" t="s">
        <v>2894</v>
      </c>
      <c r="BC952" t="s">
        <v>93</v>
      </c>
      <c r="BD952" t="s">
        <v>79</v>
      </c>
      <c r="BE952" t="s">
        <v>228</v>
      </c>
      <c r="BF952" s="5">
        <v>46813</v>
      </c>
      <c r="BH952">
        <v>1</v>
      </c>
      <c r="BI952" s="6">
        <v>383000</v>
      </c>
      <c r="BJ952" s="6">
        <v>37</v>
      </c>
      <c r="BK952" s="6">
        <v>141710</v>
      </c>
      <c r="BL952" s="6">
        <v>241290</v>
      </c>
      <c r="BM952" s="2">
        <v>241290</v>
      </c>
      <c r="BN952">
        <f>InvoiceTable[[#This Row],[Giảm giá]]*InvoiceTable[[#This Row],[Số lượng]]</f>
        <v>141710</v>
      </c>
    </row>
    <row r="953" spans="1:66" x14ac:dyDescent="0.25">
      <c r="A953" t="s">
        <v>65</v>
      </c>
      <c r="B953" t="s">
        <v>2892</v>
      </c>
      <c r="F953" s="2"/>
      <c r="G953" s="3">
        <v>46006.596252233794</v>
      </c>
      <c r="H953" s="3">
        <v>46006.596240775463</v>
      </c>
      <c r="I953" s="4" t="s">
        <v>1050</v>
      </c>
      <c r="J953" t="s">
        <v>67</v>
      </c>
      <c r="K953" t="s">
        <v>67</v>
      </c>
      <c r="L953" t="s">
        <v>654</v>
      </c>
      <c r="M953" t="s">
        <v>655</v>
      </c>
      <c r="N953" t="s">
        <v>67</v>
      </c>
      <c r="O953" t="s">
        <v>656</v>
      </c>
      <c r="P953" t="s">
        <v>657</v>
      </c>
      <c r="Q953" t="s">
        <v>658</v>
      </c>
      <c r="R953" t="s">
        <v>67</v>
      </c>
      <c r="S953" s="5"/>
      <c r="T953" t="s">
        <v>72</v>
      </c>
      <c r="U953" t="s">
        <v>87</v>
      </c>
      <c r="V953" t="s">
        <v>74</v>
      </c>
      <c r="W953" t="s">
        <v>87</v>
      </c>
      <c r="AE953" s="2"/>
      <c r="AF953" s="2"/>
      <c r="AG953" s="2"/>
      <c r="AH953" s="2"/>
      <c r="AL953" s="2">
        <v>1991290</v>
      </c>
      <c r="AM953" s="2">
        <v>0</v>
      </c>
      <c r="AN953" s="2"/>
      <c r="AO953" s="2">
        <v>0</v>
      </c>
      <c r="AP953" s="2">
        <v>1991290</v>
      </c>
      <c r="AQ953" s="2">
        <v>0</v>
      </c>
      <c r="AR953" s="2">
        <v>0</v>
      </c>
      <c r="AS953" s="2">
        <v>0</v>
      </c>
      <c r="AT953" s="2">
        <v>0</v>
      </c>
      <c r="AU953" s="2">
        <v>0</v>
      </c>
      <c r="AV953" s="2">
        <v>0</v>
      </c>
      <c r="AW953" s="4"/>
      <c r="AX953" t="s">
        <v>75</v>
      </c>
      <c r="AZ953" t="s">
        <v>978</v>
      </c>
      <c r="BA953" t="s">
        <v>67</v>
      </c>
      <c r="BB953" t="s">
        <v>979</v>
      </c>
      <c r="BC953" t="s">
        <v>980</v>
      </c>
      <c r="BD953" t="s">
        <v>79</v>
      </c>
      <c r="BE953" t="s">
        <v>317</v>
      </c>
      <c r="BF953" s="5">
        <v>46935</v>
      </c>
      <c r="BH953">
        <v>1</v>
      </c>
      <c r="BI953" s="6">
        <v>3500000</v>
      </c>
      <c r="BJ953" s="6">
        <v>50</v>
      </c>
      <c r="BK953" s="6">
        <v>1750000</v>
      </c>
      <c r="BL953" s="6">
        <v>1750000</v>
      </c>
      <c r="BM953" s="2">
        <v>1750000</v>
      </c>
      <c r="BN953">
        <f>InvoiceTable[[#This Row],[Giảm giá]]*InvoiceTable[[#This Row],[Số lượng]]</f>
        <v>1750000</v>
      </c>
    </row>
    <row r="954" spans="1:66" x14ac:dyDescent="0.25">
      <c r="A954" t="s">
        <v>65</v>
      </c>
      <c r="B954" t="s">
        <v>2895</v>
      </c>
      <c r="F954" s="2"/>
      <c r="G954" s="3">
        <v>46006.594100034723</v>
      </c>
      <c r="H954" s="3">
        <v>46006.594100312497</v>
      </c>
      <c r="I954" s="4" t="s">
        <v>67</v>
      </c>
      <c r="J954" t="s">
        <v>2896</v>
      </c>
      <c r="K954" t="s">
        <v>67</v>
      </c>
      <c r="L954" t="s">
        <v>231</v>
      </c>
      <c r="M954" t="s">
        <v>232</v>
      </c>
      <c r="N954" t="s">
        <v>67</v>
      </c>
      <c r="O954" t="s">
        <v>233</v>
      </c>
      <c r="P954" t="s">
        <v>234</v>
      </c>
      <c r="S954" s="5"/>
      <c r="T954" t="s">
        <v>72</v>
      </c>
      <c r="U954" t="s">
        <v>73</v>
      </c>
      <c r="V954" t="s">
        <v>74</v>
      </c>
      <c r="W954" t="s">
        <v>87</v>
      </c>
      <c r="AE954" s="2"/>
      <c r="AF954" s="2"/>
      <c r="AG954" s="2"/>
      <c r="AH954" s="2"/>
      <c r="AK954" t="s">
        <v>2897</v>
      </c>
      <c r="AL954" s="2">
        <v>583600</v>
      </c>
      <c r="AM954" s="2">
        <v>0</v>
      </c>
      <c r="AN954" s="2"/>
      <c r="AO954" s="2">
        <v>0</v>
      </c>
      <c r="AP954" s="2">
        <v>583600</v>
      </c>
      <c r="AQ954" s="2">
        <v>0</v>
      </c>
      <c r="AR954" s="2">
        <v>0</v>
      </c>
      <c r="AS954" s="2">
        <v>0</v>
      </c>
      <c r="AT954" s="2">
        <v>0</v>
      </c>
      <c r="AU954" s="2">
        <v>0</v>
      </c>
      <c r="AV954" s="2">
        <v>0</v>
      </c>
      <c r="AW954" s="4"/>
      <c r="AX954" t="s">
        <v>75</v>
      </c>
      <c r="AZ954" t="s">
        <v>88</v>
      </c>
      <c r="BB954" t="s">
        <v>89</v>
      </c>
      <c r="BC954" t="s">
        <v>90</v>
      </c>
      <c r="BF954" s="5"/>
      <c r="BG954" t="s">
        <v>67</v>
      </c>
      <c r="BH954">
        <v>1</v>
      </c>
      <c r="BI954" s="6">
        <v>25000</v>
      </c>
      <c r="BJ954" s="6">
        <v>0</v>
      </c>
      <c r="BK954" s="6">
        <v>0</v>
      </c>
      <c r="BL954" s="6">
        <v>25000</v>
      </c>
      <c r="BM954" s="2">
        <v>25000</v>
      </c>
      <c r="BN954">
        <f>InvoiceTable[[#This Row],[Giảm giá]]*InvoiceTable[[#This Row],[Số lượng]]</f>
        <v>0</v>
      </c>
    </row>
    <row r="955" spans="1:66" x14ac:dyDescent="0.25">
      <c r="A955" t="s">
        <v>65</v>
      </c>
      <c r="B955" t="s">
        <v>2895</v>
      </c>
      <c r="F955" s="2"/>
      <c r="G955" s="3">
        <v>46006.594100034723</v>
      </c>
      <c r="H955" s="3">
        <v>46006.594100312497</v>
      </c>
      <c r="I955" s="4" t="s">
        <v>67</v>
      </c>
      <c r="J955" t="s">
        <v>2896</v>
      </c>
      <c r="K955" t="s">
        <v>67</v>
      </c>
      <c r="L955" t="s">
        <v>231</v>
      </c>
      <c r="M955" t="s">
        <v>232</v>
      </c>
      <c r="N955" t="s">
        <v>67</v>
      </c>
      <c r="O955" t="s">
        <v>233</v>
      </c>
      <c r="P955" t="s">
        <v>234</v>
      </c>
      <c r="S955" s="5"/>
      <c r="T955" t="s">
        <v>72</v>
      </c>
      <c r="U955" t="s">
        <v>73</v>
      </c>
      <c r="V955" t="s">
        <v>74</v>
      </c>
      <c r="W955" t="s">
        <v>87</v>
      </c>
      <c r="AE955" s="2"/>
      <c r="AF955" s="2"/>
      <c r="AG955" s="2"/>
      <c r="AH955" s="2"/>
      <c r="AK955" t="s">
        <v>2897</v>
      </c>
      <c r="AL955" s="2">
        <v>583600</v>
      </c>
      <c r="AM955" s="2">
        <v>0</v>
      </c>
      <c r="AN955" s="2"/>
      <c r="AO955" s="2">
        <v>0</v>
      </c>
      <c r="AP955" s="2">
        <v>583600</v>
      </c>
      <c r="AQ955" s="2">
        <v>0</v>
      </c>
      <c r="AR955" s="2">
        <v>0</v>
      </c>
      <c r="AS955" s="2">
        <v>0</v>
      </c>
      <c r="AT955" s="2">
        <v>0</v>
      </c>
      <c r="AU955" s="2">
        <v>0</v>
      </c>
      <c r="AV955" s="2">
        <v>0</v>
      </c>
      <c r="AW955" s="4"/>
      <c r="AX955" t="s">
        <v>75</v>
      </c>
      <c r="AZ955" t="s">
        <v>1162</v>
      </c>
      <c r="BA955" t="s">
        <v>67</v>
      </c>
      <c r="BB955" t="s">
        <v>1163</v>
      </c>
      <c r="BC955" t="s">
        <v>1164</v>
      </c>
      <c r="BD955" t="s">
        <v>79</v>
      </c>
      <c r="BE955" t="s">
        <v>145</v>
      </c>
      <c r="BF955" s="5">
        <v>46508</v>
      </c>
      <c r="BH955">
        <v>1</v>
      </c>
      <c r="BI955" s="6">
        <v>980000</v>
      </c>
      <c r="BJ955" s="6">
        <v>43</v>
      </c>
      <c r="BK955" s="6">
        <v>421400</v>
      </c>
      <c r="BL955" s="6">
        <v>558600</v>
      </c>
      <c r="BM955" s="2">
        <v>558600</v>
      </c>
      <c r="BN955">
        <f>InvoiceTable[[#This Row],[Giảm giá]]*InvoiceTable[[#This Row],[Số lượng]]</f>
        <v>421400</v>
      </c>
    </row>
    <row r="956" spans="1:66" x14ac:dyDescent="0.25">
      <c r="A956" t="s">
        <v>65</v>
      </c>
      <c r="B956" t="s">
        <v>2898</v>
      </c>
      <c r="F956" s="2"/>
      <c r="G956" s="3">
        <v>46006.593754710651</v>
      </c>
      <c r="H956" s="3">
        <v>46006.59375482639</v>
      </c>
      <c r="I956" s="4" t="s">
        <v>67</v>
      </c>
      <c r="J956" t="s">
        <v>2899</v>
      </c>
      <c r="K956" t="s">
        <v>67</v>
      </c>
      <c r="L956" t="s">
        <v>231</v>
      </c>
      <c r="M956" t="s">
        <v>232</v>
      </c>
      <c r="N956" t="s">
        <v>67</v>
      </c>
      <c r="O956" t="s">
        <v>233</v>
      </c>
      <c r="P956" t="s">
        <v>234</v>
      </c>
      <c r="S956" s="5"/>
      <c r="T956" t="s">
        <v>72</v>
      </c>
      <c r="U956" t="s">
        <v>73</v>
      </c>
      <c r="V956" t="s">
        <v>74</v>
      </c>
      <c r="W956" t="s">
        <v>87</v>
      </c>
      <c r="AE956" s="2"/>
      <c r="AF956" s="2"/>
      <c r="AG956" s="2"/>
      <c r="AH956" s="2"/>
      <c r="AK956" t="s">
        <v>2900</v>
      </c>
      <c r="AL956" s="2">
        <v>2291000</v>
      </c>
      <c r="AM956" s="2">
        <v>0</v>
      </c>
      <c r="AN956" s="2"/>
      <c r="AO956" s="2">
        <v>0</v>
      </c>
      <c r="AP956" s="2">
        <v>2291000</v>
      </c>
      <c r="AQ956" s="2">
        <v>0</v>
      </c>
      <c r="AR956" s="2">
        <v>0</v>
      </c>
      <c r="AS956" s="2">
        <v>0</v>
      </c>
      <c r="AT956" s="2">
        <v>0</v>
      </c>
      <c r="AU956" s="2">
        <v>0</v>
      </c>
      <c r="AV956" s="2">
        <v>0</v>
      </c>
      <c r="AW956" s="4"/>
      <c r="AX956" t="s">
        <v>75</v>
      </c>
      <c r="AZ956" t="s">
        <v>2901</v>
      </c>
      <c r="BA956" t="s">
        <v>67</v>
      </c>
      <c r="BB956" t="s">
        <v>2902</v>
      </c>
      <c r="BC956" t="s">
        <v>223</v>
      </c>
      <c r="BD956" t="s">
        <v>79</v>
      </c>
      <c r="BE956" t="s">
        <v>94</v>
      </c>
      <c r="BF956" s="5">
        <v>46692</v>
      </c>
      <c r="BH956">
        <v>1</v>
      </c>
      <c r="BI956" s="6">
        <v>3950000</v>
      </c>
      <c r="BJ956" s="6">
        <v>42</v>
      </c>
      <c r="BK956" s="6">
        <v>1659000</v>
      </c>
      <c r="BL956" s="6">
        <v>2291000</v>
      </c>
      <c r="BM956" s="2">
        <v>2291000</v>
      </c>
      <c r="BN956">
        <f>InvoiceTable[[#This Row],[Giảm giá]]*InvoiceTable[[#This Row],[Số lượng]]</f>
        <v>1659000</v>
      </c>
    </row>
    <row r="957" spans="1:66" x14ac:dyDescent="0.25">
      <c r="A957" t="s">
        <v>65</v>
      </c>
      <c r="B957" t="s">
        <v>2903</v>
      </c>
      <c r="F957" s="2"/>
      <c r="G957" s="3">
        <v>46006.593516817127</v>
      </c>
      <c r="H957" s="3">
        <v>46006.593516932873</v>
      </c>
      <c r="I957" s="4" t="s">
        <v>67</v>
      </c>
      <c r="J957" t="s">
        <v>2904</v>
      </c>
      <c r="K957" t="s">
        <v>67</v>
      </c>
      <c r="L957" t="s">
        <v>119</v>
      </c>
      <c r="M957" t="s">
        <v>120</v>
      </c>
      <c r="N957" t="s">
        <v>67</v>
      </c>
      <c r="O957" t="s">
        <v>121</v>
      </c>
      <c r="Q957" t="s">
        <v>122</v>
      </c>
      <c r="R957" t="s">
        <v>123</v>
      </c>
      <c r="S957" s="5"/>
      <c r="T957" t="s">
        <v>72</v>
      </c>
      <c r="U957" t="s">
        <v>102</v>
      </c>
      <c r="V957" t="s">
        <v>74</v>
      </c>
      <c r="W957" t="s">
        <v>87</v>
      </c>
      <c r="AE957" s="2"/>
      <c r="AF957" s="2"/>
      <c r="AG957" s="2"/>
      <c r="AH957" s="2"/>
      <c r="AK957" t="s">
        <v>1003</v>
      </c>
      <c r="AL957" s="2">
        <v>378000</v>
      </c>
      <c r="AM957" s="2">
        <v>0</v>
      </c>
      <c r="AN957" s="2"/>
      <c r="AO957" s="2">
        <v>0</v>
      </c>
      <c r="AP957" s="2">
        <v>378000</v>
      </c>
      <c r="AQ957" s="2">
        <v>0</v>
      </c>
      <c r="AR957" s="2">
        <v>0</v>
      </c>
      <c r="AS957" s="2">
        <v>0</v>
      </c>
      <c r="AT957" s="2">
        <v>0</v>
      </c>
      <c r="AU957" s="2">
        <v>0</v>
      </c>
      <c r="AV957" s="2">
        <v>0</v>
      </c>
      <c r="AW957" s="4"/>
      <c r="AX957" t="s">
        <v>75</v>
      </c>
      <c r="AZ957" t="s">
        <v>1456</v>
      </c>
      <c r="BA957" t="s">
        <v>67</v>
      </c>
      <c r="BB957" t="s">
        <v>1457</v>
      </c>
      <c r="BC957" t="s">
        <v>187</v>
      </c>
      <c r="BD957" t="s">
        <v>79</v>
      </c>
      <c r="BE957" t="s">
        <v>324</v>
      </c>
      <c r="BF957" s="5">
        <v>47058</v>
      </c>
      <c r="BH957">
        <v>2</v>
      </c>
      <c r="BI957" s="6">
        <v>450000</v>
      </c>
      <c r="BJ957" s="6">
        <v>58</v>
      </c>
      <c r="BK957" s="6">
        <v>261000</v>
      </c>
      <c r="BL957" s="6">
        <v>189000</v>
      </c>
      <c r="BM957" s="2">
        <v>378000</v>
      </c>
      <c r="BN957">
        <f>InvoiceTable[[#This Row],[Giảm giá]]*InvoiceTable[[#This Row],[Số lượng]]</f>
        <v>522000</v>
      </c>
    </row>
    <row r="958" spans="1:66" x14ac:dyDescent="0.25">
      <c r="A958" t="s">
        <v>65</v>
      </c>
      <c r="B958" t="s">
        <v>2905</v>
      </c>
      <c r="F958" s="2"/>
      <c r="G958" s="3">
        <v>46006.593190312502</v>
      </c>
      <c r="H958" s="3">
        <v>46006.593190509258</v>
      </c>
      <c r="I958" s="4" t="s">
        <v>67</v>
      </c>
      <c r="J958" t="s">
        <v>2906</v>
      </c>
      <c r="K958" t="s">
        <v>67</v>
      </c>
      <c r="L958" t="s">
        <v>231</v>
      </c>
      <c r="M958" t="s">
        <v>232</v>
      </c>
      <c r="N958" t="s">
        <v>67</v>
      </c>
      <c r="O958" t="s">
        <v>233</v>
      </c>
      <c r="P958" t="s">
        <v>234</v>
      </c>
      <c r="S958" s="5"/>
      <c r="T958" t="s">
        <v>72</v>
      </c>
      <c r="U958" t="s">
        <v>73</v>
      </c>
      <c r="V958" t="s">
        <v>74</v>
      </c>
      <c r="W958" t="s">
        <v>87</v>
      </c>
      <c r="AE958" s="2"/>
      <c r="AF958" s="2"/>
      <c r="AG958" s="2"/>
      <c r="AH958" s="2"/>
      <c r="AK958" t="s">
        <v>313</v>
      </c>
      <c r="AL958" s="2">
        <v>1260000</v>
      </c>
      <c r="AM958" s="2">
        <v>0</v>
      </c>
      <c r="AN958" s="2"/>
      <c r="AO958" s="2">
        <v>0</v>
      </c>
      <c r="AP958" s="2">
        <v>1260000</v>
      </c>
      <c r="AQ958" s="2">
        <v>0</v>
      </c>
      <c r="AR958" s="2">
        <v>0</v>
      </c>
      <c r="AS958" s="2">
        <v>0</v>
      </c>
      <c r="AT958" s="2">
        <v>0</v>
      </c>
      <c r="AU958" s="2">
        <v>0</v>
      </c>
      <c r="AV958" s="2">
        <v>0</v>
      </c>
      <c r="AW958" s="4"/>
      <c r="AX958" t="s">
        <v>75</v>
      </c>
      <c r="AZ958" t="s">
        <v>375</v>
      </c>
      <c r="BA958" t="s">
        <v>67</v>
      </c>
      <c r="BB958" t="s">
        <v>376</v>
      </c>
      <c r="BC958" t="s">
        <v>377</v>
      </c>
      <c r="BD958" t="s">
        <v>79</v>
      </c>
      <c r="BE958" t="s">
        <v>293</v>
      </c>
      <c r="BF958" s="5">
        <v>46722</v>
      </c>
      <c r="BH958">
        <v>1</v>
      </c>
      <c r="BI958" s="6">
        <v>500000</v>
      </c>
      <c r="BJ958" s="6">
        <v>37</v>
      </c>
      <c r="BK958" s="6">
        <v>185000</v>
      </c>
      <c r="BL958" s="6">
        <v>315000</v>
      </c>
      <c r="BM958" s="2">
        <v>315000</v>
      </c>
      <c r="BN958">
        <f>InvoiceTable[[#This Row],[Giảm giá]]*InvoiceTable[[#This Row],[Số lượng]]</f>
        <v>185000</v>
      </c>
    </row>
    <row r="959" spans="1:66" x14ac:dyDescent="0.25">
      <c r="A959" t="s">
        <v>65</v>
      </c>
      <c r="B959" t="s">
        <v>2905</v>
      </c>
      <c r="F959" s="2"/>
      <c r="G959" s="3">
        <v>46006.593190312502</v>
      </c>
      <c r="H959" s="3">
        <v>46006.593190509258</v>
      </c>
      <c r="I959" s="4" t="s">
        <v>67</v>
      </c>
      <c r="J959" t="s">
        <v>2906</v>
      </c>
      <c r="K959" t="s">
        <v>67</v>
      </c>
      <c r="L959" t="s">
        <v>231</v>
      </c>
      <c r="M959" t="s">
        <v>232</v>
      </c>
      <c r="N959" t="s">
        <v>67</v>
      </c>
      <c r="O959" t="s">
        <v>233</v>
      </c>
      <c r="P959" t="s">
        <v>234</v>
      </c>
      <c r="S959" s="5"/>
      <c r="T959" t="s">
        <v>72</v>
      </c>
      <c r="U959" t="s">
        <v>73</v>
      </c>
      <c r="V959" t="s">
        <v>74</v>
      </c>
      <c r="W959" t="s">
        <v>87</v>
      </c>
      <c r="AE959" s="2"/>
      <c r="AF959" s="2"/>
      <c r="AG959" s="2"/>
      <c r="AH959" s="2"/>
      <c r="AK959" t="s">
        <v>313</v>
      </c>
      <c r="AL959" s="2">
        <v>1260000</v>
      </c>
      <c r="AM959" s="2">
        <v>0</v>
      </c>
      <c r="AN959" s="2"/>
      <c r="AO959" s="2">
        <v>0</v>
      </c>
      <c r="AP959" s="2">
        <v>1260000</v>
      </c>
      <c r="AQ959" s="2">
        <v>0</v>
      </c>
      <c r="AR959" s="2">
        <v>0</v>
      </c>
      <c r="AS959" s="2">
        <v>0</v>
      </c>
      <c r="AT959" s="2">
        <v>0</v>
      </c>
      <c r="AU959" s="2">
        <v>0</v>
      </c>
      <c r="AV959" s="2">
        <v>0</v>
      </c>
      <c r="AW959" s="4"/>
      <c r="AX959" t="s">
        <v>75</v>
      </c>
      <c r="AZ959" t="s">
        <v>375</v>
      </c>
      <c r="BA959" t="s">
        <v>67</v>
      </c>
      <c r="BB959" t="s">
        <v>376</v>
      </c>
      <c r="BC959" t="s">
        <v>377</v>
      </c>
      <c r="BD959" t="s">
        <v>79</v>
      </c>
      <c r="BE959" t="s">
        <v>378</v>
      </c>
      <c r="BF959" s="5">
        <v>46997</v>
      </c>
      <c r="BG959" t="s">
        <v>67</v>
      </c>
      <c r="BH959">
        <v>3</v>
      </c>
      <c r="BI959" s="6">
        <v>500000</v>
      </c>
      <c r="BJ959" s="6">
        <v>37</v>
      </c>
      <c r="BK959" s="6">
        <v>185000</v>
      </c>
      <c r="BL959" s="6">
        <v>315000</v>
      </c>
      <c r="BM959" s="2">
        <v>945000</v>
      </c>
      <c r="BN959">
        <f>InvoiceTable[[#This Row],[Giảm giá]]*InvoiceTable[[#This Row],[Số lượng]]</f>
        <v>555000</v>
      </c>
    </row>
    <row r="960" spans="1:66" x14ac:dyDescent="0.25">
      <c r="A960" t="s">
        <v>65</v>
      </c>
      <c r="B960" t="s">
        <v>2907</v>
      </c>
      <c r="F960" s="2"/>
      <c r="G960" s="3">
        <v>46006.591768090278</v>
      </c>
      <c r="H960" s="3">
        <v>46006.591745254627</v>
      </c>
      <c r="I960" s="4" t="s">
        <v>2908</v>
      </c>
      <c r="J960" t="s">
        <v>2909</v>
      </c>
      <c r="K960" t="s">
        <v>67</v>
      </c>
      <c r="L960" t="s">
        <v>464</v>
      </c>
      <c r="M960" t="s">
        <v>465</v>
      </c>
      <c r="N960" t="s">
        <v>466</v>
      </c>
      <c r="O960" t="s">
        <v>467</v>
      </c>
      <c r="P960" t="s">
        <v>468</v>
      </c>
      <c r="S960" s="5"/>
      <c r="T960" t="s">
        <v>72</v>
      </c>
      <c r="U960" t="s">
        <v>73</v>
      </c>
      <c r="V960" t="s">
        <v>74</v>
      </c>
      <c r="W960" t="s">
        <v>87</v>
      </c>
      <c r="AE960" s="2"/>
      <c r="AF960" s="2"/>
      <c r="AG960" s="2"/>
      <c r="AH960" s="2"/>
      <c r="AL960" s="2">
        <v>1845000</v>
      </c>
      <c r="AM960" s="2">
        <v>0</v>
      </c>
      <c r="AN960" s="2"/>
      <c r="AO960" s="2">
        <v>0</v>
      </c>
      <c r="AP960" s="2">
        <v>1845000</v>
      </c>
      <c r="AQ960" s="2">
        <v>1845000</v>
      </c>
      <c r="AR960" s="2">
        <v>1845000</v>
      </c>
      <c r="AS960" s="2">
        <v>0</v>
      </c>
      <c r="AT960" s="2">
        <v>0</v>
      </c>
      <c r="AU960" s="2">
        <v>0</v>
      </c>
      <c r="AV960" s="2">
        <v>0</v>
      </c>
      <c r="AW960" s="4"/>
      <c r="AX960" t="s">
        <v>75</v>
      </c>
      <c r="AZ960" t="s">
        <v>471</v>
      </c>
      <c r="BA960" t="s">
        <v>67</v>
      </c>
      <c r="BB960" t="s">
        <v>472</v>
      </c>
      <c r="BC960" t="s">
        <v>223</v>
      </c>
      <c r="BD960" t="s">
        <v>79</v>
      </c>
      <c r="BE960" t="s">
        <v>168</v>
      </c>
      <c r="BF960" s="5">
        <v>46388</v>
      </c>
      <c r="BG960" t="s">
        <v>67</v>
      </c>
      <c r="BH960">
        <v>1</v>
      </c>
      <c r="BI960" s="6">
        <v>2320000</v>
      </c>
      <c r="BJ960" s="6">
        <v>0</v>
      </c>
      <c r="BK960" s="6">
        <v>940000</v>
      </c>
      <c r="BL960" s="6">
        <v>1380000</v>
      </c>
      <c r="BM960" s="2">
        <v>1380000</v>
      </c>
      <c r="BN960">
        <f>InvoiceTable[[#This Row],[Giảm giá]]*InvoiceTable[[#This Row],[Số lượng]]</f>
        <v>940000</v>
      </c>
    </row>
    <row r="961" spans="1:66" x14ac:dyDescent="0.25">
      <c r="A961" t="s">
        <v>65</v>
      </c>
      <c r="B961" t="s">
        <v>2907</v>
      </c>
      <c r="F961" s="2"/>
      <c r="G961" s="3">
        <v>46006.591768090278</v>
      </c>
      <c r="H961" s="3">
        <v>46006.591745254627</v>
      </c>
      <c r="I961" s="4" t="s">
        <v>2908</v>
      </c>
      <c r="J961" t="s">
        <v>2909</v>
      </c>
      <c r="K961" t="s">
        <v>67</v>
      </c>
      <c r="L961" t="s">
        <v>464</v>
      </c>
      <c r="M961" t="s">
        <v>465</v>
      </c>
      <c r="N961" t="s">
        <v>466</v>
      </c>
      <c r="O961" t="s">
        <v>467</v>
      </c>
      <c r="P961" t="s">
        <v>468</v>
      </c>
      <c r="S961" s="5"/>
      <c r="T961" t="s">
        <v>72</v>
      </c>
      <c r="U961" t="s">
        <v>73</v>
      </c>
      <c r="V961" t="s">
        <v>74</v>
      </c>
      <c r="W961" t="s">
        <v>87</v>
      </c>
      <c r="AE961" s="2"/>
      <c r="AF961" s="2"/>
      <c r="AG961" s="2"/>
      <c r="AH961" s="2"/>
      <c r="AL961" s="2">
        <v>1845000</v>
      </c>
      <c r="AM961" s="2">
        <v>0</v>
      </c>
      <c r="AN961" s="2"/>
      <c r="AO961" s="2">
        <v>0</v>
      </c>
      <c r="AP961" s="2">
        <v>1845000</v>
      </c>
      <c r="AQ961" s="2">
        <v>1845000</v>
      </c>
      <c r="AR961" s="2">
        <v>1845000</v>
      </c>
      <c r="AS961" s="2">
        <v>0</v>
      </c>
      <c r="AT961" s="2">
        <v>0</v>
      </c>
      <c r="AU961" s="2">
        <v>0</v>
      </c>
      <c r="AV961" s="2">
        <v>0</v>
      </c>
      <c r="AW961" s="4"/>
      <c r="AX961" t="s">
        <v>75</v>
      </c>
      <c r="AZ961" t="s">
        <v>495</v>
      </c>
      <c r="BA961" t="s">
        <v>67</v>
      </c>
      <c r="BB961" t="s">
        <v>496</v>
      </c>
      <c r="BC961" t="s">
        <v>497</v>
      </c>
      <c r="BD961" t="s">
        <v>79</v>
      </c>
      <c r="BE961" t="s">
        <v>117</v>
      </c>
      <c r="BF961" s="5">
        <v>46569</v>
      </c>
      <c r="BH961">
        <v>3</v>
      </c>
      <c r="BI961" s="6">
        <v>250000</v>
      </c>
      <c r="BJ961" s="6">
        <v>0</v>
      </c>
      <c r="BK961" s="6">
        <v>170000</v>
      </c>
      <c r="BL961" s="6">
        <v>80000</v>
      </c>
      <c r="BM961" s="2">
        <v>240000</v>
      </c>
      <c r="BN961">
        <f>InvoiceTable[[#This Row],[Giảm giá]]*InvoiceTable[[#This Row],[Số lượng]]</f>
        <v>510000</v>
      </c>
    </row>
    <row r="962" spans="1:66" x14ac:dyDescent="0.25">
      <c r="A962" t="s">
        <v>65</v>
      </c>
      <c r="B962" t="s">
        <v>2907</v>
      </c>
      <c r="F962" s="2"/>
      <c r="G962" s="3">
        <v>46006.591768090278</v>
      </c>
      <c r="H962" s="3">
        <v>46006.591745254627</v>
      </c>
      <c r="I962" s="4" t="s">
        <v>2908</v>
      </c>
      <c r="J962" t="s">
        <v>2909</v>
      </c>
      <c r="K962" t="s">
        <v>67</v>
      </c>
      <c r="L962" t="s">
        <v>464</v>
      </c>
      <c r="M962" t="s">
        <v>465</v>
      </c>
      <c r="N962" t="s">
        <v>466</v>
      </c>
      <c r="O962" t="s">
        <v>467</v>
      </c>
      <c r="P962" t="s">
        <v>468</v>
      </c>
      <c r="S962" s="5"/>
      <c r="T962" t="s">
        <v>72</v>
      </c>
      <c r="U962" t="s">
        <v>73</v>
      </c>
      <c r="V962" t="s">
        <v>74</v>
      </c>
      <c r="W962" t="s">
        <v>87</v>
      </c>
      <c r="AE962" s="2"/>
      <c r="AF962" s="2"/>
      <c r="AG962" s="2"/>
      <c r="AH962" s="2"/>
      <c r="AL962" s="2">
        <v>1845000</v>
      </c>
      <c r="AM962" s="2">
        <v>0</v>
      </c>
      <c r="AN962" s="2"/>
      <c r="AO962" s="2">
        <v>0</v>
      </c>
      <c r="AP962" s="2">
        <v>1845000</v>
      </c>
      <c r="AQ962" s="2">
        <v>1845000</v>
      </c>
      <c r="AR962" s="2">
        <v>1845000</v>
      </c>
      <c r="AS962" s="2">
        <v>0</v>
      </c>
      <c r="AT962" s="2">
        <v>0</v>
      </c>
      <c r="AU962" s="2">
        <v>0</v>
      </c>
      <c r="AV962" s="2">
        <v>0</v>
      </c>
      <c r="AW962" s="4"/>
      <c r="AX962" t="s">
        <v>75</v>
      </c>
      <c r="AZ962" t="s">
        <v>291</v>
      </c>
      <c r="BA962" t="s">
        <v>67</v>
      </c>
      <c r="BB962" t="s">
        <v>292</v>
      </c>
      <c r="BC962" t="s">
        <v>126</v>
      </c>
      <c r="BD962" t="s">
        <v>79</v>
      </c>
      <c r="BE962" t="s">
        <v>94</v>
      </c>
      <c r="BF962" s="5">
        <v>46692</v>
      </c>
      <c r="BG962" t="s">
        <v>67</v>
      </c>
      <c r="BH962">
        <v>3</v>
      </c>
      <c r="BI962" s="6">
        <v>250000</v>
      </c>
      <c r="BJ962" s="6">
        <v>0</v>
      </c>
      <c r="BK962" s="6">
        <v>175000</v>
      </c>
      <c r="BL962" s="6">
        <v>75000</v>
      </c>
      <c r="BM962" s="2">
        <v>225000</v>
      </c>
      <c r="BN962">
        <f>InvoiceTable[[#This Row],[Giảm giá]]*InvoiceTable[[#This Row],[Số lượng]]</f>
        <v>525000</v>
      </c>
    </row>
    <row r="963" spans="1:66" x14ac:dyDescent="0.25">
      <c r="A963" t="s">
        <v>65</v>
      </c>
      <c r="B963" t="s">
        <v>2910</v>
      </c>
      <c r="F963" s="2"/>
      <c r="G963" s="3">
        <v>46006.591475428242</v>
      </c>
      <c r="H963" s="3">
        <v>46006.591464039353</v>
      </c>
      <c r="I963" s="4" t="s">
        <v>2803</v>
      </c>
      <c r="J963" t="s">
        <v>2911</v>
      </c>
      <c r="K963" t="s">
        <v>67</v>
      </c>
      <c r="L963" t="s">
        <v>231</v>
      </c>
      <c r="M963" t="s">
        <v>232</v>
      </c>
      <c r="N963" t="s">
        <v>67</v>
      </c>
      <c r="O963" t="s">
        <v>233</v>
      </c>
      <c r="P963" t="s">
        <v>234</v>
      </c>
      <c r="S963" s="5"/>
      <c r="T963" t="s">
        <v>72</v>
      </c>
      <c r="U963" t="s">
        <v>73</v>
      </c>
      <c r="V963" t="s">
        <v>74</v>
      </c>
      <c r="W963" t="s">
        <v>87</v>
      </c>
      <c r="AE963" s="2"/>
      <c r="AF963" s="2"/>
      <c r="AG963" s="2"/>
      <c r="AH963" s="2"/>
      <c r="AK963" t="s">
        <v>2897</v>
      </c>
      <c r="AL963" s="2">
        <v>170000</v>
      </c>
      <c r="AM963" s="2">
        <v>0</v>
      </c>
      <c r="AN963" s="2"/>
      <c r="AO963" s="2">
        <v>0</v>
      </c>
      <c r="AP963" s="2">
        <v>170000</v>
      </c>
      <c r="AQ963" s="2">
        <v>0</v>
      </c>
      <c r="AR963" s="2">
        <v>0</v>
      </c>
      <c r="AS963" s="2">
        <v>0</v>
      </c>
      <c r="AT963" s="2">
        <v>0</v>
      </c>
      <c r="AU963" s="2">
        <v>0</v>
      </c>
      <c r="AV963" s="2">
        <v>0</v>
      </c>
      <c r="AW963" s="4"/>
      <c r="AX963" t="s">
        <v>75</v>
      </c>
      <c r="AZ963" t="s">
        <v>663</v>
      </c>
      <c r="BA963" t="s">
        <v>67</v>
      </c>
      <c r="BB963" t="s">
        <v>664</v>
      </c>
      <c r="BC963" t="s">
        <v>665</v>
      </c>
      <c r="BD963" t="s">
        <v>79</v>
      </c>
      <c r="BE963" t="s">
        <v>195</v>
      </c>
      <c r="BF963" s="5">
        <v>46419</v>
      </c>
      <c r="BH963">
        <v>1</v>
      </c>
      <c r="BI963" s="6">
        <v>380000</v>
      </c>
      <c r="BJ963" s="6">
        <v>0</v>
      </c>
      <c r="BK963" s="6">
        <v>210000</v>
      </c>
      <c r="BL963" s="6">
        <v>170000</v>
      </c>
      <c r="BM963" s="2">
        <v>170000</v>
      </c>
      <c r="BN963">
        <f>InvoiceTable[[#This Row],[Giảm giá]]*InvoiceTable[[#This Row],[Số lượng]]</f>
        <v>210000</v>
      </c>
    </row>
    <row r="964" spans="1:66" x14ac:dyDescent="0.25">
      <c r="A964" t="s">
        <v>65</v>
      </c>
      <c r="B964" t="s">
        <v>2912</v>
      </c>
      <c r="F964" s="2"/>
      <c r="G964" s="3">
        <v>46006.59136875</v>
      </c>
      <c r="H964" s="3">
        <v>46006.591241631948</v>
      </c>
      <c r="I964" s="4" t="s">
        <v>96</v>
      </c>
      <c r="J964" t="s">
        <v>2913</v>
      </c>
      <c r="K964" t="s">
        <v>67</v>
      </c>
      <c r="L964" t="s">
        <v>231</v>
      </c>
      <c r="M964" t="s">
        <v>232</v>
      </c>
      <c r="N964" t="s">
        <v>67</v>
      </c>
      <c r="O964" t="s">
        <v>233</v>
      </c>
      <c r="P964" t="s">
        <v>234</v>
      </c>
      <c r="S964" s="5"/>
      <c r="T964" t="s">
        <v>72</v>
      </c>
      <c r="U964" t="s">
        <v>73</v>
      </c>
      <c r="V964" t="s">
        <v>74</v>
      </c>
      <c r="W964" t="s">
        <v>87</v>
      </c>
      <c r="AE964" s="2"/>
      <c r="AF964" s="2"/>
      <c r="AG964" s="2"/>
      <c r="AH964" s="2"/>
      <c r="AK964" t="s">
        <v>2914</v>
      </c>
      <c r="AL964" s="2">
        <v>1275000</v>
      </c>
      <c r="AM964" s="2">
        <v>0</v>
      </c>
      <c r="AN964" s="2"/>
      <c r="AO964" s="2">
        <v>0</v>
      </c>
      <c r="AP964" s="2">
        <v>1275000</v>
      </c>
      <c r="AQ964" s="2">
        <v>0</v>
      </c>
      <c r="AR964" s="2">
        <v>0</v>
      </c>
      <c r="AS964" s="2">
        <v>0</v>
      </c>
      <c r="AT964" s="2">
        <v>0</v>
      </c>
      <c r="AU964" s="2">
        <v>0</v>
      </c>
      <c r="AV964" s="2">
        <v>0</v>
      </c>
      <c r="AW964" s="4"/>
      <c r="AX964" t="s">
        <v>75</v>
      </c>
      <c r="AZ964" t="s">
        <v>573</v>
      </c>
      <c r="BA964" t="s">
        <v>67</v>
      </c>
      <c r="BB964" t="s">
        <v>89</v>
      </c>
      <c r="BC964" t="s">
        <v>90</v>
      </c>
      <c r="BF964" s="5"/>
      <c r="BG964" t="s">
        <v>67</v>
      </c>
      <c r="BH964">
        <v>1</v>
      </c>
      <c r="BI964" s="6">
        <v>25000</v>
      </c>
      <c r="BJ964" s="6">
        <v>0</v>
      </c>
      <c r="BK964" s="6">
        <v>0</v>
      </c>
      <c r="BL964" s="6">
        <v>25000</v>
      </c>
      <c r="BM964" s="2">
        <v>25000</v>
      </c>
      <c r="BN964">
        <f>InvoiceTable[[#This Row],[Giảm giá]]*InvoiceTable[[#This Row],[Số lượng]]</f>
        <v>0</v>
      </c>
    </row>
    <row r="965" spans="1:66" x14ac:dyDescent="0.25">
      <c r="A965" t="s">
        <v>65</v>
      </c>
      <c r="B965" t="s">
        <v>2912</v>
      </c>
      <c r="F965" s="2"/>
      <c r="G965" s="3">
        <v>46006.59136875</v>
      </c>
      <c r="H965" s="3">
        <v>46006.591241631948</v>
      </c>
      <c r="I965" s="4" t="s">
        <v>96</v>
      </c>
      <c r="J965" t="s">
        <v>2913</v>
      </c>
      <c r="K965" t="s">
        <v>67</v>
      </c>
      <c r="L965" t="s">
        <v>231</v>
      </c>
      <c r="M965" t="s">
        <v>232</v>
      </c>
      <c r="N965" t="s">
        <v>67</v>
      </c>
      <c r="O965" t="s">
        <v>233</v>
      </c>
      <c r="P965" t="s">
        <v>234</v>
      </c>
      <c r="S965" s="5"/>
      <c r="T965" t="s">
        <v>72</v>
      </c>
      <c r="U965" t="s">
        <v>73</v>
      </c>
      <c r="V965" t="s">
        <v>74</v>
      </c>
      <c r="W965" t="s">
        <v>87</v>
      </c>
      <c r="AE965" s="2"/>
      <c r="AF965" s="2"/>
      <c r="AG965" s="2"/>
      <c r="AH965" s="2"/>
      <c r="AK965" t="s">
        <v>2914</v>
      </c>
      <c r="AL965" s="2">
        <v>1275000</v>
      </c>
      <c r="AM965" s="2">
        <v>0</v>
      </c>
      <c r="AN965" s="2"/>
      <c r="AO965" s="2">
        <v>0</v>
      </c>
      <c r="AP965" s="2">
        <v>1275000</v>
      </c>
      <c r="AQ965" s="2">
        <v>0</v>
      </c>
      <c r="AR965" s="2">
        <v>0</v>
      </c>
      <c r="AS965" s="2">
        <v>0</v>
      </c>
      <c r="AT965" s="2">
        <v>0</v>
      </c>
      <c r="AU965" s="2">
        <v>0</v>
      </c>
      <c r="AV965" s="2">
        <v>0</v>
      </c>
      <c r="AW965" s="4"/>
      <c r="AX965" t="s">
        <v>75</v>
      </c>
      <c r="AZ965" t="s">
        <v>2915</v>
      </c>
      <c r="BA965" t="s">
        <v>67</v>
      </c>
      <c r="BB965" t="s">
        <v>2916</v>
      </c>
      <c r="BC965" t="s">
        <v>2917</v>
      </c>
      <c r="BD965" t="s">
        <v>79</v>
      </c>
      <c r="BE965" t="s">
        <v>155</v>
      </c>
      <c r="BF965" s="5">
        <v>46600</v>
      </c>
      <c r="BG965" t="s">
        <v>67</v>
      </c>
      <c r="BH965">
        <v>1</v>
      </c>
      <c r="BI965" s="6">
        <v>2250000</v>
      </c>
      <c r="BJ965" s="6">
        <v>0</v>
      </c>
      <c r="BK965" s="6">
        <v>1000000</v>
      </c>
      <c r="BL965" s="6">
        <v>1250000</v>
      </c>
      <c r="BM965" s="2">
        <v>1250000</v>
      </c>
      <c r="BN965">
        <f>InvoiceTable[[#This Row],[Giảm giá]]*InvoiceTable[[#This Row],[Số lượng]]</f>
        <v>1000000</v>
      </c>
    </row>
    <row r="966" spans="1:66" x14ac:dyDescent="0.25">
      <c r="A966" t="s">
        <v>65</v>
      </c>
      <c r="B966" t="s">
        <v>2918</v>
      </c>
      <c r="F966" s="2"/>
      <c r="G966" s="3">
        <v>46006.591227233796</v>
      </c>
      <c r="H966" s="3">
        <v>46006.591100081016</v>
      </c>
      <c r="I966" s="4" t="s">
        <v>96</v>
      </c>
      <c r="J966" t="s">
        <v>2919</v>
      </c>
      <c r="K966" t="s">
        <v>67</v>
      </c>
      <c r="L966" t="s">
        <v>245</v>
      </c>
      <c r="M966" t="s">
        <v>246</v>
      </c>
      <c r="N966" t="s">
        <v>67</v>
      </c>
      <c r="O966" t="s">
        <v>247</v>
      </c>
      <c r="P966" t="s">
        <v>248</v>
      </c>
      <c r="Q966" t="s">
        <v>67</v>
      </c>
      <c r="R966" t="s">
        <v>67</v>
      </c>
      <c r="S966" s="5"/>
      <c r="T966" t="s">
        <v>72</v>
      </c>
      <c r="U966" t="s">
        <v>73</v>
      </c>
      <c r="V966" t="s">
        <v>74</v>
      </c>
      <c r="W966" t="s">
        <v>87</v>
      </c>
      <c r="AE966" s="2"/>
      <c r="AF966" s="2"/>
      <c r="AG966" s="2"/>
      <c r="AH966" s="2"/>
      <c r="AK966" t="s">
        <v>184</v>
      </c>
      <c r="AL966" s="2">
        <v>650000</v>
      </c>
      <c r="AM966" s="2">
        <v>0</v>
      </c>
      <c r="AN966" s="2"/>
      <c r="AO966" s="2">
        <v>0</v>
      </c>
      <c r="AP966" s="2">
        <v>650000</v>
      </c>
      <c r="AQ966" s="2">
        <v>650000</v>
      </c>
      <c r="AR966" s="2">
        <v>0</v>
      </c>
      <c r="AS966" s="2">
        <v>0</v>
      </c>
      <c r="AT966" s="2">
        <v>0</v>
      </c>
      <c r="AU966" s="2">
        <v>650000</v>
      </c>
      <c r="AV966" s="2">
        <v>0</v>
      </c>
      <c r="AW966" s="4"/>
      <c r="AX966" t="s">
        <v>75</v>
      </c>
      <c r="AZ966" t="s">
        <v>124</v>
      </c>
      <c r="BA966" t="s">
        <v>67</v>
      </c>
      <c r="BB966" t="s">
        <v>125</v>
      </c>
      <c r="BC966" t="s">
        <v>126</v>
      </c>
      <c r="BD966" t="s">
        <v>79</v>
      </c>
      <c r="BE966" t="s">
        <v>2920</v>
      </c>
      <c r="BF966" s="5">
        <v>46772</v>
      </c>
      <c r="BH966">
        <v>1</v>
      </c>
      <c r="BI966" s="6">
        <v>1200000</v>
      </c>
      <c r="BJ966" s="6">
        <v>45.83</v>
      </c>
      <c r="BK966" s="6">
        <v>550000</v>
      </c>
      <c r="BL966" s="6">
        <v>650000</v>
      </c>
      <c r="BM966" s="2">
        <v>650000</v>
      </c>
      <c r="BN966">
        <f>InvoiceTable[[#This Row],[Giảm giá]]*InvoiceTable[[#This Row],[Số lượng]]</f>
        <v>550000</v>
      </c>
    </row>
    <row r="967" spans="1:66" x14ac:dyDescent="0.25">
      <c r="A967" t="s">
        <v>65</v>
      </c>
      <c r="B967" t="s">
        <v>2921</v>
      </c>
      <c r="F967" s="2"/>
      <c r="G967" s="3">
        <v>46006.590936192129</v>
      </c>
      <c r="H967" s="3">
        <v>46006.590936342589</v>
      </c>
      <c r="I967" s="4" t="s">
        <v>67</v>
      </c>
      <c r="J967" t="s">
        <v>2922</v>
      </c>
      <c r="K967" t="s">
        <v>67</v>
      </c>
      <c r="L967" t="s">
        <v>2923</v>
      </c>
      <c r="M967" t="s">
        <v>2924</v>
      </c>
      <c r="N967" t="s">
        <v>67</v>
      </c>
      <c r="O967" t="s">
        <v>2925</v>
      </c>
      <c r="P967" t="s">
        <v>2926</v>
      </c>
      <c r="Q967" t="s">
        <v>1114</v>
      </c>
      <c r="R967" t="s">
        <v>2927</v>
      </c>
      <c r="S967" s="5"/>
      <c r="T967" t="s">
        <v>72</v>
      </c>
      <c r="U967" t="s">
        <v>73</v>
      </c>
      <c r="V967" t="s">
        <v>74</v>
      </c>
      <c r="W967" t="s">
        <v>87</v>
      </c>
      <c r="AE967" s="2"/>
      <c r="AF967" s="2"/>
      <c r="AG967" s="2"/>
      <c r="AH967" s="2"/>
      <c r="AK967" t="s">
        <v>258</v>
      </c>
      <c r="AL967" s="2">
        <v>3150000</v>
      </c>
      <c r="AM967" s="2">
        <v>0</v>
      </c>
      <c r="AN967" s="2"/>
      <c r="AO967" s="2">
        <v>0</v>
      </c>
      <c r="AP967" s="2">
        <v>3150000</v>
      </c>
      <c r="AQ967" s="2">
        <v>0</v>
      </c>
      <c r="AR967" s="2">
        <v>0</v>
      </c>
      <c r="AS967" s="2">
        <v>0</v>
      </c>
      <c r="AT967" s="2">
        <v>0</v>
      </c>
      <c r="AU967" s="2">
        <v>0</v>
      </c>
      <c r="AV967" s="2">
        <v>0</v>
      </c>
      <c r="AW967" s="4"/>
      <c r="AX967" t="s">
        <v>75</v>
      </c>
      <c r="AZ967" t="s">
        <v>748</v>
      </c>
      <c r="BA967" t="s">
        <v>67</v>
      </c>
      <c r="BB967" t="s">
        <v>749</v>
      </c>
      <c r="BC967" t="s">
        <v>750</v>
      </c>
      <c r="BD967" t="s">
        <v>79</v>
      </c>
      <c r="BE967" t="s">
        <v>117</v>
      </c>
      <c r="BF967" s="5">
        <v>46569</v>
      </c>
      <c r="BH967">
        <v>3</v>
      </c>
      <c r="BI967" s="6">
        <v>1500000</v>
      </c>
      <c r="BJ967" s="6">
        <v>0</v>
      </c>
      <c r="BK967" s="6">
        <v>450000</v>
      </c>
      <c r="BL967" s="6">
        <v>1050000</v>
      </c>
      <c r="BM967" s="2">
        <v>3150000</v>
      </c>
      <c r="BN967">
        <f>InvoiceTable[[#This Row],[Giảm giá]]*InvoiceTable[[#This Row],[Số lượng]]</f>
        <v>1350000</v>
      </c>
    </row>
    <row r="968" spans="1:66" x14ac:dyDescent="0.25">
      <c r="A968" t="s">
        <v>65</v>
      </c>
      <c r="B968" t="s">
        <v>2928</v>
      </c>
      <c r="F968" s="2"/>
      <c r="G968" s="3">
        <v>46006.586081365742</v>
      </c>
      <c r="H968" s="3">
        <v>46006.586081562498</v>
      </c>
      <c r="I968" s="4" t="s">
        <v>67</v>
      </c>
      <c r="J968" t="s">
        <v>67</v>
      </c>
      <c r="K968" t="s">
        <v>67</v>
      </c>
      <c r="L968" t="s">
        <v>2376</v>
      </c>
      <c r="M968" t="s">
        <v>2377</v>
      </c>
      <c r="N968" t="s">
        <v>67</v>
      </c>
      <c r="O968" t="s">
        <v>2378</v>
      </c>
      <c r="P968" t="s">
        <v>2379</v>
      </c>
      <c r="Q968" t="s">
        <v>67</v>
      </c>
      <c r="R968" t="s">
        <v>67</v>
      </c>
      <c r="S968" s="5"/>
      <c r="T968" t="s">
        <v>72</v>
      </c>
      <c r="U968" t="s">
        <v>87</v>
      </c>
      <c r="V968" t="s">
        <v>74</v>
      </c>
      <c r="W968" t="s">
        <v>87</v>
      </c>
      <c r="AE968" s="2"/>
      <c r="AF968" s="2"/>
      <c r="AG968" s="2"/>
      <c r="AH968" s="2"/>
      <c r="AL968" s="2">
        <v>729600</v>
      </c>
      <c r="AM968" s="2">
        <v>0</v>
      </c>
      <c r="AN968" s="2"/>
      <c r="AO968" s="2">
        <v>0</v>
      </c>
      <c r="AP968" s="2">
        <v>729600</v>
      </c>
      <c r="AQ968" s="2">
        <v>0</v>
      </c>
      <c r="AR968" s="2">
        <v>0</v>
      </c>
      <c r="AS968" s="2">
        <v>0</v>
      </c>
      <c r="AT968" s="2">
        <v>0</v>
      </c>
      <c r="AU968" s="2">
        <v>0</v>
      </c>
      <c r="AV968" s="2">
        <v>0</v>
      </c>
      <c r="AW968" s="4"/>
      <c r="AX968" t="s">
        <v>75</v>
      </c>
      <c r="AZ968" t="s">
        <v>213</v>
      </c>
      <c r="BA968" t="s">
        <v>67</v>
      </c>
      <c r="BB968" t="s">
        <v>214</v>
      </c>
      <c r="BC968" t="s">
        <v>215</v>
      </c>
      <c r="BD968" t="s">
        <v>79</v>
      </c>
      <c r="BE968" t="s">
        <v>216</v>
      </c>
      <c r="BF968" s="5">
        <v>46784</v>
      </c>
      <c r="BH968">
        <v>2</v>
      </c>
      <c r="BI968" s="6">
        <v>760000</v>
      </c>
      <c r="BJ968" s="6">
        <v>52</v>
      </c>
      <c r="BK968" s="6">
        <v>395200</v>
      </c>
      <c r="BL968" s="6">
        <v>364800</v>
      </c>
      <c r="BM968" s="2">
        <v>729600</v>
      </c>
      <c r="BN968">
        <f>InvoiceTable[[#This Row],[Giảm giá]]*InvoiceTable[[#This Row],[Số lượng]]</f>
        <v>790400</v>
      </c>
    </row>
    <row r="969" spans="1:66" x14ac:dyDescent="0.25">
      <c r="A969" t="s">
        <v>65</v>
      </c>
      <c r="B969" t="s">
        <v>2929</v>
      </c>
      <c r="F969" s="2"/>
      <c r="G969" s="3">
        <v>46006.585792048609</v>
      </c>
      <c r="H969" s="3">
        <v>46006.585792129626</v>
      </c>
      <c r="I969" s="4" t="s">
        <v>67</v>
      </c>
      <c r="J969" t="s">
        <v>67</v>
      </c>
      <c r="K969" t="s">
        <v>67</v>
      </c>
      <c r="L969" t="s">
        <v>2376</v>
      </c>
      <c r="M969" t="s">
        <v>2377</v>
      </c>
      <c r="N969" t="s">
        <v>67</v>
      </c>
      <c r="O969" t="s">
        <v>2378</v>
      </c>
      <c r="P969" t="s">
        <v>2379</v>
      </c>
      <c r="Q969" t="s">
        <v>67</v>
      </c>
      <c r="R969" t="s">
        <v>67</v>
      </c>
      <c r="S969" s="5"/>
      <c r="T969" t="s">
        <v>72</v>
      </c>
      <c r="U969" t="s">
        <v>87</v>
      </c>
      <c r="V969" t="s">
        <v>74</v>
      </c>
      <c r="W969" t="s">
        <v>87</v>
      </c>
      <c r="AE969" s="2"/>
      <c r="AF969" s="2"/>
      <c r="AG969" s="2"/>
      <c r="AH969" s="2"/>
      <c r="AL969" s="2">
        <v>4265690</v>
      </c>
      <c r="AM969" s="2">
        <v>0</v>
      </c>
      <c r="AN969" s="2"/>
      <c r="AO969" s="2">
        <v>0</v>
      </c>
      <c r="AP969" s="2">
        <v>4265690</v>
      </c>
      <c r="AQ969" s="2">
        <v>0</v>
      </c>
      <c r="AR969" s="2">
        <v>0</v>
      </c>
      <c r="AS969" s="2">
        <v>0</v>
      </c>
      <c r="AT969" s="2">
        <v>0</v>
      </c>
      <c r="AU969" s="2">
        <v>0</v>
      </c>
      <c r="AV969" s="2">
        <v>0</v>
      </c>
      <c r="AW969" s="4"/>
      <c r="AX969" t="s">
        <v>75</v>
      </c>
      <c r="AZ969" t="s">
        <v>905</v>
      </c>
      <c r="BA969" t="s">
        <v>67</v>
      </c>
      <c r="BB969" t="s">
        <v>906</v>
      </c>
      <c r="BC969" t="s">
        <v>285</v>
      </c>
      <c r="BD969" t="s">
        <v>79</v>
      </c>
      <c r="BE969" t="s">
        <v>117</v>
      </c>
      <c r="BF969" s="5">
        <v>46569</v>
      </c>
      <c r="BH969">
        <v>1</v>
      </c>
      <c r="BI969" s="6">
        <v>3950000</v>
      </c>
      <c r="BJ969" s="6">
        <v>45</v>
      </c>
      <c r="BK969" s="6">
        <v>1777500</v>
      </c>
      <c r="BL969" s="6">
        <v>2172500</v>
      </c>
      <c r="BM969" s="2">
        <v>2172500</v>
      </c>
      <c r="BN969">
        <f>InvoiceTable[[#This Row],[Giảm giá]]*InvoiceTable[[#This Row],[Số lượng]]</f>
        <v>1777500</v>
      </c>
    </row>
    <row r="970" spans="1:66" x14ac:dyDescent="0.25">
      <c r="A970" t="s">
        <v>65</v>
      </c>
      <c r="B970" t="s">
        <v>2929</v>
      </c>
      <c r="F970" s="2"/>
      <c r="G970" s="3">
        <v>46006.585792048609</v>
      </c>
      <c r="H970" s="3">
        <v>46006.585792129626</v>
      </c>
      <c r="I970" s="4" t="s">
        <v>67</v>
      </c>
      <c r="J970" t="s">
        <v>67</v>
      </c>
      <c r="K970" t="s">
        <v>67</v>
      </c>
      <c r="L970" t="s">
        <v>2376</v>
      </c>
      <c r="M970" t="s">
        <v>2377</v>
      </c>
      <c r="N970" t="s">
        <v>67</v>
      </c>
      <c r="O970" t="s">
        <v>2378</v>
      </c>
      <c r="P970" t="s">
        <v>2379</v>
      </c>
      <c r="Q970" t="s">
        <v>67</v>
      </c>
      <c r="R970" t="s">
        <v>67</v>
      </c>
      <c r="S970" s="5"/>
      <c r="T970" t="s">
        <v>72</v>
      </c>
      <c r="U970" t="s">
        <v>87</v>
      </c>
      <c r="V970" t="s">
        <v>74</v>
      </c>
      <c r="W970" t="s">
        <v>87</v>
      </c>
      <c r="AE970" s="2"/>
      <c r="AF970" s="2"/>
      <c r="AG970" s="2"/>
      <c r="AH970" s="2"/>
      <c r="AL970" s="2">
        <v>4265690</v>
      </c>
      <c r="AM970" s="2">
        <v>0</v>
      </c>
      <c r="AN970" s="2"/>
      <c r="AO970" s="2">
        <v>0</v>
      </c>
      <c r="AP970" s="2">
        <v>4265690</v>
      </c>
      <c r="AQ970" s="2">
        <v>0</v>
      </c>
      <c r="AR970" s="2">
        <v>0</v>
      </c>
      <c r="AS970" s="2">
        <v>0</v>
      </c>
      <c r="AT970" s="2">
        <v>0</v>
      </c>
      <c r="AU970" s="2">
        <v>0</v>
      </c>
      <c r="AV970" s="2">
        <v>0</v>
      </c>
      <c r="AW970" s="4"/>
      <c r="AX970" t="s">
        <v>75</v>
      </c>
      <c r="AZ970" t="s">
        <v>2930</v>
      </c>
      <c r="BB970" t="s">
        <v>2931</v>
      </c>
      <c r="BC970" t="s">
        <v>2932</v>
      </c>
      <c r="BD970" t="s">
        <v>79</v>
      </c>
      <c r="BE970" t="s">
        <v>168</v>
      </c>
      <c r="BF970" s="5">
        <v>46388</v>
      </c>
      <c r="BG970" t="s">
        <v>67</v>
      </c>
      <c r="BH970">
        <v>3</v>
      </c>
      <c r="BI970" s="6">
        <v>506000</v>
      </c>
      <c r="BJ970" s="6">
        <v>37</v>
      </c>
      <c r="BK970" s="6">
        <v>187220</v>
      </c>
      <c r="BL970" s="6">
        <v>318780</v>
      </c>
      <c r="BM970" s="2">
        <v>956340</v>
      </c>
      <c r="BN970">
        <f>InvoiceTable[[#This Row],[Giảm giá]]*InvoiceTable[[#This Row],[Số lượng]]</f>
        <v>561660</v>
      </c>
    </row>
    <row r="971" spans="1:66" x14ac:dyDescent="0.25">
      <c r="A971" t="s">
        <v>65</v>
      </c>
      <c r="B971" t="s">
        <v>2929</v>
      </c>
      <c r="F971" s="2"/>
      <c r="G971" s="3">
        <v>46006.585792048609</v>
      </c>
      <c r="H971" s="3">
        <v>46006.585792129626</v>
      </c>
      <c r="I971" s="4" t="s">
        <v>67</v>
      </c>
      <c r="J971" t="s">
        <v>67</v>
      </c>
      <c r="K971" t="s">
        <v>67</v>
      </c>
      <c r="L971" t="s">
        <v>2376</v>
      </c>
      <c r="M971" t="s">
        <v>2377</v>
      </c>
      <c r="N971" t="s">
        <v>67</v>
      </c>
      <c r="O971" t="s">
        <v>2378</v>
      </c>
      <c r="P971" t="s">
        <v>2379</v>
      </c>
      <c r="Q971" t="s">
        <v>67</v>
      </c>
      <c r="R971" t="s">
        <v>67</v>
      </c>
      <c r="S971" s="5"/>
      <c r="T971" t="s">
        <v>72</v>
      </c>
      <c r="U971" t="s">
        <v>87</v>
      </c>
      <c r="V971" t="s">
        <v>74</v>
      </c>
      <c r="W971" t="s">
        <v>87</v>
      </c>
      <c r="AE971" s="2"/>
      <c r="AF971" s="2"/>
      <c r="AG971" s="2"/>
      <c r="AH971" s="2"/>
      <c r="AL971" s="2">
        <v>4265690</v>
      </c>
      <c r="AM971" s="2">
        <v>0</v>
      </c>
      <c r="AN971" s="2"/>
      <c r="AO971" s="2">
        <v>0</v>
      </c>
      <c r="AP971" s="2">
        <v>4265690</v>
      </c>
      <c r="AQ971" s="2">
        <v>0</v>
      </c>
      <c r="AR971" s="2">
        <v>0</v>
      </c>
      <c r="AS971" s="2">
        <v>0</v>
      </c>
      <c r="AT971" s="2">
        <v>0</v>
      </c>
      <c r="AU971" s="2">
        <v>0</v>
      </c>
      <c r="AV971" s="2">
        <v>0</v>
      </c>
      <c r="AW971" s="4"/>
      <c r="AX971" t="s">
        <v>75</v>
      </c>
      <c r="AZ971" t="s">
        <v>1374</v>
      </c>
      <c r="BA971" t="s">
        <v>67</v>
      </c>
      <c r="BB971" t="s">
        <v>1375</v>
      </c>
      <c r="BC971" t="s">
        <v>1376</v>
      </c>
      <c r="BD971" t="s">
        <v>79</v>
      </c>
      <c r="BE971" t="s">
        <v>317</v>
      </c>
      <c r="BF971" s="5">
        <v>46935</v>
      </c>
      <c r="BH971">
        <v>3</v>
      </c>
      <c r="BI971" s="6">
        <v>715000</v>
      </c>
      <c r="BJ971" s="6">
        <v>47</v>
      </c>
      <c r="BK971" s="6">
        <v>336050</v>
      </c>
      <c r="BL971" s="6">
        <v>378950</v>
      </c>
      <c r="BM971" s="2">
        <v>1136850</v>
      </c>
      <c r="BN971">
        <f>InvoiceTable[[#This Row],[Giảm giá]]*InvoiceTable[[#This Row],[Số lượng]]</f>
        <v>1008150</v>
      </c>
    </row>
    <row r="972" spans="1:66" x14ac:dyDescent="0.25">
      <c r="A972" t="s">
        <v>65</v>
      </c>
      <c r="B972" t="s">
        <v>2933</v>
      </c>
      <c r="F972" s="2"/>
      <c r="G972" s="3">
        <v>46006.585153391206</v>
      </c>
      <c r="H972" s="3">
        <v>46006.585153391206</v>
      </c>
      <c r="I972" s="4" t="s">
        <v>67</v>
      </c>
      <c r="J972" t="s">
        <v>67</v>
      </c>
      <c r="K972" t="s">
        <v>67</v>
      </c>
      <c r="L972" t="s">
        <v>295</v>
      </c>
      <c r="M972" t="s">
        <v>296</v>
      </c>
      <c r="N972" t="s">
        <v>67</v>
      </c>
      <c r="O972" t="s">
        <v>297</v>
      </c>
      <c r="P972" t="s">
        <v>298</v>
      </c>
      <c r="S972" s="5"/>
      <c r="T972" t="s">
        <v>72</v>
      </c>
      <c r="U972" t="s">
        <v>87</v>
      </c>
      <c r="V972" t="s">
        <v>74</v>
      </c>
      <c r="W972" t="s">
        <v>87</v>
      </c>
      <c r="AE972" s="2"/>
      <c r="AF972" s="2"/>
      <c r="AG972" s="2"/>
      <c r="AH972" s="2"/>
      <c r="AL972" s="2">
        <v>5406200</v>
      </c>
      <c r="AM972" s="2">
        <v>0</v>
      </c>
      <c r="AN972" s="2"/>
      <c r="AO972" s="2">
        <v>0</v>
      </c>
      <c r="AP972" s="2">
        <v>5406200</v>
      </c>
      <c r="AQ972" s="2">
        <v>0</v>
      </c>
      <c r="AR972" s="2">
        <v>0</v>
      </c>
      <c r="AS972" s="2">
        <v>0</v>
      </c>
      <c r="AT972" s="2">
        <v>0</v>
      </c>
      <c r="AU972" s="2">
        <v>0</v>
      </c>
      <c r="AV972" s="2">
        <v>0</v>
      </c>
      <c r="AW972" s="4"/>
      <c r="AX972" t="s">
        <v>75</v>
      </c>
      <c r="AZ972" t="s">
        <v>2934</v>
      </c>
      <c r="BA972" t="s">
        <v>67</v>
      </c>
      <c r="BB972" t="s">
        <v>2935</v>
      </c>
      <c r="BC972" t="s">
        <v>703</v>
      </c>
      <c r="BD972" t="s">
        <v>79</v>
      </c>
      <c r="BE972" t="s">
        <v>177</v>
      </c>
      <c r="BF972" s="5">
        <v>47027</v>
      </c>
      <c r="BH972">
        <v>3</v>
      </c>
      <c r="BI972" s="6">
        <v>460000</v>
      </c>
      <c r="BJ972" s="6">
        <v>47</v>
      </c>
      <c r="BK972" s="6">
        <v>216200</v>
      </c>
      <c r="BL972" s="6">
        <v>243800</v>
      </c>
      <c r="BM972" s="2">
        <v>731400</v>
      </c>
      <c r="BN972">
        <f>InvoiceTable[[#This Row],[Giảm giá]]*InvoiceTable[[#This Row],[Số lượng]]</f>
        <v>648600</v>
      </c>
    </row>
    <row r="973" spans="1:66" x14ac:dyDescent="0.25">
      <c r="A973" t="s">
        <v>65</v>
      </c>
      <c r="B973" t="s">
        <v>2933</v>
      </c>
      <c r="F973" s="2"/>
      <c r="G973" s="3">
        <v>46006.585153391206</v>
      </c>
      <c r="H973" s="3">
        <v>46006.585153391206</v>
      </c>
      <c r="I973" s="4" t="s">
        <v>67</v>
      </c>
      <c r="J973" t="s">
        <v>67</v>
      </c>
      <c r="K973" t="s">
        <v>67</v>
      </c>
      <c r="L973" t="s">
        <v>295</v>
      </c>
      <c r="M973" t="s">
        <v>296</v>
      </c>
      <c r="N973" t="s">
        <v>67</v>
      </c>
      <c r="O973" t="s">
        <v>297</v>
      </c>
      <c r="P973" t="s">
        <v>298</v>
      </c>
      <c r="S973" s="5"/>
      <c r="T973" t="s">
        <v>72</v>
      </c>
      <c r="U973" t="s">
        <v>87</v>
      </c>
      <c r="V973" t="s">
        <v>74</v>
      </c>
      <c r="W973" t="s">
        <v>87</v>
      </c>
      <c r="AE973" s="2"/>
      <c r="AF973" s="2"/>
      <c r="AG973" s="2"/>
      <c r="AH973" s="2"/>
      <c r="AL973" s="2">
        <v>5406200</v>
      </c>
      <c r="AM973" s="2">
        <v>0</v>
      </c>
      <c r="AN973" s="2"/>
      <c r="AO973" s="2">
        <v>0</v>
      </c>
      <c r="AP973" s="2">
        <v>5406200</v>
      </c>
      <c r="AQ973" s="2">
        <v>0</v>
      </c>
      <c r="AR973" s="2">
        <v>0</v>
      </c>
      <c r="AS973" s="2">
        <v>0</v>
      </c>
      <c r="AT973" s="2">
        <v>0</v>
      </c>
      <c r="AU973" s="2">
        <v>0</v>
      </c>
      <c r="AV973" s="2">
        <v>0</v>
      </c>
      <c r="AW973" s="4"/>
      <c r="AX973" t="s">
        <v>75</v>
      </c>
      <c r="AZ973" t="s">
        <v>1435</v>
      </c>
      <c r="BA973" t="s">
        <v>67</v>
      </c>
      <c r="BB973" t="s">
        <v>1436</v>
      </c>
      <c r="BC973" t="s">
        <v>377</v>
      </c>
      <c r="BD973" t="s">
        <v>79</v>
      </c>
      <c r="BE973" t="s">
        <v>188</v>
      </c>
      <c r="BF973" s="5">
        <v>46905</v>
      </c>
      <c r="BH973">
        <v>4</v>
      </c>
      <c r="BI973" s="6">
        <v>1885000</v>
      </c>
      <c r="BJ973" s="6">
        <v>38</v>
      </c>
      <c r="BK973" s="6">
        <v>716300</v>
      </c>
      <c r="BL973" s="6">
        <v>1168700</v>
      </c>
      <c r="BM973" s="2">
        <v>4674800</v>
      </c>
      <c r="BN973">
        <f>InvoiceTable[[#This Row],[Giảm giá]]*InvoiceTable[[#This Row],[Số lượng]]</f>
        <v>2865200</v>
      </c>
    </row>
    <row r="974" spans="1:66" x14ac:dyDescent="0.25">
      <c r="A974" t="s">
        <v>65</v>
      </c>
      <c r="B974" t="s">
        <v>2936</v>
      </c>
      <c r="F974" s="2"/>
      <c r="G974" s="3">
        <v>46006.584488969907</v>
      </c>
      <c r="H974" s="3">
        <v>46006.584489039349</v>
      </c>
      <c r="I974" s="4" t="s">
        <v>67</v>
      </c>
      <c r="J974" t="s">
        <v>67</v>
      </c>
      <c r="K974" t="s">
        <v>67</v>
      </c>
      <c r="L974" t="s">
        <v>2376</v>
      </c>
      <c r="M974" t="s">
        <v>2377</v>
      </c>
      <c r="N974" t="s">
        <v>67</v>
      </c>
      <c r="O974" t="s">
        <v>2378</v>
      </c>
      <c r="P974" t="s">
        <v>2379</v>
      </c>
      <c r="Q974" t="s">
        <v>67</v>
      </c>
      <c r="R974" t="s">
        <v>67</v>
      </c>
      <c r="S974" s="5"/>
      <c r="T974" t="s">
        <v>72</v>
      </c>
      <c r="U974" t="s">
        <v>87</v>
      </c>
      <c r="V974" t="s">
        <v>74</v>
      </c>
      <c r="W974" t="s">
        <v>87</v>
      </c>
      <c r="AE974" s="2"/>
      <c r="AF974" s="2"/>
      <c r="AG974" s="2"/>
      <c r="AH974" s="2"/>
      <c r="AL974" s="2">
        <v>480000</v>
      </c>
      <c r="AM974" s="2">
        <v>0</v>
      </c>
      <c r="AN974" s="2"/>
      <c r="AO974" s="2">
        <v>0</v>
      </c>
      <c r="AP974" s="2">
        <v>480000</v>
      </c>
      <c r="AQ974" s="2">
        <v>0</v>
      </c>
      <c r="AR974" s="2">
        <v>0</v>
      </c>
      <c r="AS974" s="2">
        <v>0</v>
      </c>
      <c r="AT974" s="2">
        <v>0</v>
      </c>
      <c r="AU974" s="2">
        <v>0</v>
      </c>
      <c r="AV974" s="2">
        <v>0</v>
      </c>
      <c r="AW974" s="4"/>
      <c r="AX974" t="s">
        <v>75</v>
      </c>
      <c r="AZ974" t="s">
        <v>663</v>
      </c>
      <c r="BA974" t="s">
        <v>67</v>
      </c>
      <c r="BB974" t="s">
        <v>664</v>
      </c>
      <c r="BC974" t="s">
        <v>665</v>
      </c>
      <c r="BD974" t="s">
        <v>79</v>
      </c>
      <c r="BE974" t="s">
        <v>195</v>
      </c>
      <c r="BF974" s="5">
        <v>46419</v>
      </c>
      <c r="BH974">
        <v>3</v>
      </c>
      <c r="BI974" s="6">
        <v>380000</v>
      </c>
      <c r="BJ974" s="6">
        <v>0</v>
      </c>
      <c r="BK974" s="6">
        <v>220000</v>
      </c>
      <c r="BL974" s="6">
        <v>160000</v>
      </c>
      <c r="BM974" s="2">
        <v>480000</v>
      </c>
      <c r="BN974">
        <f>InvoiceTable[[#This Row],[Giảm giá]]*InvoiceTable[[#This Row],[Số lượng]]</f>
        <v>660000</v>
      </c>
    </row>
    <row r="975" spans="1:66" x14ac:dyDescent="0.25">
      <c r="A975" t="s">
        <v>65</v>
      </c>
      <c r="B975" t="s">
        <v>2937</v>
      </c>
      <c r="F975" s="2"/>
      <c r="G975" s="3">
        <v>46006.583964467594</v>
      </c>
      <c r="H975" s="3">
        <v>46006.583883599538</v>
      </c>
      <c r="I975" s="4" t="s">
        <v>1515</v>
      </c>
      <c r="J975" t="s">
        <v>67</v>
      </c>
      <c r="K975" t="s">
        <v>67</v>
      </c>
      <c r="L975" t="s">
        <v>295</v>
      </c>
      <c r="M975" t="s">
        <v>296</v>
      </c>
      <c r="N975" t="s">
        <v>67</v>
      </c>
      <c r="O975" t="s">
        <v>297</v>
      </c>
      <c r="P975" t="s">
        <v>298</v>
      </c>
      <c r="S975" s="5"/>
      <c r="T975" t="s">
        <v>72</v>
      </c>
      <c r="U975" t="s">
        <v>87</v>
      </c>
      <c r="V975" t="s">
        <v>74</v>
      </c>
      <c r="W975" t="s">
        <v>87</v>
      </c>
      <c r="AE975" s="2"/>
      <c r="AF975" s="2"/>
      <c r="AG975" s="2"/>
      <c r="AH975" s="2"/>
      <c r="AL975" s="2">
        <v>390000</v>
      </c>
      <c r="AM975" s="2">
        <v>0</v>
      </c>
      <c r="AN975" s="2"/>
      <c r="AO975" s="2">
        <v>0</v>
      </c>
      <c r="AP975" s="2">
        <v>390000</v>
      </c>
      <c r="AQ975" s="2">
        <v>0</v>
      </c>
      <c r="AR975" s="2">
        <v>0</v>
      </c>
      <c r="AS975" s="2">
        <v>0</v>
      </c>
      <c r="AT975" s="2">
        <v>0</v>
      </c>
      <c r="AU975" s="2">
        <v>0</v>
      </c>
      <c r="AV975" s="2">
        <v>0</v>
      </c>
      <c r="AW975" s="4"/>
      <c r="AX975" t="s">
        <v>75</v>
      </c>
      <c r="AZ975" t="s">
        <v>1397</v>
      </c>
      <c r="BA975" t="s">
        <v>67</v>
      </c>
      <c r="BB975" t="s">
        <v>1398</v>
      </c>
      <c r="BC975" t="s">
        <v>126</v>
      </c>
      <c r="BD975" t="s">
        <v>79</v>
      </c>
      <c r="BE975" t="s">
        <v>131</v>
      </c>
      <c r="BF975" s="5">
        <v>46874</v>
      </c>
      <c r="BG975" t="s">
        <v>67</v>
      </c>
      <c r="BH975">
        <v>3</v>
      </c>
      <c r="BI975" s="6">
        <v>350000</v>
      </c>
      <c r="BJ975" s="6">
        <v>0</v>
      </c>
      <c r="BK975" s="6">
        <v>220000</v>
      </c>
      <c r="BL975" s="6">
        <v>130000</v>
      </c>
      <c r="BM975" s="2">
        <v>390000</v>
      </c>
      <c r="BN975">
        <f>InvoiceTable[[#This Row],[Giảm giá]]*InvoiceTable[[#This Row],[Số lượng]]</f>
        <v>660000</v>
      </c>
    </row>
    <row r="976" spans="1:66" x14ac:dyDescent="0.25">
      <c r="A976" t="s">
        <v>65</v>
      </c>
      <c r="B976" t="s">
        <v>2938</v>
      </c>
      <c r="F976" s="2"/>
      <c r="G976" s="3">
        <v>46006.571021793985</v>
      </c>
      <c r="H976" s="3">
        <v>46006.571021875003</v>
      </c>
      <c r="I976" s="4" t="s">
        <v>67</v>
      </c>
      <c r="J976" t="s">
        <v>67</v>
      </c>
      <c r="K976" t="s">
        <v>67</v>
      </c>
      <c r="L976" t="s">
        <v>876</v>
      </c>
      <c r="M976" t="s">
        <v>877</v>
      </c>
      <c r="N976" t="s">
        <v>67</v>
      </c>
      <c r="O976" t="s">
        <v>878</v>
      </c>
      <c r="P976" t="s">
        <v>879</v>
      </c>
      <c r="Q976" t="s">
        <v>880</v>
      </c>
      <c r="R976" t="s">
        <v>881</v>
      </c>
      <c r="S976" s="5"/>
      <c r="T976" t="s">
        <v>72</v>
      </c>
      <c r="U976" t="s">
        <v>87</v>
      </c>
      <c r="V976" t="s">
        <v>74</v>
      </c>
      <c r="W976" t="s">
        <v>87</v>
      </c>
      <c r="AE976" s="2"/>
      <c r="AF976" s="2"/>
      <c r="AG976" s="2"/>
      <c r="AH976" s="2"/>
      <c r="AL976" s="2">
        <v>2671200</v>
      </c>
      <c r="AM976" s="2">
        <v>0</v>
      </c>
      <c r="AN976" s="2"/>
      <c r="AO976" s="2">
        <v>0</v>
      </c>
      <c r="AP976" s="2">
        <v>2671200</v>
      </c>
      <c r="AQ976" s="2">
        <v>0</v>
      </c>
      <c r="AR976" s="2">
        <v>0</v>
      </c>
      <c r="AS976" s="2">
        <v>0</v>
      </c>
      <c r="AT976" s="2">
        <v>0</v>
      </c>
      <c r="AU976" s="2">
        <v>0</v>
      </c>
      <c r="AV976" s="2">
        <v>0</v>
      </c>
      <c r="AW976" s="4"/>
      <c r="AX976" t="s">
        <v>75</v>
      </c>
      <c r="AZ976" t="s">
        <v>283</v>
      </c>
      <c r="BA976" t="s">
        <v>67</v>
      </c>
      <c r="BB976" t="s">
        <v>284</v>
      </c>
      <c r="BC976" t="s">
        <v>285</v>
      </c>
      <c r="BD976" t="s">
        <v>79</v>
      </c>
      <c r="BE976" t="s">
        <v>117</v>
      </c>
      <c r="BF976" s="5">
        <v>46569</v>
      </c>
      <c r="BH976">
        <v>3</v>
      </c>
      <c r="BI976" s="6">
        <v>1680000</v>
      </c>
      <c r="BJ976" s="6">
        <v>47</v>
      </c>
      <c r="BK976" s="6">
        <v>789600</v>
      </c>
      <c r="BL976" s="6">
        <v>890400</v>
      </c>
      <c r="BM976" s="2">
        <v>2671200</v>
      </c>
      <c r="BN976">
        <f>InvoiceTable[[#This Row],[Giảm giá]]*InvoiceTable[[#This Row],[Số lượng]]</f>
        <v>2368800</v>
      </c>
    </row>
    <row r="977" spans="1:66" x14ac:dyDescent="0.25">
      <c r="A977" t="s">
        <v>65</v>
      </c>
      <c r="B977" t="s">
        <v>2939</v>
      </c>
      <c r="F977" s="2"/>
      <c r="G977" s="3">
        <v>46006.569873842593</v>
      </c>
      <c r="H977" s="3">
        <v>46006.570384571758</v>
      </c>
      <c r="I977" s="4" t="s">
        <v>67</v>
      </c>
      <c r="J977" t="s">
        <v>67</v>
      </c>
      <c r="K977" t="s">
        <v>67</v>
      </c>
      <c r="L977" t="s">
        <v>876</v>
      </c>
      <c r="M977" t="s">
        <v>877</v>
      </c>
      <c r="N977" t="s">
        <v>67</v>
      </c>
      <c r="O977" t="s">
        <v>878</v>
      </c>
      <c r="P977" t="s">
        <v>879</v>
      </c>
      <c r="Q977" t="s">
        <v>880</v>
      </c>
      <c r="R977" t="s">
        <v>881</v>
      </c>
      <c r="S977" s="5"/>
      <c r="T977" t="s">
        <v>72</v>
      </c>
      <c r="U977" t="s">
        <v>87</v>
      </c>
      <c r="V977" t="s">
        <v>74</v>
      </c>
      <c r="W977" t="s">
        <v>87</v>
      </c>
      <c r="AE977" s="2"/>
      <c r="AF977" s="2"/>
      <c r="AG977" s="2"/>
      <c r="AH977" s="2"/>
      <c r="AL977" s="2">
        <v>34676600</v>
      </c>
      <c r="AM977" s="2">
        <v>0</v>
      </c>
      <c r="AN977" s="2"/>
      <c r="AO977" s="2">
        <v>0</v>
      </c>
      <c r="AP977" s="2">
        <v>34676600</v>
      </c>
      <c r="AQ977" s="2">
        <v>0</v>
      </c>
      <c r="AR977" s="2">
        <v>0</v>
      </c>
      <c r="AS977" s="2">
        <v>0</v>
      </c>
      <c r="AT977" s="2">
        <v>0</v>
      </c>
      <c r="AU977" s="2">
        <v>0</v>
      </c>
      <c r="AV977" s="2">
        <v>0</v>
      </c>
      <c r="AW977" s="4"/>
      <c r="AX977" t="s">
        <v>75</v>
      </c>
      <c r="AZ977" t="s">
        <v>922</v>
      </c>
      <c r="BA977" t="s">
        <v>67</v>
      </c>
      <c r="BB977" t="s">
        <v>923</v>
      </c>
      <c r="BC977" t="s">
        <v>187</v>
      </c>
      <c r="BD977" t="s">
        <v>79</v>
      </c>
      <c r="BE977" t="s">
        <v>177</v>
      </c>
      <c r="BF977" s="5">
        <v>47027</v>
      </c>
      <c r="BH977">
        <v>5</v>
      </c>
      <c r="BI977" s="6">
        <v>690000</v>
      </c>
      <c r="BJ977" s="6">
        <v>60</v>
      </c>
      <c r="BK977" s="6">
        <v>414000</v>
      </c>
      <c r="BL977" s="6">
        <v>276000</v>
      </c>
      <c r="BM977" s="2">
        <v>1380000</v>
      </c>
      <c r="BN977">
        <f>InvoiceTable[[#This Row],[Giảm giá]]*InvoiceTable[[#This Row],[Số lượng]]</f>
        <v>2070000</v>
      </c>
    </row>
    <row r="978" spans="1:66" x14ac:dyDescent="0.25">
      <c r="A978" t="s">
        <v>65</v>
      </c>
      <c r="B978" t="s">
        <v>2939</v>
      </c>
      <c r="F978" s="2"/>
      <c r="G978" s="3">
        <v>46006.569873842593</v>
      </c>
      <c r="H978" s="3">
        <v>46006.570384571758</v>
      </c>
      <c r="I978" s="4" t="s">
        <v>67</v>
      </c>
      <c r="J978" t="s">
        <v>67</v>
      </c>
      <c r="K978" t="s">
        <v>67</v>
      </c>
      <c r="L978" t="s">
        <v>876</v>
      </c>
      <c r="M978" t="s">
        <v>877</v>
      </c>
      <c r="N978" t="s">
        <v>67</v>
      </c>
      <c r="O978" t="s">
        <v>878</v>
      </c>
      <c r="P978" t="s">
        <v>879</v>
      </c>
      <c r="Q978" t="s">
        <v>880</v>
      </c>
      <c r="R978" t="s">
        <v>881</v>
      </c>
      <c r="S978" s="5"/>
      <c r="T978" t="s">
        <v>72</v>
      </c>
      <c r="U978" t="s">
        <v>87</v>
      </c>
      <c r="V978" t="s">
        <v>74</v>
      </c>
      <c r="W978" t="s">
        <v>87</v>
      </c>
      <c r="AE978" s="2"/>
      <c r="AF978" s="2"/>
      <c r="AG978" s="2"/>
      <c r="AH978" s="2"/>
      <c r="AL978" s="2">
        <v>34676600</v>
      </c>
      <c r="AM978" s="2">
        <v>0</v>
      </c>
      <c r="AN978" s="2"/>
      <c r="AO978" s="2">
        <v>0</v>
      </c>
      <c r="AP978" s="2">
        <v>34676600</v>
      </c>
      <c r="AQ978" s="2">
        <v>0</v>
      </c>
      <c r="AR978" s="2">
        <v>0</v>
      </c>
      <c r="AS978" s="2">
        <v>0</v>
      </c>
      <c r="AT978" s="2">
        <v>0</v>
      </c>
      <c r="AU978" s="2">
        <v>0</v>
      </c>
      <c r="AV978" s="2">
        <v>0</v>
      </c>
      <c r="AW978" s="4"/>
      <c r="AX978" t="s">
        <v>75</v>
      </c>
      <c r="AZ978" t="s">
        <v>2940</v>
      </c>
      <c r="BA978" t="s">
        <v>67</v>
      </c>
      <c r="BB978" t="s">
        <v>2941</v>
      </c>
      <c r="BC978" t="s">
        <v>344</v>
      </c>
      <c r="BD978" t="s">
        <v>79</v>
      </c>
      <c r="BE978" t="s">
        <v>142</v>
      </c>
      <c r="BF978" s="5">
        <v>46844</v>
      </c>
      <c r="BH978">
        <v>3</v>
      </c>
      <c r="BI978" s="6">
        <v>1780000</v>
      </c>
      <c r="BJ978" s="6">
        <v>45</v>
      </c>
      <c r="BK978" s="6">
        <v>801000</v>
      </c>
      <c r="BL978" s="6">
        <v>979000</v>
      </c>
      <c r="BM978" s="2">
        <v>2937000</v>
      </c>
      <c r="BN978">
        <f>InvoiceTable[[#This Row],[Giảm giá]]*InvoiceTable[[#This Row],[Số lượng]]</f>
        <v>2403000</v>
      </c>
    </row>
    <row r="979" spans="1:66" x14ac:dyDescent="0.25">
      <c r="A979" t="s">
        <v>65</v>
      </c>
      <c r="B979" t="s">
        <v>2939</v>
      </c>
      <c r="F979" s="2"/>
      <c r="G979" s="3">
        <v>46006.569873842593</v>
      </c>
      <c r="H979" s="3">
        <v>46006.570384571758</v>
      </c>
      <c r="I979" s="4" t="s">
        <v>67</v>
      </c>
      <c r="J979" t="s">
        <v>67</v>
      </c>
      <c r="K979" t="s">
        <v>67</v>
      </c>
      <c r="L979" t="s">
        <v>876</v>
      </c>
      <c r="M979" t="s">
        <v>877</v>
      </c>
      <c r="N979" t="s">
        <v>67</v>
      </c>
      <c r="O979" t="s">
        <v>878</v>
      </c>
      <c r="P979" t="s">
        <v>879</v>
      </c>
      <c r="Q979" t="s">
        <v>880</v>
      </c>
      <c r="R979" t="s">
        <v>881</v>
      </c>
      <c r="S979" s="5"/>
      <c r="T979" t="s">
        <v>72</v>
      </c>
      <c r="U979" t="s">
        <v>87</v>
      </c>
      <c r="V979" t="s">
        <v>74</v>
      </c>
      <c r="W979" t="s">
        <v>87</v>
      </c>
      <c r="AE979" s="2"/>
      <c r="AF979" s="2"/>
      <c r="AG979" s="2"/>
      <c r="AH979" s="2"/>
      <c r="AL979" s="2">
        <v>34676600</v>
      </c>
      <c r="AM979" s="2">
        <v>0</v>
      </c>
      <c r="AN979" s="2"/>
      <c r="AO979" s="2">
        <v>0</v>
      </c>
      <c r="AP979" s="2">
        <v>34676600</v>
      </c>
      <c r="AQ979" s="2">
        <v>0</v>
      </c>
      <c r="AR979" s="2">
        <v>0</v>
      </c>
      <c r="AS979" s="2">
        <v>0</v>
      </c>
      <c r="AT979" s="2">
        <v>0</v>
      </c>
      <c r="AU979" s="2">
        <v>0</v>
      </c>
      <c r="AV979" s="2">
        <v>0</v>
      </c>
      <c r="AW979" s="4"/>
      <c r="AX979" t="s">
        <v>75</v>
      </c>
      <c r="AZ979" t="s">
        <v>806</v>
      </c>
      <c r="BA979" t="s">
        <v>67</v>
      </c>
      <c r="BB979" t="s">
        <v>807</v>
      </c>
      <c r="BC979" t="s">
        <v>78</v>
      </c>
      <c r="BD979" t="s">
        <v>79</v>
      </c>
      <c r="BE979" t="s">
        <v>188</v>
      </c>
      <c r="BF979" s="5">
        <v>46905</v>
      </c>
      <c r="BH979">
        <v>10</v>
      </c>
      <c r="BI979" s="6">
        <v>5300000</v>
      </c>
      <c r="BJ979" s="6">
        <v>53</v>
      </c>
      <c r="BK979" s="6">
        <v>2809000</v>
      </c>
      <c r="BL979" s="6">
        <v>2491000</v>
      </c>
      <c r="BM979" s="2">
        <v>24910000</v>
      </c>
      <c r="BN979">
        <f>InvoiceTable[[#This Row],[Giảm giá]]*InvoiceTable[[#This Row],[Số lượng]]</f>
        <v>28090000</v>
      </c>
    </row>
    <row r="980" spans="1:66" x14ac:dyDescent="0.25">
      <c r="A980" t="s">
        <v>65</v>
      </c>
      <c r="B980" t="s">
        <v>2939</v>
      </c>
      <c r="F980" s="2"/>
      <c r="G980" s="3">
        <v>46006.569873842593</v>
      </c>
      <c r="H980" s="3">
        <v>46006.570384571758</v>
      </c>
      <c r="I980" s="4" t="s">
        <v>67</v>
      </c>
      <c r="J980" t="s">
        <v>67</v>
      </c>
      <c r="K980" t="s">
        <v>67</v>
      </c>
      <c r="L980" t="s">
        <v>876</v>
      </c>
      <c r="M980" t="s">
        <v>877</v>
      </c>
      <c r="N980" t="s">
        <v>67</v>
      </c>
      <c r="O980" t="s">
        <v>878</v>
      </c>
      <c r="P980" t="s">
        <v>879</v>
      </c>
      <c r="Q980" t="s">
        <v>880</v>
      </c>
      <c r="R980" t="s">
        <v>881</v>
      </c>
      <c r="S980" s="5"/>
      <c r="T980" t="s">
        <v>72</v>
      </c>
      <c r="U980" t="s">
        <v>87</v>
      </c>
      <c r="V980" t="s">
        <v>74</v>
      </c>
      <c r="W980" t="s">
        <v>87</v>
      </c>
      <c r="AE980" s="2"/>
      <c r="AF980" s="2"/>
      <c r="AG980" s="2"/>
      <c r="AH980" s="2"/>
      <c r="AL980" s="2">
        <v>34676600</v>
      </c>
      <c r="AM980" s="2">
        <v>0</v>
      </c>
      <c r="AN980" s="2"/>
      <c r="AO980" s="2">
        <v>0</v>
      </c>
      <c r="AP980" s="2">
        <v>34676600</v>
      </c>
      <c r="AQ980" s="2">
        <v>0</v>
      </c>
      <c r="AR980" s="2">
        <v>0</v>
      </c>
      <c r="AS980" s="2">
        <v>0</v>
      </c>
      <c r="AT980" s="2">
        <v>0</v>
      </c>
      <c r="AU980" s="2">
        <v>0</v>
      </c>
      <c r="AV980" s="2">
        <v>0</v>
      </c>
      <c r="AW980" s="4"/>
      <c r="AX980" t="s">
        <v>75</v>
      </c>
      <c r="AZ980" t="s">
        <v>771</v>
      </c>
      <c r="BA980" t="s">
        <v>67</v>
      </c>
      <c r="BB980" t="s">
        <v>772</v>
      </c>
      <c r="BC980" t="s">
        <v>770</v>
      </c>
      <c r="BD980" t="s">
        <v>79</v>
      </c>
      <c r="BE980" t="s">
        <v>177</v>
      </c>
      <c r="BF980" s="5">
        <v>47027</v>
      </c>
      <c r="BH980">
        <v>20</v>
      </c>
      <c r="BI980" s="6">
        <v>399000</v>
      </c>
      <c r="BJ980" s="6">
        <v>48</v>
      </c>
      <c r="BK980" s="6">
        <v>191520</v>
      </c>
      <c r="BL980" s="6">
        <v>207480</v>
      </c>
      <c r="BM980" s="2">
        <v>4149600</v>
      </c>
      <c r="BN980">
        <f>InvoiceTable[[#This Row],[Giảm giá]]*InvoiceTable[[#This Row],[Số lượng]]</f>
        <v>3830400</v>
      </c>
    </row>
    <row r="981" spans="1:66" x14ac:dyDescent="0.25">
      <c r="A981" t="s">
        <v>65</v>
      </c>
      <c r="B981" t="s">
        <v>2939</v>
      </c>
      <c r="F981" s="2"/>
      <c r="G981" s="3">
        <v>46006.569873842593</v>
      </c>
      <c r="H981" s="3">
        <v>46006.570384571758</v>
      </c>
      <c r="I981" s="4" t="s">
        <v>67</v>
      </c>
      <c r="J981" t="s">
        <v>67</v>
      </c>
      <c r="K981" t="s">
        <v>67</v>
      </c>
      <c r="L981" t="s">
        <v>876</v>
      </c>
      <c r="M981" t="s">
        <v>877</v>
      </c>
      <c r="N981" t="s">
        <v>67</v>
      </c>
      <c r="O981" t="s">
        <v>878</v>
      </c>
      <c r="P981" t="s">
        <v>879</v>
      </c>
      <c r="Q981" t="s">
        <v>880</v>
      </c>
      <c r="R981" t="s">
        <v>881</v>
      </c>
      <c r="S981" s="5"/>
      <c r="T981" t="s">
        <v>72</v>
      </c>
      <c r="U981" t="s">
        <v>87</v>
      </c>
      <c r="V981" t="s">
        <v>74</v>
      </c>
      <c r="W981" t="s">
        <v>87</v>
      </c>
      <c r="AE981" s="2"/>
      <c r="AF981" s="2"/>
      <c r="AG981" s="2"/>
      <c r="AH981" s="2"/>
      <c r="AL981" s="2">
        <v>34676600</v>
      </c>
      <c r="AM981" s="2">
        <v>0</v>
      </c>
      <c r="AN981" s="2"/>
      <c r="AO981" s="2">
        <v>0</v>
      </c>
      <c r="AP981" s="2">
        <v>34676600</v>
      </c>
      <c r="AQ981" s="2">
        <v>0</v>
      </c>
      <c r="AR981" s="2">
        <v>0</v>
      </c>
      <c r="AS981" s="2">
        <v>0</v>
      </c>
      <c r="AT981" s="2">
        <v>0</v>
      </c>
      <c r="AU981" s="2">
        <v>0</v>
      </c>
      <c r="AV981" s="2">
        <v>0</v>
      </c>
      <c r="AW981" s="4"/>
      <c r="AX981" t="s">
        <v>75</v>
      </c>
      <c r="AZ981" t="s">
        <v>1215</v>
      </c>
      <c r="BA981" t="s">
        <v>67</v>
      </c>
      <c r="BB981" t="s">
        <v>1216</v>
      </c>
      <c r="BC981" t="s">
        <v>770</v>
      </c>
      <c r="BD981" t="s">
        <v>79</v>
      </c>
      <c r="BE981" t="s">
        <v>198</v>
      </c>
      <c r="BF981" s="5">
        <v>46753</v>
      </c>
      <c r="BH981">
        <v>10</v>
      </c>
      <c r="BI981" s="6">
        <v>250000</v>
      </c>
      <c r="BJ981" s="6">
        <v>48</v>
      </c>
      <c r="BK981" s="6">
        <v>120000</v>
      </c>
      <c r="BL981" s="6">
        <v>130000</v>
      </c>
      <c r="BM981" s="2">
        <v>1300000</v>
      </c>
      <c r="BN981">
        <f>InvoiceTable[[#This Row],[Giảm giá]]*InvoiceTable[[#This Row],[Số lượng]]</f>
        <v>1200000</v>
      </c>
    </row>
    <row r="982" spans="1:66" x14ac:dyDescent="0.25">
      <c r="A982" t="s">
        <v>65</v>
      </c>
      <c r="B982" t="s">
        <v>2942</v>
      </c>
      <c r="F982" s="2"/>
      <c r="G982" s="3">
        <v>46006.502582638888</v>
      </c>
      <c r="H982" s="3">
        <v>46006.502571215278</v>
      </c>
      <c r="I982" s="4" t="s">
        <v>2803</v>
      </c>
      <c r="J982" t="s">
        <v>67</v>
      </c>
      <c r="K982" t="s">
        <v>67</v>
      </c>
      <c r="L982" t="s">
        <v>766</v>
      </c>
      <c r="M982" t="s">
        <v>767</v>
      </c>
      <c r="N982" t="s">
        <v>67</v>
      </c>
      <c r="Q982" t="s">
        <v>67</v>
      </c>
      <c r="R982" t="s">
        <v>67</v>
      </c>
      <c r="S982" s="5"/>
      <c r="T982" t="s">
        <v>72</v>
      </c>
      <c r="U982" t="s">
        <v>87</v>
      </c>
      <c r="V982" t="s">
        <v>74</v>
      </c>
      <c r="W982" t="s">
        <v>87</v>
      </c>
      <c r="AE982" s="2"/>
      <c r="AF982" s="2"/>
      <c r="AG982" s="2"/>
      <c r="AH982" s="2"/>
      <c r="AL982" s="2">
        <v>9900000</v>
      </c>
      <c r="AM982" s="2">
        <v>0</v>
      </c>
      <c r="AN982" s="2"/>
      <c r="AO982" s="2">
        <v>0</v>
      </c>
      <c r="AP982" s="2">
        <v>9900000</v>
      </c>
      <c r="AQ982" s="2">
        <v>0</v>
      </c>
      <c r="AR982" s="2">
        <v>0</v>
      </c>
      <c r="AS982" s="2">
        <v>0</v>
      </c>
      <c r="AT982" s="2">
        <v>0</v>
      </c>
      <c r="AU982" s="2">
        <v>0</v>
      </c>
      <c r="AV982" s="2">
        <v>0</v>
      </c>
      <c r="AW982" s="4"/>
      <c r="AX982" t="s">
        <v>75</v>
      </c>
      <c r="AZ982" t="s">
        <v>674</v>
      </c>
      <c r="BA982" t="s">
        <v>67</v>
      </c>
      <c r="BB982" t="s">
        <v>675</v>
      </c>
      <c r="BC982" t="s">
        <v>676</v>
      </c>
      <c r="BD982" t="s">
        <v>79</v>
      </c>
      <c r="BE982" t="s">
        <v>677</v>
      </c>
      <c r="BF982" s="5">
        <v>46943</v>
      </c>
      <c r="BH982">
        <v>2</v>
      </c>
      <c r="BI982" s="6">
        <v>1690000</v>
      </c>
      <c r="BJ982" s="6">
        <v>0</v>
      </c>
      <c r="BK982" s="6">
        <v>590000</v>
      </c>
      <c r="BL982" s="6">
        <v>1100000</v>
      </c>
      <c r="BM982" s="2">
        <v>2200000</v>
      </c>
      <c r="BN982">
        <f>InvoiceTable[[#This Row],[Giảm giá]]*InvoiceTable[[#This Row],[Số lượng]]</f>
        <v>1180000</v>
      </c>
    </row>
    <row r="983" spans="1:66" x14ac:dyDescent="0.25">
      <c r="A983" t="s">
        <v>65</v>
      </c>
      <c r="B983" t="s">
        <v>2942</v>
      </c>
      <c r="F983" s="2"/>
      <c r="G983" s="3">
        <v>46006.502582638888</v>
      </c>
      <c r="H983" s="3">
        <v>46006.502571215278</v>
      </c>
      <c r="I983" s="4" t="s">
        <v>2803</v>
      </c>
      <c r="J983" t="s">
        <v>67</v>
      </c>
      <c r="K983" t="s">
        <v>67</v>
      </c>
      <c r="L983" t="s">
        <v>766</v>
      </c>
      <c r="M983" t="s">
        <v>767</v>
      </c>
      <c r="N983" t="s">
        <v>67</v>
      </c>
      <c r="Q983" t="s">
        <v>67</v>
      </c>
      <c r="R983" t="s">
        <v>67</v>
      </c>
      <c r="S983" s="5"/>
      <c r="T983" t="s">
        <v>72</v>
      </c>
      <c r="U983" t="s">
        <v>87</v>
      </c>
      <c r="V983" t="s">
        <v>74</v>
      </c>
      <c r="W983" t="s">
        <v>87</v>
      </c>
      <c r="AE983" s="2"/>
      <c r="AF983" s="2"/>
      <c r="AG983" s="2"/>
      <c r="AH983" s="2"/>
      <c r="AL983" s="2">
        <v>9900000</v>
      </c>
      <c r="AM983" s="2">
        <v>0</v>
      </c>
      <c r="AN983" s="2"/>
      <c r="AO983" s="2">
        <v>0</v>
      </c>
      <c r="AP983" s="2">
        <v>9900000</v>
      </c>
      <c r="AQ983" s="2">
        <v>0</v>
      </c>
      <c r="AR983" s="2">
        <v>0</v>
      </c>
      <c r="AS983" s="2">
        <v>0</v>
      </c>
      <c r="AT983" s="2">
        <v>0</v>
      </c>
      <c r="AU983" s="2">
        <v>0</v>
      </c>
      <c r="AV983" s="2">
        <v>0</v>
      </c>
      <c r="AW983" s="4"/>
      <c r="AX983" t="s">
        <v>75</v>
      </c>
      <c r="AZ983" t="s">
        <v>1494</v>
      </c>
      <c r="BA983" t="s">
        <v>67</v>
      </c>
      <c r="BB983" t="s">
        <v>1495</v>
      </c>
      <c r="BC983" t="s">
        <v>676</v>
      </c>
      <c r="BD983" t="s">
        <v>79</v>
      </c>
      <c r="BE983" t="s">
        <v>117</v>
      </c>
      <c r="BF983" s="5">
        <v>46569</v>
      </c>
      <c r="BH983">
        <v>3</v>
      </c>
      <c r="BI983" s="6">
        <v>1690000</v>
      </c>
      <c r="BJ983" s="6">
        <v>0</v>
      </c>
      <c r="BK983" s="6">
        <v>590000</v>
      </c>
      <c r="BL983" s="6">
        <v>1100000</v>
      </c>
      <c r="BM983" s="2">
        <v>3300000</v>
      </c>
      <c r="BN983">
        <f>InvoiceTable[[#This Row],[Giảm giá]]*InvoiceTable[[#This Row],[Số lượng]]</f>
        <v>1770000</v>
      </c>
    </row>
    <row r="984" spans="1:66" x14ac:dyDescent="0.25">
      <c r="A984" t="s">
        <v>65</v>
      </c>
      <c r="B984" t="s">
        <v>2942</v>
      </c>
      <c r="F984" s="2"/>
      <c r="G984" s="3">
        <v>46006.502582638888</v>
      </c>
      <c r="H984" s="3">
        <v>46006.502571215278</v>
      </c>
      <c r="I984" s="4" t="s">
        <v>2803</v>
      </c>
      <c r="J984" t="s">
        <v>67</v>
      </c>
      <c r="K984" t="s">
        <v>67</v>
      </c>
      <c r="L984" t="s">
        <v>766</v>
      </c>
      <c r="M984" t="s">
        <v>767</v>
      </c>
      <c r="N984" t="s">
        <v>67</v>
      </c>
      <c r="Q984" t="s">
        <v>67</v>
      </c>
      <c r="R984" t="s">
        <v>67</v>
      </c>
      <c r="S984" s="5"/>
      <c r="T984" t="s">
        <v>72</v>
      </c>
      <c r="U984" t="s">
        <v>87</v>
      </c>
      <c r="V984" t="s">
        <v>74</v>
      </c>
      <c r="W984" t="s">
        <v>87</v>
      </c>
      <c r="AE984" s="2"/>
      <c r="AF984" s="2"/>
      <c r="AG984" s="2"/>
      <c r="AH984" s="2"/>
      <c r="AL984" s="2">
        <v>9900000</v>
      </c>
      <c r="AM984" s="2">
        <v>0</v>
      </c>
      <c r="AN984" s="2"/>
      <c r="AO984" s="2">
        <v>0</v>
      </c>
      <c r="AP984" s="2">
        <v>9900000</v>
      </c>
      <c r="AQ984" s="2">
        <v>0</v>
      </c>
      <c r="AR984" s="2">
        <v>0</v>
      </c>
      <c r="AS984" s="2">
        <v>0</v>
      </c>
      <c r="AT984" s="2">
        <v>0</v>
      </c>
      <c r="AU984" s="2">
        <v>0</v>
      </c>
      <c r="AV984" s="2">
        <v>0</v>
      </c>
      <c r="AW984" s="4"/>
      <c r="AX984" t="s">
        <v>75</v>
      </c>
      <c r="AZ984" t="s">
        <v>1494</v>
      </c>
      <c r="BA984" t="s">
        <v>67</v>
      </c>
      <c r="BB984" t="s">
        <v>1495</v>
      </c>
      <c r="BC984" t="s">
        <v>676</v>
      </c>
      <c r="BD984" t="s">
        <v>79</v>
      </c>
      <c r="BE984" t="s">
        <v>482</v>
      </c>
      <c r="BF984" s="5">
        <v>46773</v>
      </c>
      <c r="BG984" t="s">
        <v>67</v>
      </c>
      <c r="BH984">
        <v>2</v>
      </c>
      <c r="BI984" s="6">
        <v>1690000</v>
      </c>
      <c r="BJ984" s="6">
        <v>0</v>
      </c>
      <c r="BK984" s="6">
        <v>590000</v>
      </c>
      <c r="BL984" s="6">
        <v>1100000</v>
      </c>
      <c r="BM984" s="2">
        <v>2200000</v>
      </c>
      <c r="BN984">
        <f>InvoiceTable[[#This Row],[Giảm giá]]*InvoiceTable[[#This Row],[Số lượng]]</f>
        <v>1180000</v>
      </c>
    </row>
    <row r="985" spans="1:66" x14ac:dyDescent="0.25">
      <c r="A985" t="s">
        <v>65</v>
      </c>
      <c r="B985" t="s">
        <v>2942</v>
      </c>
      <c r="F985" s="2"/>
      <c r="G985" s="3">
        <v>46006.502582638888</v>
      </c>
      <c r="H985" s="3">
        <v>46006.502571215278</v>
      </c>
      <c r="I985" s="4" t="s">
        <v>2803</v>
      </c>
      <c r="J985" t="s">
        <v>67</v>
      </c>
      <c r="K985" t="s">
        <v>67</v>
      </c>
      <c r="L985" t="s">
        <v>766</v>
      </c>
      <c r="M985" t="s">
        <v>767</v>
      </c>
      <c r="N985" t="s">
        <v>67</v>
      </c>
      <c r="Q985" t="s">
        <v>67</v>
      </c>
      <c r="R985" t="s">
        <v>67</v>
      </c>
      <c r="S985" s="5"/>
      <c r="T985" t="s">
        <v>72</v>
      </c>
      <c r="U985" t="s">
        <v>87</v>
      </c>
      <c r="V985" t="s">
        <v>74</v>
      </c>
      <c r="W985" t="s">
        <v>87</v>
      </c>
      <c r="AE985" s="2"/>
      <c r="AF985" s="2"/>
      <c r="AG985" s="2"/>
      <c r="AH985" s="2"/>
      <c r="AL985" s="2">
        <v>9900000</v>
      </c>
      <c r="AM985" s="2">
        <v>0</v>
      </c>
      <c r="AN985" s="2"/>
      <c r="AO985" s="2">
        <v>0</v>
      </c>
      <c r="AP985" s="2">
        <v>9900000</v>
      </c>
      <c r="AQ985" s="2">
        <v>0</v>
      </c>
      <c r="AR985" s="2">
        <v>0</v>
      </c>
      <c r="AS985" s="2">
        <v>0</v>
      </c>
      <c r="AT985" s="2">
        <v>0</v>
      </c>
      <c r="AU985" s="2">
        <v>0</v>
      </c>
      <c r="AV985" s="2">
        <v>0</v>
      </c>
      <c r="AW985" s="4"/>
      <c r="AX985" t="s">
        <v>75</v>
      </c>
      <c r="AZ985" t="s">
        <v>1019</v>
      </c>
      <c r="BA985" t="s">
        <v>67</v>
      </c>
      <c r="BB985" t="s">
        <v>1020</v>
      </c>
      <c r="BC985" t="s">
        <v>676</v>
      </c>
      <c r="BD985" t="s">
        <v>79</v>
      </c>
      <c r="BE985" t="s">
        <v>131</v>
      </c>
      <c r="BF985" s="5">
        <v>46874</v>
      </c>
      <c r="BH985">
        <v>2</v>
      </c>
      <c r="BI985" s="6">
        <v>1690000</v>
      </c>
      <c r="BJ985" s="6">
        <v>0</v>
      </c>
      <c r="BK985" s="6">
        <v>590000</v>
      </c>
      <c r="BL985" s="6">
        <v>1100000</v>
      </c>
      <c r="BM985" s="2">
        <v>2200000</v>
      </c>
      <c r="BN985">
        <f>InvoiceTable[[#This Row],[Giảm giá]]*InvoiceTable[[#This Row],[Số lượng]]</f>
        <v>1180000</v>
      </c>
    </row>
    <row r="986" spans="1:66" x14ac:dyDescent="0.25">
      <c r="A986" t="s">
        <v>65</v>
      </c>
      <c r="B986" t="s">
        <v>2943</v>
      </c>
      <c r="F986" s="2"/>
      <c r="G986" s="3">
        <v>46006.501689699071</v>
      </c>
      <c r="H986" s="3">
        <v>46006.501689780096</v>
      </c>
      <c r="I986" s="4" t="s">
        <v>67</v>
      </c>
      <c r="J986" t="s">
        <v>67</v>
      </c>
      <c r="K986" t="s">
        <v>67</v>
      </c>
      <c r="L986" t="s">
        <v>766</v>
      </c>
      <c r="M986" t="s">
        <v>767</v>
      </c>
      <c r="N986" t="s">
        <v>67</v>
      </c>
      <c r="Q986" t="s">
        <v>67</v>
      </c>
      <c r="R986" t="s">
        <v>67</v>
      </c>
      <c r="S986" s="5"/>
      <c r="T986" t="s">
        <v>72</v>
      </c>
      <c r="U986" t="s">
        <v>87</v>
      </c>
      <c r="V986" t="s">
        <v>74</v>
      </c>
      <c r="W986" t="s">
        <v>87</v>
      </c>
      <c r="AE986" s="2"/>
      <c r="AF986" s="2"/>
      <c r="AG986" s="2"/>
      <c r="AH986" s="2"/>
      <c r="AL986" s="2">
        <v>602640</v>
      </c>
      <c r="AM986" s="2">
        <v>0</v>
      </c>
      <c r="AN986" s="2"/>
      <c r="AO986" s="2">
        <v>0</v>
      </c>
      <c r="AP986" s="2">
        <v>602640</v>
      </c>
      <c r="AQ986" s="2">
        <v>0</v>
      </c>
      <c r="AR986" s="2">
        <v>0</v>
      </c>
      <c r="AS986" s="2">
        <v>0</v>
      </c>
      <c r="AT986" s="2">
        <v>0</v>
      </c>
      <c r="AU986" s="2">
        <v>0</v>
      </c>
      <c r="AV986" s="2">
        <v>0</v>
      </c>
      <c r="AW986" s="4"/>
      <c r="AX986" t="s">
        <v>75</v>
      </c>
      <c r="AZ986" t="s">
        <v>2944</v>
      </c>
      <c r="BA986" t="s">
        <v>67</v>
      </c>
      <c r="BB986" t="s">
        <v>2945</v>
      </c>
      <c r="BC986" t="s">
        <v>1786</v>
      </c>
      <c r="BD986" t="s">
        <v>79</v>
      </c>
      <c r="BE986" t="s">
        <v>2946</v>
      </c>
      <c r="BF986" s="5">
        <v>46914</v>
      </c>
      <c r="BG986" t="s">
        <v>67</v>
      </c>
      <c r="BH986">
        <v>1</v>
      </c>
      <c r="BI986" s="6">
        <v>972000</v>
      </c>
      <c r="BJ986" s="6">
        <v>38</v>
      </c>
      <c r="BK986" s="6">
        <v>369360</v>
      </c>
      <c r="BL986" s="6">
        <v>602640</v>
      </c>
      <c r="BM986" s="2">
        <v>602640</v>
      </c>
      <c r="BN986">
        <f>InvoiceTable[[#This Row],[Giảm giá]]*InvoiceTable[[#This Row],[Số lượng]]</f>
        <v>369360</v>
      </c>
    </row>
    <row r="987" spans="1:66" x14ac:dyDescent="0.25">
      <c r="A987" t="s">
        <v>65</v>
      </c>
      <c r="B987" t="s">
        <v>2947</v>
      </c>
      <c r="F987" s="2"/>
      <c r="G987" s="3">
        <v>46006.501429085649</v>
      </c>
      <c r="H987" s="3">
        <v>46006.501429166667</v>
      </c>
      <c r="I987" s="4" t="s">
        <v>67</v>
      </c>
      <c r="J987" t="s">
        <v>67</v>
      </c>
      <c r="K987" t="s">
        <v>67</v>
      </c>
      <c r="L987" t="s">
        <v>2948</v>
      </c>
      <c r="M987" t="s">
        <v>2949</v>
      </c>
      <c r="N987" t="s">
        <v>67</v>
      </c>
      <c r="O987" t="s">
        <v>2950</v>
      </c>
      <c r="P987" t="s">
        <v>2951</v>
      </c>
      <c r="Q987" t="s">
        <v>67</v>
      </c>
      <c r="R987" t="s">
        <v>67</v>
      </c>
      <c r="S987" s="5"/>
      <c r="T987" t="s">
        <v>72</v>
      </c>
      <c r="U987" t="s">
        <v>87</v>
      </c>
      <c r="V987" t="s">
        <v>74</v>
      </c>
      <c r="W987" t="s">
        <v>87</v>
      </c>
      <c r="AE987" s="2"/>
      <c r="AF987" s="2"/>
      <c r="AG987" s="2"/>
      <c r="AH987" s="2"/>
      <c r="AL987" s="2">
        <v>314340</v>
      </c>
      <c r="AM987" s="2">
        <v>0</v>
      </c>
      <c r="AN987" s="2"/>
      <c r="AO987" s="2">
        <v>0</v>
      </c>
      <c r="AP987" s="2">
        <v>314340</v>
      </c>
      <c r="AQ987" s="2">
        <v>0</v>
      </c>
      <c r="AR987" s="2">
        <v>0</v>
      </c>
      <c r="AS987" s="2">
        <v>0</v>
      </c>
      <c r="AT987" s="2">
        <v>0</v>
      </c>
      <c r="AU987" s="2">
        <v>0</v>
      </c>
      <c r="AV987" s="2">
        <v>0</v>
      </c>
      <c r="AW987" s="4"/>
      <c r="AX987" t="s">
        <v>75</v>
      </c>
      <c r="AZ987" t="s">
        <v>2952</v>
      </c>
      <c r="BA987" t="s">
        <v>67</v>
      </c>
      <c r="BB987" t="s">
        <v>2953</v>
      </c>
      <c r="BC987" t="s">
        <v>1067</v>
      </c>
      <c r="BD987" t="s">
        <v>79</v>
      </c>
      <c r="BE987" t="s">
        <v>168</v>
      </c>
      <c r="BF987" s="5">
        <v>46388</v>
      </c>
      <c r="BH987">
        <v>1</v>
      </c>
      <c r="BI987" s="6">
        <v>507000</v>
      </c>
      <c r="BJ987" s="6">
        <v>38</v>
      </c>
      <c r="BK987" s="6">
        <v>192660</v>
      </c>
      <c r="BL987" s="6">
        <v>314340</v>
      </c>
      <c r="BM987" s="2">
        <v>314340</v>
      </c>
      <c r="BN987">
        <f>InvoiceTable[[#This Row],[Giảm giá]]*InvoiceTable[[#This Row],[Số lượng]]</f>
        <v>192660</v>
      </c>
    </row>
    <row r="988" spans="1:66" x14ac:dyDescent="0.25">
      <c r="A988" t="s">
        <v>65</v>
      </c>
      <c r="B988" t="s">
        <v>2954</v>
      </c>
      <c r="F988" s="2"/>
      <c r="G988" s="3">
        <v>46006.500516053238</v>
      </c>
      <c r="H988" s="3">
        <v>46006.500516122687</v>
      </c>
      <c r="I988" s="4" t="s">
        <v>67</v>
      </c>
      <c r="J988" t="s">
        <v>67</v>
      </c>
      <c r="K988" t="s">
        <v>67</v>
      </c>
      <c r="L988" t="s">
        <v>2948</v>
      </c>
      <c r="M988" t="s">
        <v>2949</v>
      </c>
      <c r="N988" t="s">
        <v>67</v>
      </c>
      <c r="O988" t="s">
        <v>2950</v>
      </c>
      <c r="P988" t="s">
        <v>2951</v>
      </c>
      <c r="Q988" t="s">
        <v>67</v>
      </c>
      <c r="R988" t="s">
        <v>67</v>
      </c>
      <c r="S988" s="5"/>
      <c r="T988" t="s">
        <v>72</v>
      </c>
      <c r="U988" t="s">
        <v>87</v>
      </c>
      <c r="V988" t="s">
        <v>74</v>
      </c>
      <c r="W988" t="s">
        <v>87</v>
      </c>
      <c r="AE988" s="2"/>
      <c r="AF988" s="2"/>
      <c r="AG988" s="2"/>
      <c r="AH988" s="2"/>
      <c r="AL988" s="2">
        <v>500000</v>
      </c>
      <c r="AM988" s="2">
        <v>0</v>
      </c>
      <c r="AN988" s="2"/>
      <c r="AO988" s="2">
        <v>0</v>
      </c>
      <c r="AP988" s="2">
        <v>500000</v>
      </c>
      <c r="AQ988" s="2">
        <v>0</v>
      </c>
      <c r="AR988" s="2">
        <v>0</v>
      </c>
      <c r="AS988" s="2">
        <v>0</v>
      </c>
      <c r="AT988" s="2">
        <v>0</v>
      </c>
      <c r="AU988" s="2">
        <v>0</v>
      </c>
      <c r="AV988" s="2">
        <v>0</v>
      </c>
      <c r="AW988" s="4"/>
      <c r="AX988" t="s">
        <v>75</v>
      </c>
      <c r="AZ988" t="s">
        <v>2792</v>
      </c>
      <c r="BA988" t="s">
        <v>67</v>
      </c>
      <c r="BB988" t="s">
        <v>2793</v>
      </c>
      <c r="BC988" t="s">
        <v>126</v>
      </c>
      <c r="BD988" t="s">
        <v>79</v>
      </c>
      <c r="BE988" t="s">
        <v>317</v>
      </c>
      <c r="BF988" s="5">
        <v>46935</v>
      </c>
      <c r="BH988">
        <v>5</v>
      </c>
      <c r="BI988" s="6">
        <v>200000</v>
      </c>
      <c r="BJ988" s="6">
        <v>0</v>
      </c>
      <c r="BK988" s="6">
        <v>100000</v>
      </c>
      <c r="BL988" s="6">
        <v>100000</v>
      </c>
      <c r="BM988" s="2">
        <v>500000</v>
      </c>
      <c r="BN988">
        <f>InvoiceTable[[#This Row],[Giảm giá]]*InvoiceTable[[#This Row],[Số lượng]]</f>
        <v>500000</v>
      </c>
    </row>
    <row r="989" spans="1:66" x14ac:dyDescent="0.25">
      <c r="A989" t="s">
        <v>65</v>
      </c>
      <c r="B989" t="s">
        <v>2955</v>
      </c>
      <c r="F989" s="2"/>
      <c r="G989" s="3">
        <v>46006.497121527776</v>
      </c>
      <c r="H989" s="3">
        <v>46006.497121643515</v>
      </c>
      <c r="I989" s="4" t="s">
        <v>67</v>
      </c>
      <c r="J989" t="s">
        <v>67</v>
      </c>
      <c r="K989" t="s">
        <v>67</v>
      </c>
      <c r="L989" t="s">
        <v>111</v>
      </c>
      <c r="M989" t="s">
        <v>112</v>
      </c>
      <c r="N989" t="s">
        <v>67</v>
      </c>
      <c r="O989" t="s">
        <v>113</v>
      </c>
      <c r="P989" t="s">
        <v>114</v>
      </c>
      <c r="Q989" t="s">
        <v>67</v>
      </c>
      <c r="R989" t="s">
        <v>67</v>
      </c>
      <c r="S989" s="5"/>
      <c r="T989" t="s">
        <v>72</v>
      </c>
      <c r="U989" t="s">
        <v>87</v>
      </c>
      <c r="V989" t="s">
        <v>74</v>
      </c>
      <c r="W989" t="s">
        <v>87</v>
      </c>
      <c r="AE989" s="2"/>
      <c r="AF989" s="2"/>
      <c r="AG989" s="2"/>
      <c r="AH989" s="2"/>
      <c r="AK989" t="s">
        <v>2956</v>
      </c>
      <c r="AL989" s="2">
        <v>30100000</v>
      </c>
      <c r="AM989" s="2">
        <v>15050000</v>
      </c>
      <c r="AN989" s="2"/>
      <c r="AO989" s="2">
        <v>0</v>
      </c>
      <c r="AP989" s="2">
        <v>15050000</v>
      </c>
      <c r="AQ989" s="2">
        <v>0</v>
      </c>
      <c r="AR989" s="2">
        <v>0</v>
      </c>
      <c r="AS989" s="2">
        <v>0</v>
      </c>
      <c r="AT989" s="2">
        <v>0</v>
      </c>
      <c r="AU989" s="2">
        <v>0</v>
      </c>
      <c r="AV989" s="2">
        <v>0</v>
      </c>
      <c r="AW989" s="4"/>
      <c r="AX989" t="s">
        <v>75</v>
      </c>
      <c r="AZ989" t="s">
        <v>1041</v>
      </c>
      <c r="BB989" t="s">
        <v>1042</v>
      </c>
      <c r="BC989" t="s">
        <v>78</v>
      </c>
      <c r="BD989" t="s">
        <v>79</v>
      </c>
      <c r="BE989" t="s">
        <v>216</v>
      </c>
      <c r="BF989" s="5">
        <v>46784</v>
      </c>
      <c r="BG989" t="s">
        <v>67</v>
      </c>
      <c r="BH989">
        <v>1</v>
      </c>
      <c r="BI989" s="6">
        <v>3350000</v>
      </c>
      <c r="BJ989" s="6">
        <v>0</v>
      </c>
      <c r="BK989" s="6">
        <v>0</v>
      </c>
      <c r="BL989" s="6">
        <v>3350000</v>
      </c>
      <c r="BM989" s="2">
        <v>3350000</v>
      </c>
      <c r="BN989">
        <f>InvoiceTable[[#This Row],[Giảm giá]]*InvoiceTable[[#This Row],[Số lượng]]</f>
        <v>0</v>
      </c>
    </row>
    <row r="990" spans="1:66" x14ac:dyDescent="0.25">
      <c r="A990" t="s">
        <v>65</v>
      </c>
      <c r="B990" t="s">
        <v>2955</v>
      </c>
      <c r="F990" s="2"/>
      <c r="G990" s="3">
        <v>46006.497121527776</v>
      </c>
      <c r="H990" s="3">
        <v>46006.497121643515</v>
      </c>
      <c r="I990" s="4" t="s">
        <v>67</v>
      </c>
      <c r="J990" t="s">
        <v>67</v>
      </c>
      <c r="K990" t="s">
        <v>67</v>
      </c>
      <c r="L990" t="s">
        <v>111</v>
      </c>
      <c r="M990" t="s">
        <v>112</v>
      </c>
      <c r="N990" t="s">
        <v>67</v>
      </c>
      <c r="O990" t="s">
        <v>113</v>
      </c>
      <c r="P990" t="s">
        <v>114</v>
      </c>
      <c r="Q990" t="s">
        <v>67</v>
      </c>
      <c r="R990" t="s">
        <v>67</v>
      </c>
      <c r="S990" s="5"/>
      <c r="T990" t="s">
        <v>72</v>
      </c>
      <c r="U990" t="s">
        <v>87</v>
      </c>
      <c r="V990" t="s">
        <v>74</v>
      </c>
      <c r="W990" t="s">
        <v>87</v>
      </c>
      <c r="AE990" s="2"/>
      <c r="AF990" s="2"/>
      <c r="AG990" s="2"/>
      <c r="AH990" s="2"/>
      <c r="AK990" t="s">
        <v>2956</v>
      </c>
      <c r="AL990" s="2">
        <v>30100000</v>
      </c>
      <c r="AM990" s="2">
        <v>15050000</v>
      </c>
      <c r="AN990" s="2"/>
      <c r="AO990" s="2">
        <v>0</v>
      </c>
      <c r="AP990" s="2">
        <v>15050000</v>
      </c>
      <c r="AQ990" s="2">
        <v>0</v>
      </c>
      <c r="AR990" s="2">
        <v>0</v>
      </c>
      <c r="AS990" s="2">
        <v>0</v>
      </c>
      <c r="AT990" s="2">
        <v>0</v>
      </c>
      <c r="AU990" s="2">
        <v>0</v>
      </c>
      <c r="AV990" s="2">
        <v>0</v>
      </c>
      <c r="AW990" s="4"/>
      <c r="AX990" t="s">
        <v>75</v>
      </c>
      <c r="AZ990" t="s">
        <v>129</v>
      </c>
      <c r="BA990" t="s">
        <v>67</v>
      </c>
      <c r="BB990" t="s">
        <v>130</v>
      </c>
      <c r="BC990" t="s">
        <v>78</v>
      </c>
      <c r="BD990" t="s">
        <v>79</v>
      </c>
      <c r="BE990" t="s">
        <v>131</v>
      </c>
      <c r="BF990" s="5">
        <v>46874</v>
      </c>
      <c r="BG990" t="s">
        <v>67</v>
      </c>
      <c r="BH990">
        <v>3</v>
      </c>
      <c r="BI990" s="6">
        <v>3050000</v>
      </c>
      <c r="BJ990" s="6">
        <v>0</v>
      </c>
      <c r="BK990" s="6">
        <v>0</v>
      </c>
      <c r="BL990" s="6">
        <v>3050000</v>
      </c>
      <c r="BM990" s="2">
        <v>9150000</v>
      </c>
      <c r="BN990">
        <f>InvoiceTable[[#This Row],[Giảm giá]]*InvoiceTable[[#This Row],[Số lượng]]</f>
        <v>0</v>
      </c>
    </row>
    <row r="991" spans="1:66" x14ac:dyDescent="0.25">
      <c r="A991" t="s">
        <v>65</v>
      </c>
      <c r="B991" t="s">
        <v>2955</v>
      </c>
      <c r="F991" s="2"/>
      <c r="G991" s="3">
        <v>46006.497121527776</v>
      </c>
      <c r="H991" s="3">
        <v>46006.497121643515</v>
      </c>
      <c r="I991" s="4" t="s">
        <v>67</v>
      </c>
      <c r="J991" t="s">
        <v>67</v>
      </c>
      <c r="K991" t="s">
        <v>67</v>
      </c>
      <c r="L991" t="s">
        <v>111</v>
      </c>
      <c r="M991" t="s">
        <v>112</v>
      </c>
      <c r="N991" t="s">
        <v>67</v>
      </c>
      <c r="O991" t="s">
        <v>113</v>
      </c>
      <c r="P991" t="s">
        <v>114</v>
      </c>
      <c r="Q991" t="s">
        <v>67</v>
      </c>
      <c r="R991" t="s">
        <v>67</v>
      </c>
      <c r="S991" s="5"/>
      <c r="T991" t="s">
        <v>72</v>
      </c>
      <c r="U991" t="s">
        <v>87</v>
      </c>
      <c r="V991" t="s">
        <v>74</v>
      </c>
      <c r="W991" t="s">
        <v>87</v>
      </c>
      <c r="AE991" s="2"/>
      <c r="AF991" s="2"/>
      <c r="AG991" s="2"/>
      <c r="AH991" s="2"/>
      <c r="AK991" t="s">
        <v>2956</v>
      </c>
      <c r="AL991" s="2">
        <v>30100000</v>
      </c>
      <c r="AM991" s="2">
        <v>15050000</v>
      </c>
      <c r="AN991" s="2"/>
      <c r="AO991" s="2">
        <v>0</v>
      </c>
      <c r="AP991" s="2">
        <v>15050000</v>
      </c>
      <c r="AQ991" s="2">
        <v>0</v>
      </c>
      <c r="AR991" s="2">
        <v>0</v>
      </c>
      <c r="AS991" s="2">
        <v>0</v>
      </c>
      <c r="AT991" s="2">
        <v>0</v>
      </c>
      <c r="AU991" s="2">
        <v>0</v>
      </c>
      <c r="AV991" s="2">
        <v>0</v>
      </c>
      <c r="AW991" s="4"/>
      <c r="AX991" t="s">
        <v>75</v>
      </c>
      <c r="AZ991" t="s">
        <v>518</v>
      </c>
      <c r="BA991" t="s">
        <v>67</v>
      </c>
      <c r="BB991" t="s">
        <v>519</v>
      </c>
      <c r="BC991" t="s">
        <v>78</v>
      </c>
      <c r="BD991" t="s">
        <v>79</v>
      </c>
      <c r="BE991" t="s">
        <v>80</v>
      </c>
      <c r="BF991" s="5">
        <v>47300</v>
      </c>
      <c r="BH991">
        <v>2</v>
      </c>
      <c r="BI991" s="6">
        <v>3500000</v>
      </c>
      <c r="BJ991" s="6">
        <v>0</v>
      </c>
      <c r="BK991" s="6">
        <v>0</v>
      </c>
      <c r="BL991" s="6">
        <v>3500000</v>
      </c>
      <c r="BM991" s="2">
        <v>7000000</v>
      </c>
      <c r="BN991">
        <f>InvoiceTable[[#This Row],[Giảm giá]]*InvoiceTable[[#This Row],[Số lượng]]</f>
        <v>0</v>
      </c>
    </row>
    <row r="992" spans="1:66" x14ac:dyDescent="0.25">
      <c r="A992" t="s">
        <v>65</v>
      </c>
      <c r="B992" t="s">
        <v>2955</v>
      </c>
      <c r="F992" s="2"/>
      <c r="G992" s="3">
        <v>46006.497121527776</v>
      </c>
      <c r="H992" s="3">
        <v>46006.497121643515</v>
      </c>
      <c r="I992" s="4" t="s">
        <v>67</v>
      </c>
      <c r="J992" t="s">
        <v>67</v>
      </c>
      <c r="K992" t="s">
        <v>67</v>
      </c>
      <c r="L992" t="s">
        <v>111</v>
      </c>
      <c r="M992" t="s">
        <v>112</v>
      </c>
      <c r="N992" t="s">
        <v>67</v>
      </c>
      <c r="O992" t="s">
        <v>113</v>
      </c>
      <c r="P992" t="s">
        <v>114</v>
      </c>
      <c r="Q992" t="s">
        <v>67</v>
      </c>
      <c r="R992" t="s">
        <v>67</v>
      </c>
      <c r="S992" s="5"/>
      <c r="T992" t="s">
        <v>72</v>
      </c>
      <c r="U992" t="s">
        <v>87</v>
      </c>
      <c r="V992" t="s">
        <v>74</v>
      </c>
      <c r="W992" t="s">
        <v>87</v>
      </c>
      <c r="AE992" s="2"/>
      <c r="AF992" s="2"/>
      <c r="AG992" s="2"/>
      <c r="AH992" s="2"/>
      <c r="AK992" t="s">
        <v>2956</v>
      </c>
      <c r="AL992" s="2">
        <v>30100000</v>
      </c>
      <c r="AM992" s="2">
        <v>15050000</v>
      </c>
      <c r="AN992" s="2"/>
      <c r="AO992" s="2">
        <v>0</v>
      </c>
      <c r="AP992" s="2">
        <v>15050000</v>
      </c>
      <c r="AQ992" s="2">
        <v>0</v>
      </c>
      <c r="AR992" s="2">
        <v>0</v>
      </c>
      <c r="AS992" s="2">
        <v>0</v>
      </c>
      <c r="AT992" s="2">
        <v>0</v>
      </c>
      <c r="AU992" s="2">
        <v>0</v>
      </c>
      <c r="AV992" s="2">
        <v>0</v>
      </c>
      <c r="AW992" s="4"/>
      <c r="AX992" t="s">
        <v>75</v>
      </c>
      <c r="AZ992" t="s">
        <v>806</v>
      </c>
      <c r="BA992" t="s">
        <v>67</v>
      </c>
      <c r="BB992" t="s">
        <v>807</v>
      </c>
      <c r="BC992" t="s">
        <v>78</v>
      </c>
      <c r="BD992" t="s">
        <v>79</v>
      </c>
      <c r="BE992" t="s">
        <v>188</v>
      </c>
      <c r="BF992" s="5">
        <v>46905</v>
      </c>
      <c r="BH992">
        <v>2</v>
      </c>
      <c r="BI992" s="6">
        <v>5300000</v>
      </c>
      <c r="BJ992" s="6">
        <v>0</v>
      </c>
      <c r="BK992" s="6">
        <v>0</v>
      </c>
      <c r="BL992" s="6">
        <v>5300000</v>
      </c>
      <c r="BM992" s="2">
        <v>10600000</v>
      </c>
      <c r="BN992">
        <f>InvoiceTable[[#This Row],[Giảm giá]]*InvoiceTable[[#This Row],[Số lượng]]</f>
        <v>0</v>
      </c>
    </row>
    <row r="993" spans="1:66" x14ac:dyDescent="0.25">
      <c r="A993" t="s">
        <v>65</v>
      </c>
      <c r="B993" t="s">
        <v>2957</v>
      </c>
      <c r="F993" s="2"/>
      <c r="G993" s="3">
        <v>46006.496223148148</v>
      </c>
      <c r="H993" s="3">
        <v>46006.496223263886</v>
      </c>
      <c r="I993" s="4" t="s">
        <v>67</v>
      </c>
      <c r="J993" t="s">
        <v>67</v>
      </c>
      <c r="K993" t="s">
        <v>67</v>
      </c>
      <c r="L993" t="s">
        <v>647</v>
      </c>
      <c r="M993" t="s">
        <v>648</v>
      </c>
      <c r="N993" t="s">
        <v>67</v>
      </c>
      <c r="O993" t="s">
        <v>649</v>
      </c>
      <c r="P993" t="s">
        <v>650</v>
      </c>
      <c r="S993" s="5"/>
      <c r="T993" t="s">
        <v>72</v>
      </c>
      <c r="U993" t="s">
        <v>87</v>
      </c>
      <c r="V993" t="s">
        <v>74</v>
      </c>
      <c r="W993" t="s">
        <v>87</v>
      </c>
      <c r="AE993" s="2"/>
      <c r="AF993" s="2"/>
      <c r="AG993" s="2"/>
      <c r="AH993" s="2"/>
      <c r="AL993" s="2">
        <v>17500000</v>
      </c>
      <c r="AM993" s="2">
        <v>0</v>
      </c>
      <c r="AN993" s="2"/>
      <c r="AO993" s="2">
        <v>0</v>
      </c>
      <c r="AP993" s="2">
        <v>17500000</v>
      </c>
      <c r="AQ993" s="2">
        <v>0</v>
      </c>
      <c r="AR993" s="2">
        <v>0</v>
      </c>
      <c r="AS993" s="2">
        <v>0</v>
      </c>
      <c r="AT993" s="2">
        <v>0</v>
      </c>
      <c r="AU993" s="2">
        <v>0</v>
      </c>
      <c r="AV993" s="2">
        <v>0</v>
      </c>
      <c r="AW993" s="4"/>
      <c r="AX993" t="s">
        <v>75</v>
      </c>
      <c r="AZ993" t="s">
        <v>518</v>
      </c>
      <c r="BA993" t="s">
        <v>67</v>
      </c>
      <c r="BB993" t="s">
        <v>519</v>
      </c>
      <c r="BC993" t="s">
        <v>78</v>
      </c>
      <c r="BD993" t="s">
        <v>79</v>
      </c>
      <c r="BE993" t="s">
        <v>80</v>
      </c>
      <c r="BF993" s="5">
        <v>47300</v>
      </c>
      <c r="BH993">
        <v>10</v>
      </c>
      <c r="BI993" s="6">
        <v>3500000</v>
      </c>
      <c r="BJ993" s="6">
        <v>50</v>
      </c>
      <c r="BK993" s="6">
        <v>1750000</v>
      </c>
      <c r="BL993" s="6">
        <v>1750000</v>
      </c>
      <c r="BM993" s="2">
        <v>17500000</v>
      </c>
      <c r="BN993">
        <f>InvoiceTable[[#This Row],[Giảm giá]]*InvoiceTable[[#This Row],[Số lượng]]</f>
        <v>17500000</v>
      </c>
    </row>
    <row r="994" spans="1:66" x14ac:dyDescent="0.25">
      <c r="A994" t="s">
        <v>65</v>
      </c>
      <c r="B994" t="s">
        <v>2958</v>
      </c>
      <c r="F994" s="2"/>
      <c r="G994" s="3">
        <v>46006.495732870368</v>
      </c>
      <c r="H994" s="3">
        <v>46006.495733217591</v>
      </c>
      <c r="I994" s="4" t="s">
        <v>67</v>
      </c>
      <c r="J994" t="s">
        <v>67</v>
      </c>
      <c r="K994" t="s">
        <v>67</v>
      </c>
      <c r="L994" t="s">
        <v>1195</v>
      </c>
      <c r="M994" t="s">
        <v>1196</v>
      </c>
      <c r="N994" t="s">
        <v>67</v>
      </c>
      <c r="Q994" t="s">
        <v>67</v>
      </c>
      <c r="R994" t="s">
        <v>67</v>
      </c>
      <c r="S994" s="5"/>
      <c r="T994" t="s">
        <v>72</v>
      </c>
      <c r="U994" t="s">
        <v>87</v>
      </c>
      <c r="V994" t="s">
        <v>74</v>
      </c>
      <c r="W994" t="s">
        <v>87</v>
      </c>
      <c r="AE994" s="2"/>
      <c r="AF994" s="2"/>
      <c r="AG994" s="2"/>
      <c r="AH994" s="2"/>
      <c r="AK994" t="s">
        <v>2959</v>
      </c>
      <c r="AL994" s="2">
        <v>6650000</v>
      </c>
      <c r="AM994" s="2">
        <v>3325000</v>
      </c>
      <c r="AN994" s="2"/>
      <c r="AO994" s="2">
        <v>0</v>
      </c>
      <c r="AP994" s="2">
        <v>3325000</v>
      </c>
      <c r="AQ994" s="2">
        <v>0</v>
      </c>
      <c r="AR994" s="2">
        <v>0</v>
      </c>
      <c r="AS994" s="2">
        <v>0</v>
      </c>
      <c r="AT994" s="2">
        <v>0</v>
      </c>
      <c r="AU994" s="2">
        <v>0</v>
      </c>
      <c r="AV994" s="2">
        <v>0</v>
      </c>
      <c r="AW994" s="4"/>
      <c r="AX994" t="s">
        <v>75</v>
      </c>
      <c r="AZ994" t="s">
        <v>1197</v>
      </c>
      <c r="BA994" t="s">
        <v>67</v>
      </c>
      <c r="BB994" t="s">
        <v>1198</v>
      </c>
      <c r="BC994" t="s">
        <v>138</v>
      </c>
      <c r="BD994" t="s">
        <v>79</v>
      </c>
      <c r="BE994" t="s">
        <v>168</v>
      </c>
      <c r="BF994" s="5">
        <v>46388</v>
      </c>
      <c r="BG994" t="s">
        <v>67</v>
      </c>
      <c r="BH994">
        <v>1</v>
      </c>
      <c r="BI994" s="6">
        <v>1350000</v>
      </c>
      <c r="BJ994" s="6">
        <v>0</v>
      </c>
      <c r="BK994" s="6">
        <v>0</v>
      </c>
      <c r="BL994" s="6">
        <v>1350000</v>
      </c>
      <c r="BM994" s="2">
        <v>1350000</v>
      </c>
      <c r="BN994">
        <f>InvoiceTable[[#This Row],[Giảm giá]]*InvoiceTable[[#This Row],[Số lượng]]</f>
        <v>0</v>
      </c>
    </row>
    <row r="995" spans="1:66" x14ac:dyDescent="0.25">
      <c r="A995" t="s">
        <v>65</v>
      </c>
      <c r="B995" t="s">
        <v>2958</v>
      </c>
      <c r="F995" s="2"/>
      <c r="G995" s="3">
        <v>46006.495732870368</v>
      </c>
      <c r="H995" s="3">
        <v>46006.495733217591</v>
      </c>
      <c r="I995" s="4" t="s">
        <v>67</v>
      </c>
      <c r="J995" t="s">
        <v>67</v>
      </c>
      <c r="K995" t="s">
        <v>67</v>
      </c>
      <c r="L995" t="s">
        <v>1195</v>
      </c>
      <c r="M995" t="s">
        <v>1196</v>
      </c>
      <c r="N995" t="s">
        <v>67</v>
      </c>
      <c r="Q995" t="s">
        <v>67</v>
      </c>
      <c r="R995" t="s">
        <v>67</v>
      </c>
      <c r="S995" s="5"/>
      <c r="T995" t="s">
        <v>72</v>
      </c>
      <c r="U995" t="s">
        <v>87</v>
      </c>
      <c r="V995" t="s">
        <v>74</v>
      </c>
      <c r="W995" t="s">
        <v>87</v>
      </c>
      <c r="AE995" s="2"/>
      <c r="AF995" s="2"/>
      <c r="AG995" s="2"/>
      <c r="AH995" s="2"/>
      <c r="AK995" t="s">
        <v>2959</v>
      </c>
      <c r="AL995" s="2">
        <v>6650000</v>
      </c>
      <c r="AM995" s="2">
        <v>3325000</v>
      </c>
      <c r="AN995" s="2"/>
      <c r="AO995" s="2">
        <v>0</v>
      </c>
      <c r="AP995" s="2">
        <v>3325000</v>
      </c>
      <c r="AQ995" s="2">
        <v>0</v>
      </c>
      <c r="AR995" s="2">
        <v>0</v>
      </c>
      <c r="AS995" s="2">
        <v>0</v>
      </c>
      <c r="AT995" s="2">
        <v>0</v>
      </c>
      <c r="AU995" s="2">
        <v>0</v>
      </c>
      <c r="AV995" s="2">
        <v>0</v>
      </c>
      <c r="AW995" s="4"/>
      <c r="AX995" t="s">
        <v>75</v>
      </c>
      <c r="AZ995" t="s">
        <v>806</v>
      </c>
      <c r="BA995" t="s">
        <v>67</v>
      </c>
      <c r="BB995" t="s">
        <v>807</v>
      </c>
      <c r="BC995" t="s">
        <v>78</v>
      </c>
      <c r="BD995" t="s">
        <v>79</v>
      </c>
      <c r="BE995" t="s">
        <v>188</v>
      </c>
      <c r="BF995" s="5">
        <v>46905</v>
      </c>
      <c r="BH995">
        <v>1</v>
      </c>
      <c r="BI995" s="6">
        <v>5300000</v>
      </c>
      <c r="BJ995" s="6">
        <v>0</v>
      </c>
      <c r="BK995" s="6">
        <v>0</v>
      </c>
      <c r="BL995" s="6">
        <v>5300000</v>
      </c>
      <c r="BM995" s="2">
        <v>5300000</v>
      </c>
      <c r="BN995">
        <f>InvoiceTable[[#This Row],[Giảm giá]]*InvoiceTable[[#This Row],[Số lượng]]</f>
        <v>0</v>
      </c>
    </row>
    <row r="996" spans="1:66" x14ac:dyDescent="0.25">
      <c r="A996" t="s">
        <v>65</v>
      </c>
      <c r="B996" t="s">
        <v>2960</v>
      </c>
      <c r="F996" s="2"/>
      <c r="G996" s="3">
        <v>46006.492353935188</v>
      </c>
      <c r="H996" s="3">
        <v>46006.492354085647</v>
      </c>
      <c r="I996" s="4" t="s">
        <v>67</v>
      </c>
      <c r="J996" t="s">
        <v>2961</v>
      </c>
      <c r="K996" t="s">
        <v>67</v>
      </c>
      <c r="L996" t="s">
        <v>2962</v>
      </c>
      <c r="M996" t="s">
        <v>2963</v>
      </c>
      <c r="N996" t="s">
        <v>67</v>
      </c>
      <c r="O996" t="s">
        <v>2964</v>
      </c>
      <c r="S996" s="5"/>
      <c r="T996" t="s">
        <v>72</v>
      </c>
      <c r="U996" t="s">
        <v>73</v>
      </c>
      <c r="V996" t="s">
        <v>74</v>
      </c>
      <c r="W996" t="s">
        <v>87</v>
      </c>
      <c r="AE996" s="2"/>
      <c r="AF996" s="2"/>
      <c r="AG996" s="2"/>
      <c r="AH996" s="2"/>
      <c r="AK996" t="s">
        <v>258</v>
      </c>
      <c r="AL996" s="2">
        <v>630000</v>
      </c>
      <c r="AM996" s="2">
        <v>0</v>
      </c>
      <c r="AN996" s="2"/>
      <c r="AO996" s="2">
        <v>0</v>
      </c>
      <c r="AP996" s="2">
        <v>630000</v>
      </c>
      <c r="AQ996" s="2">
        <v>630000</v>
      </c>
      <c r="AR996" s="2">
        <v>630000</v>
      </c>
      <c r="AS996" s="2">
        <v>0</v>
      </c>
      <c r="AT996" s="2">
        <v>0</v>
      </c>
      <c r="AU996" s="2">
        <v>0</v>
      </c>
      <c r="AV996" s="2">
        <v>0</v>
      </c>
      <c r="AW996" s="4"/>
      <c r="AX996" t="s">
        <v>75</v>
      </c>
      <c r="AZ996" t="s">
        <v>124</v>
      </c>
      <c r="BA996" t="s">
        <v>67</v>
      </c>
      <c r="BB996" t="s">
        <v>125</v>
      </c>
      <c r="BC996" t="s">
        <v>126</v>
      </c>
      <c r="BD996" t="s">
        <v>79</v>
      </c>
      <c r="BE996" t="s">
        <v>2920</v>
      </c>
      <c r="BF996" s="5">
        <v>46772</v>
      </c>
      <c r="BH996">
        <v>1</v>
      </c>
      <c r="BI996" s="6">
        <v>1200000</v>
      </c>
      <c r="BJ996" s="6">
        <v>47.5</v>
      </c>
      <c r="BK996" s="6">
        <v>570000</v>
      </c>
      <c r="BL996" s="6">
        <v>630000</v>
      </c>
      <c r="BM996" s="2">
        <v>630000</v>
      </c>
      <c r="BN996">
        <f>InvoiceTable[[#This Row],[Giảm giá]]*InvoiceTable[[#This Row],[Số lượng]]</f>
        <v>570000</v>
      </c>
    </row>
    <row r="997" spans="1:66" x14ac:dyDescent="0.25">
      <c r="A997" t="s">
        <v>65</v>
      </c>
      <c r="B997" t="s">
        <v>2965</v>
      </c>
      <c r="F997" s="2"/>
      <c r="G997" s="3">
        <v>46006.491814699075</v>
      </c>
      <c r="H997" s="3">
        <v>46006.491814814814</v>
      </c>
      <c r="I997" s="4" t="s">
        <v>67</v>
      </c>
      <c r="J997" t="s">
        <v>2966</v>
      </c>
      <c r="K997" t="s">
        <v>67</v>
      </c>
      <c r="L997" t="s">
        <v>1006</v>
      </c>
      <c r="M997" t="s">
        <v>1007</v>
      </c>
      <c r="N997" t="s">
        <v>67</v>
      </c>
      <c r="O997" t="s">
        <v>1008</v>
      </c>
      <c r="P997" t="s">
        <v>1009</v>
      </c>
      <c r="Q997" t="s">
        <v>67</v>
      </c>
      <c r="R997" t="s">
        <v>67</v>
      </c>
      <c r="S997" s="5"/>
      <c r="T997" t="s">
        <v>72</v>
      </c>
      <c r="U997" t="s">
        <v>102</v>
      </c>
      <c r="V997" t="s">
        <v>74</v>
      </c>
      <c r="W997" t="s">
        <v>87</v>
      </c>
      <c r="AE997" s="2"/>
      <c r="AF997" s="2"/>
      <c r="AG997" s="2"/>
      <c r="AH997" s="2"/>
      <c r="AK997" t="s">
        <v>1003</v>
      </c>
      <c r="AL997" s="2">
        <v>995800</v>
      </c>
      <c r="AM997" s="2">
        <v>0</v>
      </c>
      <c r="AN997" s="2"/>
      <c r="AO997" s="2">
        <v>0</v>
      </c>
      <c r="AP997" s="2">
        <v>995800</v>
      </c>
      <c r="AQ997" s="2">
        <v>995800</v>
      </c>
      <c r="AR997" s="2">
        <v>0</v>
      </c>
      <c r="AS997" s="2">
        <v>0</v>
      </c>
      <c r="AT997" s="2">
        <v>0</v>
      </c>
      <c r="AU997" s="2">
        <v>995800</v>
      </c>
      <c r="AV997" s="2">
        <v>0</v>
      </c>
      <c r="AW997" s="4"/>
      <c r="AX997" t="s">
        <v>75</v>
      </c>
      <c r="AZ997" t="s">
        <v>2893</v>
      </c>
      <c r="BA997" t="s">
        <v>67</v>
      </c>
      <c r="BB997" t="s">
        <v>2894</v>
      </c>
      <c r="BC997" t="s">
        <v>93</v>
      </c>
      <c r="BD997" t="s">
        <v>79</v>
      </c>
      <c r="BE997" t="s">
        <v>228</v>
      </c>
      <c r="BF997" s="5">
        <v>46813</v>
      </c>
      <c r="BH997">
        <v>4</v>
      </c>
      <c r="BI997" s="6">
        <v>383000</v>
      </c>
      <c r="BJ997" s="6">
        <v>35</v>
      </c>
      <c r="BK997" s="6">
        <v>134050</v>
      </c>
      <c r="BL997" s="6">
        <v>248950</v>
      </c>
      <c r="BM997" s="2">
        <v>995800</v>
      </c>
      <c r="BN997">
        <f>InvoiceTable[[#This Row],[Giảm giá]]*InvoiceTable[[#This Row],[Số lượng]]</f>
        <v>536200</v>
      </c>
    </row>
    <row r="998" spans="1:66" x14ac:dyDescent="0.25">
      <c r="A998" t="s">
        <v>65</v>
      </c>
      <c r="B998" t="s">
        <v>2967</v>
      </c>
      <c r="F998" s="2"/>
      <c r="G998" s="3">
        <v>46006.49122916667</v>
      </c>
      <c r="H998" s="3">
        <v>46006.491229317129</v>
      </c>
      <c r="I998" s="4" t="s">
        <v>67</v>
      </c>
      <c r="J998" t="s">
        <v>67</v>
      </c>
      <c r="K998" t="s">
        <v>67</v>
      </c>
      <c r="L998" t="s">
        <v>569</v>
      </c>
      <c r="M998" t="s">
        <v>570</v>
      </c>
      <c r="N998" t="s">
        <v>67</v>
      </c>
      <c r="O998" t="s">
        <v>571</v>
      </c>
      <c r="P998" t="s">
        <v>572</v>
      </c>
      <c r="S998" s="5"/>
      <c r="T998" t="s">
        <v>72</v>
      </c>
      <c r="U998" t="s">
        <v>87</v>
      </c>
      <c r="V998" t="s">
        <v>74</v>
      </c>
      <c r="W998" t="s">
        <v>87</v>
      </c>
      <c r="AE998" s="2"/>
      <c r="AF998" s="2"/>
      <c r="AG998" s="2"/>
      <c r="AH998" s="2"/>
      <c r="AL998" s="2">
        <v>15555000</v>
      </c>
      <c r="AM998" s="2">
        <v>7466400</v>
      </c>
      <c r="AN998" s="2"/>
      <c r="AO998" s="2">
        <v>0</v>
      </c>
      <c r="AP998" s="2">
        <v>8088600</v>
      </c>
      <c r="AQ998" s="2">
        <v>0</v>
      </c>
      <c r="AR998" s="2">
        <v>0</v>
      </c>
      <c r="AS998" s="2">
        <v>0</v>
      </c>
      <c r="AT998" s="2">
        <v>0</v>
      </c>
      <c r="AU998" s="2">
        <v>0</v>
      </c>
      <c r="AV998" s="2">
        <v>0</v>
      </c>
      <c r="AW998" s="4"/>
      <c r="AX998" t="s">
        <v>75</v>
      </c>
      <c r="AZ998" t="s">
        <v>1215</v>
      </c>
      <c r="BA998" t="s">
        <v>67</v>
      </c>
      <c r="BB998" t="s">
        <v>1216</v>
      </c>
      <c r="BC998" t="s">
        <v>770</v>
      </c>
      <c r="BD998" t="s">
        <v>79</v>
      </c>
      <c r="BE998" t="s">
        <v>201</v>
      </c>
      <c r="BF998" s="5">
        <v>46966</v>
      </c>
      <c r="BH998">
        <v>20</v>
      </c>
      <c r="BI998" s="6">
        <v>250000</v>
      </c>
      <c r="BJ998" s="6">
        <v>0</v>
      </c>
      <c r="BK998" s="6">
        <v>0</v>
      </c>
      <c r="BL998" s="6">
        <v>250000</v>
      </c>
      <c r="BM998" s="2">
        <v>5000000</v>
      </c>
      <c r="BN998">
        <f>InvoiceTable[[#This Row],[Giảm giá]]*InvoiceTable[[#This Row],[Số lượng]]</f>
        <v>0</v>
      </c>
    </row>
    <row r="999" spans="1:66" x14ac:dyDescent="0.25">
      <c r="A999" t="s">
        <v>65</v>
      </c>
      <c r="B999" t="s">
        <v>2967</v>
      </c>
      <c r="F999" s="2"/>
      <c r="G999" s="3">
        <v>46006.49122916667</v>
      </c>
      <c r="H999" s="3">
        <v>46006.491229317129</v>
      </c>
      <c r="I999" s="4" t="s">
        <v>67</v>
      </c>
      <c r="J999" t="s">
        <v>67</v>
      </c>
      <c r="K999" t="s">
        <v>67</v>
      </c>
      <c r="L999" t="s">
        <v>569</v>
      </c>
      <c r="M999" t="s">
        <v>570</v>
      </c>
      <c r="N999" t="s">
        <v>67</v>
      </c>
      <c r="O999" t="s">
        <v>571</v>
      </c>
      <c r="P999" t="s">
        <v>572</v>
      </c>
      <c r="S999" s="5"/>
      <c r="T999" t="s">
        <v>72</v>
      </c>
      <c r="U999" t="s">
        <v>87</v>
      </c>
      <c r="V999" t="s">
        <v>74</v>
      </c>
      <c r="W999" t="s">
        <v>87</v>
      </c>
      <c r="AE999" s="2"/>
      <c r="AF999" s="2"/>
      <c r="AG999" s="2"/>
      <c r="AH999" s="2"/>
      <c r="AL999" s="2">
        <v>15555000</v>
      </c>
      <c r="AM999" s="2">
        <v>7466400</v>
      </c>
      <c r="AN999" s="2"/>
      <c r="AO999" s="2">
        <v>0</v>
      </c>
      <c r="AP999" s="2">
        <v>8088600</v>
      </c>
      <c r="AQ999" s="2">
        <v>0</v>
      </c>
      <c r="AR999" s="2">
        <v>0</v>
      </c>
      <c r="AS999" s="2">
        <v>0</v>
      </c>
      <c r="AT999" s="2">
        <v>0</v>
      </c>
      <c r="AU999" s="2">
        <v>0</v>
      </c>
      <c r="AV999" s="2">
        <v>0</v>
      </c>
      <c r="AW999" s="4"/>
      <c r="AX999" t="s">
        <v>75</v>
      </c>
      <c r="AZ999" t="s">
        <v>2766</v>
      </c>
      <c r="BA999" t="s">
        <v>67</v>
      </c>
      <c r="BB999" t="s">
        <v>2767</v>
      </c>
      <c r="BC999" t="s">
        <v>770</v>
      </c>
      <c r="BD999" t="s">
        <v>79</v>
      </c>
      <c r="BE999" t="s">
        <v>1899</v>
      </c>
      <c r="BF999" s="5">
        <v>47150</v>
      </c>
      <c r="BH999">
        <v>5</v>
      </c>
      <c r="BI999" s="6">
        <v>823000</v>
      </c>
      <c r="BJ999" s="6">
        <v>0</v>
      </c>
      <c r="BK999" s="6">
        <v>0</v>
      </c>
      <c r="BL999" s="6">
        <v>823000</v>
      </c>
      <c r="BM999" s="2">
        <v>4115000</v>
      </c>
      <c r="BN999">
        <f>InvoiceTable[[#This Row],[Giảm giá]]*InvoiceTable[[#This Row],[Số lượng]]</f>
        <v>0</v>
      </c>
    </row>
    <row r="1000" spans="1:66" x14ac:dyDescent="0.25">
      <c r="A1000" t="s">
        <v>65</v>
      </c>
      <c r="B1000" t="s">
        <v>2967</v>
      </c>
      <c r="F1000" s="2"/>
      <c r="G1000" s="3">
        <v>46006.49122916667</v>
      </c>
      <c r="H1000" s="3">
        <v>46006.491229317129</v>
      </c>
      <c r="I1000" s="4" t="s">
        <v>67</v>
      </c>
      <c r="J1000" t="s">
        <v>67</v>
      </c>
      <c r="K1000" t="s">
        <v>67</v>
      </c>
      <c r="L1000" t="s">
        <v>569</v>
      </c>
      <c r="M1000" t="s">
        <v>570</v>
      </c>
      <c r="N1000" t="s">
        <v>67</v>
      </c>
      <c r="O1000" t="s">
        <v>571</v>
      </c>
      <c r="P1000" t="s">
        <v>572</v>
      </c>
      <c r="S1000" s="5"/>
      <c r="T1000" t="s">
        <v>72</v>
      </c>
      <c r="U1000" t="s">
        <v>87</v>
      </c>
      <c r="V1000" t="s">
        <v>74</v>
      </c>
      <c r="W1000" t="s">
        <v>87</v>
      </c>
      <c r="AE1000" s="2"/>
      <c r="AF1000" s="2"/>
      <c r="AG1000" s="2"/>
      <c r="AH1000" s="2"/>
      <c r="AL1000" s="2">
        <v>15555000</v>
      </c>
      <c r="AM1000" s="2">
        <v>7466400</v>
      </c>
      <c r="AN1000" s="2"/>
      <c r="AO1000" s="2">
        <v>0</v>
      </c>
      <c r="AP1000" s="2">
        <v>8088600</v>
      </c>
      <c r="AQ1000" s="2">
        <v>0</v>
      </c>
      <c r="AR1000" s="2">
        <v>0</v>
      </c>
      <c r="AS1000" s="2">
        <v>0</v>
      </c>
      <c r="AT1000" s="2">
        <v>0</v>
      </c>
      <c r="AU1000" s="2">
        <v>0</v>
      </c>
      <c r="AV1000" s="2">
        <v>0</v>
      </c>
      <c r="AW1000" s="4"/>
      <c r="AX1000" t="s">
        <v>75</v>
      </c>
      <c r="AZ1000" t="s">
        <v>2370</v>
      </c>
      <c r="BA1000" t="s">
        <v>67</v>
      </c>
      <c r="BB1000" t="s">
        <v>2371</v>
      </c>
      <c r="BC1000" t="s">
        <v>770</v>
      </c>
      <c r="BD1000" t="s">
        <v>79</v>
      </c>
      <c r="BE1000" t="s">
        <v>177</v>
      </c>
      <c r="BF1000" s="5">
        <v>47027</v>
      </c>
      <c r="BH1000">
        <v>10</v>
      </c>
      <c r="BI1000" s="6">
        <v>644000</v>
      </c>
      <c r="BJ1000" s="6">
        <v>0</v>
      </c>
      <c r="BK1000" s="6">
        <v>0</v>
      </c>
      <c r="BL1000" s="6">
        <v>644000</v>
      </c>
      <c r="BM1000" s="2">
        <v>6440000</v>
      </c>
      <c r="BN1000">
        <f>InvoiceTable[[#This Row],[Giảm giá]]*InvoiceTable[[#This Row],[Số lượng]]</f>
        <v>0</v>
      </c>
    </row>
    <row r="1001" spans="1:66" x14ac:dyDescent="0.25">
      <c r="A1001" t="s">
        <v>65</v>
      </c>
      <c r="B1001" t="s">
        <v>2968</v>
      </c>
      <c r="F1001" s="2"/>
      <c r="G1001" s="3">
        <v>46006.488475694445</v>
      </c>
      <c r="H1001" s="3">
        <v>46006.488475810183</v>
      </c>
      <c r="I1001" s="4" t="s">
        <v>67</v>
      </c>
      <c r="J1001" t="s">
        <v>2969</v>
      </c>
      <c r="K1001" t="s">
        <v>67</v>
      </c>
      <c r="L1001" t="s">
        <v>474</v>
      </c>
      <c r="M1001" t="s">
        <v>475</v>
      </c>
      <c r="N1001" t="s">
        <v>476</v>
      </c>
      <c r="O1001" t="s">
        <v>477</v>
      </c>
      <c r="P1001" t="s">
        <v>478</v>
      </c>
      <c r="S1001" s="5"/>
      <c r="T1001" t="s">
        <v>72</v>
      </c>
      <c r="U1001" t="s">
        <v>102</v>
      </c>
      <c r="V1001" t="s">
        <v>74</v>
      </c>
      <c r="W1001" t="s">
        <v>87</v>
      </c>
      <c r="AE1001" s="2"/>
      <c r="AF1001" s="2"/>
      <c r="AG1001" s="2"/>
      <c r="AH1001" s="2"/>
      <c r="AK1001" t="s">
        <v>2970</v>
      </c>
      <c r="AL1001" s="2">
        <v>1581200</v>
      </c>
      <c r="AM1001" s="2">
        <v>0</v>
      </c>
      <c r="AN1001" s="2"/>
      <c r="AO1001" s="2">
        <v>0</v>
      </c>
      <c r="AP1001" s="2">
        <v>1581200</v>
      </c>
      <c r="AQ1001" s="2">
        <v>0</v>
      </c>
      <c r="AR1001" s="2">
        <v>0</v>
      </c>
      <c r="AS1001" s="2">
        <v>0</v>
      </c>
      <c r="AT1001" s="2">
        <v>0</v>
      </c>
      <c r="AU1001" s="2">
        <v>0</v>
      </c>
      <c r="AV1001" s="2">
        <v>0</v>
      </c>
      <c r="AW1001" s="4"/>
      <c r="AX1001" t="s">
        <v>75</v>
      </c>
      <c r="AZ1001" t="s">
        <v>1654</v>
      </c>
      <c r="BA1001" t="s">
        <v>67</v>
      </c>
      <c r="BB1001" t="s">
        <v>1655</v>
      </c>
      <c r="BC1001" t="s">
        <v>1656</v>
      </c>
      <c r="BD1001" t="s">
        <v>79</v>
      </c>
      <c r="BE1001" t="s">
        <v>810</v>
      </c>
      <c r="BF1001" s="5">
        <v>46539</v>
      </c>
      <c r="BH1001">
        <v>1</v>
      </c>
      <c r="BI1001" s="6">
        <v>2360000</v>
      </c>
      <c r="BJ1001" s="6">
        <v>33</v>
      </c>
      <c r="BK1001" s="6">
        <v>778800</v>
      </c>
      <c r="BL1001" s="6">
        <v>1581200</v>
      </c>
      <c r="BM1001" s="2">
        <v>1581200</v>
      </c>
      <c r="BN1001">
        <f>InvoiceTable[[#This Row],[Giảm giá]]*InvoiceTable[[#This Row],[Số lượng]]</f>
        <v>778800</v>
      </c>
    </row>
    <row r="1002" spans="1:66" x14ac:dyDescent="0.25">
      <c r="A1002" t="s">
        <v>65</v>
      </c>
      <c r="B1002" t="s">
        <v>2971</v>
      </c>
      <c r="F1002" s="2"/>
      <c r="G1002" s="3">
        <v>46006.485960497688</v>
      </c>
      <c r="H1002" s="3">
        <v>46006.48596056713</v>
      </c>
      <c r="I1002" s="4" t="s">
        <v>67</v>
      </c>
      <c r="J1002" t="s">
        <v>67</v>
      </c>
      <c r="K1002" t="s">
        <v>67</v>
      </c>
      <c r="L1002" t="s">
        <v>2972</v>
      </c>
      <c r="M1002" t="s">
        <v>2973</v>
      </c>
      <c r="N1002" t="s">
        <v>2974</v>
      </c>
      <c r="O1002" t="s">
        <v>2975</v>
      </c>
      <c r="P1002" t="s">
        <v>2976</v>
      </c>
      <c r="S1002" s="5"/>
      <c r="T1002" t="s">
        <v>72</v>
      </c>
      <c r="U1002" t="s">
        <v>87</v>
      </c>
      <c r="V1002" t="s">
        <v>74</v>
      </c>
      <c r="W1002" t="s">
        <v>87</v>
      </c>
      <c r="AE1002" s="2"/>
      <c r="AF1002" s="2"/>
      <c r="AG1002" s="2"/>
      <c r="AH1002" s="2"/>
      <c r="AK1002" t="s">
        <v>2977</v>
      </c>
      <c r="AL1002" s="2">
        <v>765700</v>
      </c>
      <c r="AM1002" s="2">
        <v>0</v>
      </c>
      <c r="AN1002" s="2"/>
      <c r="AO1002" s="2">
        <v>0</v>
      </c>
      <c r="AP1002" s="2">
        <v>765700</v>
      </c>
      <c r="AQ1002" s="2">
        <v>0</v>
      </c>
      <c r="AR1002" s="2">
        <v>0</v>
      </c>
      <c r="AS1002" s="2">
        <v>0</v>
      </c>
      <c r="AT1002" s="2">
        <v>0</v>
      </c>
      <c r="AU1002" s="2">
        <v>0</v>
      </c>
      <c r="AV1002" s="2">
        <v>0</v>
      </c>
      <c r="AW1002" s="4"/>
      <c r="AX1002" t="s">
        <v>75</v>
      </c>
      <c r="AZ1002" t="s">
        <v>2978</v>
      </c>
      <c r="BA1002" t="s">
        <v>67</v>
      </c>
      <c r="BB1002" t="s">
        <v>2979</v>
      </c>
      <c r="BC1002" t="s">
        <v>1067</v>
      </c>
      <c r="BD1002" t="s">
        <v>79</v>
      </c>
      <c r="BE1002" t="s">
        <v>423</v>
      </c>
      <c r="BF1002" s="5">
        <v>47543</v>
      </c>
      <c r="BH1002">
        <v>1</v>
      </c>
      <c r="BI1002" s="6">
        <v>320000</v>
      </c>
      <c r="BJ1002" s="6">
        <v>38</v>
      </c>
      <c r="BK1002" s="6">
        <v>121600</v>
      </c>
      <c r="BL1002" s="6">
        <v>198400</v>
      </c>
      <c r="BM1002" s="2">
        <v>198400</v>
      </c>
      <c r="BN1002">
        <f>InvoiceTable[[#This Row],[Giảm giá]]*InvoiceTable[[#This Row],[Số lượng]]</f>
        <v>121600</v>
      </c>
    </row>
    <row r="1003" spans="1:66" x14ac:dyDescent="0.25">
      <c r="A1003" t="s">
        <v>65</v>
      </c>
      <c r="B1003" t="s">
        <v>2971</v>
      </c>
      <c r="F1003" s="2"/>
      <c r="G1003" s="3">
        <v>46006.485960497688</v>
      </c>
      <c r="H1003" s="3">
        <v>46006.48596056713</v>
      </c>
      <c r="I1003" s="4" t="s">
        <v>67</v>
      </c>
      <c r="J1003" t="s">
        <v>67</v>
      </c>
      <c r="K1003" t="s">
        <v>67</v>
      </c>
      <c r="L1003" t="s">
        <v>2972</v>
      </c>
      <c r="M1003" t="s">
        <v>2973</v>
      </c>
      <c r="N1003" t="s">
        <v>2974</v>
      </c>
      <c r="O1003" t="s">
        <v>2975</v>
      </c>
      <c r="P1003" t="s">
        <v>2976</v>
      </c>
      <c r="S1003" s="5"/>
      <c r="T1003" t="s">
        <v>72</v>
      </c>
      <c r="U1003" t="s">
        <v>87</v>
      </c>
      <c r="V1003" t="s">
        <v>74</v>
      </c>
      <c r="W1003" t="s">
        <v>87</v>
      </c>
      <c r="AE1003" s="2"/>
      <c r="AF1003" s="2"/>
      <c r="AG1003" s="2"/>
      <c r="AH1003" s="2"/>
      <c r="AK1003" t="s">
        <v>2977</v>
      </c>
      <c r="AL1003" s="2">
        <v>765700</v>
      </c>
      <c r="AM1003" s="2">
        <v>0</v>
      </c>
      <c r="AN1003" s="2"/>
      <c r="AO1003" s="2">
        <v>0</v>
      </c>
      <c r="AP1003" s="2">
        <v>765700</v>
      </c>
      <c r="AQ1003" s="2">
        <v>0</v>
      </c>
      <c r="AR1003" s="2">
        <v>0</v>
      </c>
      <c r="AS1003" s="2">
        <v>0</v>
      </c>
      <c r="AT1003" s="2">
        <v>0</v>
      </c>
      <c r="AU1003" s="2">
        <v>0</v>
      </c>
      <c r="AV1003" s="2">
        <v>0</v>
      </c>
      <c r="AW1003" s="4"/>
      <c r="AX1003" t="s">
        <v>75</v>
      </c>
      <c r="AZ1003" t="s">
        <v>1339</v>
      </c>
      <c r="BA1003" t="s">
        <v>67</v>
      </c>
      <c r="BB1003" t="s">
        <v>1340</v>
      </c>
      <c r="BC1003" t="s">
        <v>567</v>
      </c>
      <c r="BD1003" t="s">
        <v>79</v>
      </c>
      <c r="BE1003" t="s">
        <v>434</v>
      </c>
      <c r="BF1003" s="5">
        <v>46661</v>
      </c>
      <c r="BH1003">
        <v>1</v>
      </c>
      <c r="BI1003" s="6">
        <v>357000</v>
      </c>
      <c r="BJ1003" s="6">
        <v>38</v>
      </c>
      <c r="BK1003" s="6">
        <v>135660</v>
      </c>
      <c r="BL1003" s="6">
        <v>221340</v>
      </c>
      <c r="BM1003" s="2">
        <v>221340</v>
      </c>
      <c r="BN1003">
        <f>InvoiceTable[[#This Row],[Giảm giá]]*InvoiceTable[[#This Row],[Số lượng]]</f>
        <v>135660</v>
      </c>
    </row>
    <row r="1004" spans="1:66" x14ac:dyDescent="0.25">
      <c r="A1004" t="s">
        <v>65</v>
      </c>
      <c r="B1004" t="s">
        <v>2971</v>
      </c>
      <c r="F1004" s="2"/>
      <c r="G1004" s="3">
        <v>46006.485960497688</v>
      </c>
      <c r="H1004" s="3">
        <v>46006.48596056713</v>
      </c>
      <c r="I1004" s="4" t="s">
        <v>67</v>
      </c>
      <c r="J1004" t="s">
        <v>67</v>
      </c>
      <c r="K1004" t="s">
        <v>67</v>
      </c>
      <c r="L1004" t="s">
        <v>2972</v>
      </c>
      <c r="M1004" t="s">
        <v>2973</v>
      </c>
      <c r="N1004" t="s">
        <v>2974</v>
      </c>
      <c r="O1004" t="s">
        <v>2975</v>
      </c>
      <c r="P1004" t="s">
        <v>2976</v>
      </c>
      <c r="S1004" s="5"/>
      <c r="T1004" t="s">
        <v>72</v>
      </c>
      <c r="U1004" t="s">
        <v>87</v>
      </c>
      <c r="V1004" t="s">
        <v>74</v>
      </c>
      <c r="W1004" t="s">
        <v>87</v>
      </c>
      <c r="AE1004" s="2"/>
      <c r="AF1004" s="2"/>
      <c r="AG1004" s="2"/>
      <c r="AH1004" s="2"/>
      <c r="AK1004" t="s">
        <v>2977</v>
      </c>
      <c r="AL1004" s="2">
        <v>765700</v>
      </c>
      <c r="AM1004" s="2">
        <v>0</v>
      </c>
      <c r="AN1004" s="2"/>
      <c r="AO1004" s="2">
        <v>0</v>
      </c>
      <c r="AP1004" s="2">
        <v>765700</v>
      </c>
      <c r="AQ1004" s="2">
        <v>0</v>
      </c>
      <c r="AR1004" s="2">
        <v>0</v>
      </c>
      <c r="AS1004" s="2">
        <v>0</v>
      </c>
      <c r="AT1004" s="2">
        <v>0</v>
      </c>
      <c r="AU1004" s="2">
        <v>0</v>
      </c>
      <c r="AV1004" s="2">
        <v>0</v>
      </c>
      <c r="AW1004" s="4"/>
      <c r="AX1004" t="s">
        <v>75</v>
      </c>
      <c r="AZ1004" t="s">
        <v>2153</v>
      </c>
      <c r="BA1004" t="s">
        <v>67</v>
      </c>
      <c r="BB1004" t="s">
        <v>2154</v>
      </c>
      <c r="BC1004" t="s">
        <v>1714</v>
      </c>
      <c r="BD1004" t="s">
        <v>79</v>
      </c>
      <c r="BE1004" t="s">
        <v>228</v>
      </c>
      <c r="BF1004" s="5">
        <v>46813</v>
      </c>
      <c r="BH1004">
        <v>1</v>
      </c>
      <c r="BI1004" s="6">
        <v>558000</v>
      </c>
      <c r="BJ1004" s="6">
        <v>38</v>
      </c>
      <c r="BK1004" s="6">
        <v>212040</v>
      </c>
      <c r="BL1004" s="6">
        <v>345960</v>
      </c>
      <c r="BM1004" s="2">
        <v>345960</v>
      </c>
      <c r="BN1004">
        <f>InvoiceTable[[#This Row],[Giảm giá]]*InvoiceTable[[#This Row],[Số lượng]]</f>
        <v>212040</v>
      </c>
    </row>
    <row r="1005" spans="1:66" x14ac:dyDescent="0.25">
      <c r="A1005" t="s">
        <v>65</v>
      </c>
      <c r="B1005" t="s">
        <v>2980</v>
      </c>
      <c r="F1005" s="2"/>
      <c r="G1005" s="3">
        <v>46006.48175929398</v>
      </c>
      <c r="H1005" s="3">
        <v>46006.48175929398</v>
      </c>
      <c r="I1005" s="4" t="s">
        <v>67</v>
      </c>
      <c r="J1005" t="s">
        <v>67</v>
      </c>
      <c r="K1005" t="s">
        <v>67</v>
      </c>
      <c r="L1005" t="s">
        <v>1177</v>
      </c>
      <c r="M1005" t="s">
        <v>1178</v>
      </c>
      <c r="N1005" t="s">
        <v>67</v>
      </c>
      <c r="O1005" t="s">
        <v>1179</v>
      </c>
      <c r="P1005" t="s">
        <v>1180</v>
      </c>
      <c r="Q1005" t="s">
        <v>67</v>
      </c>
      <c r="R1005" t="s">
        <v>67</v>
      </c>
      <c r="S1005" s="5"/>
      <c r="T1005" t="s">
        <v>72</v>
      </c>
      <c r="U1005" t="s">
        <v>87</v>
      </c>
      <c r="V1005" t="s">
        <v>74</v>
      </c>
      <c r="W1005" t="s">
        <v>87</v>
      </c>
      <c r="AE1005" s="2"/>
      <c r="AF1005" s="2"/>
      <c r="AG1005" s="2"/>
      <c r="AH1005" s="2"/>
      <c r="AK1005" t="s">
        <v>2981</v>
      </c>
      <c r="AL1005" s="2">
        <v>520269</v>
      </c>
      <c r="AM1005" s="2">
        <v>0</v>
      </c>
      <c r="AN1005" s="2"/>
      <c r="AO1005" s="2">
        <v>0</v>
      </c>
      <c r="AP1005" s="2">
        <v>520269</v>
      </c>
      <c r="AQ1005" s="2">
        <v>0</v>
      </c>
      <c r="AR1005" s="2">
        <v>0</v>
      </c>
      <c r="AS1005" s="2">
        <v>0</v>
      </c>
      <c r="AT1005" s="2">
        <v>0</v>
      </c>
      <c r="AU1005" s="2">
        <v>0</v>
      </c>
      <c r="AV1005" s="2">
        <v>0</v>
      </c>
      <c r="AW1005" s="4"/>
      <c r="AX1005" t="s">
        <v>75</v>
      </c>
      <c r="AZ1005" t="s">
        <v>1123</v>
      </c>
      <c r="BA1005" t="s">
        <v>67</v>
      </c>
      <c r="BB1005" t="s">
        <v>1124</v>
      </c>
      <c r="BC1005" t="s">
        <v>1125</v>
      </c>
      <c r="BD1005" t="s">
        <v>79</v>
      </c>
      <c r="BE1005" t="s">
        <v>201</v>
      </c>
      <c r="BF1005" s="5">
        <v>46966</v>
      </c>
      <c r="BH1005">
        <v>1</v>
      </c>
      <c r="BI1005" s="6">
        <v>450000</v>
      </c>
      <c r="BJ1005" s="6">
        <v>45</v>
      </c>
      <c r="BK1005" s="6">
        <v>202500</v>
      </c>
      <c r="BL1005" s="6">
        <v>247500</v>
      </c>
      <c r="BM1005" s="2">
        <v>247500</v>
      </c>
      <c r="BN1005">
        <f>InvoiceTable[[#This Row],[Giảm giá]]*InvoiceTable[[#This Row],[Số lượng]]</f>
        <v>202500</v>
      </c>
    </row>
    <row r="1006" spans="1:66" x14ac:dyDescent="0.25">
      <c r="A1006" t="s">
        <v>65</v>
      </c>
      <c r="B1006" t="s">
        <v>2980</v>
      </c>
      <c r="F1006" s="2"/>
      <c r="G1006" s="3">
        <v>46006.48175929398</v>
      </c>
      <c r="H1006" s="3">
        <v>46006.48175929398</v>
      </c>
      <c r="I1006" s="4" t="s">
        <v>67</v>
      </c>
      <c r="J1006" t="s">
        <v>67</v>
      </c>
      <c r="K1006" t="s">
        <v>67</v>
      </c>
      <c r="L1006" t="s">
        <v>1177</v>
      </c>
      <c r="M1006" t="s">
        <v>1178</v>
      </c>
      <c r="N1006" t="s">
        <v>67</v>
      </c>
      <c r="O1006" t="s">
        <v>1179</v>
      </c>
      <c r="P1006" t="s">
        <v>1180</v>
      </c>
      <c r="Q1006" t="s">
        <v>67</v>
      </c>
      <c r="R1006" t="s">
        <v>67</v>
      </c>
      <c r="S1006" s="5"/>
      <c r="T1006" t="s">
        <v>72</v>
      </c>
      <c r="U1006" t="s">
        <v>87</v>
      </c>
      <c r="V1006" t="s">
        <v>74</v>
      </c>
      <c r="W1006" t="s">
        <v>87</v>
      </c>
      <c r="AE1006" s="2"/>
      <c r="AF1006" s="2"/>
      <c r="AG1006" s="2"/>
      <c r="AH1006" s="2"/>
      <c r="AK1006" t="s">
        <v>2981</v>
      </c>
      <c r="AL1006" s="2">
        <v>520269</v>
      </c>
      <c r="AM1006" s="2">
        <v>0</v>
      </c>
      <c r="AN1006" s="2"/>
      <c r="AO1006" s="2">
        <v>0</v>
      </c>
      <c r="AP1006" s="2">
        <v>520269</v>
      </c>
      <c r="AQ1006" s="2">
        <v>0</v>
      </c>
      <c r="AR1006" s="2">
        <v>0</v>
      </c>
      <c r="AS1006" s="2">
        <v>0</v>
      </c>
      <c r="AT1006" s="2">
        <v>0</v>
      </c>
      <c r="AU1006" s="2">
        <v>0</v>
      </c>
      <c r="AV1006" s="2">
        <v>0</v>
      </c>
      <c r="AW1006" s="4"/>
      <c r="AX1006" t="s">
        <v>75</v>
      </c>
      <c r="AZ1006" t="s">
        <v>860</v>
      </c>
      <c r="BA1006" t="s">
        <v>67</v>
      </c>
      <c r="BB1006" t="s">
        <v>861</v>
      </c>
      <c r="BC1006" t="s">
        <v>191</v>
      </c>
      <c r="BD1006" t="s">
        <v>79</v>
      </c>
      <c r="BE1006" t="s">
        <v>862</v>
      </c>
      <c r="BF1006" s="5">
        <v>47515</v>
      </c>
      <c r="BH1006">
        <v>1</v>
      </c>
      <c r="BI1006" s="6">
        <v>470291</v>
      </c>
      <c r="BJ1006" s="6">
        <v>42</v>
      </c>
      <c r="BK1006" s="6">
        <v>197522.22</v>
      </c>
      <c r="BL1006" s="6">
        <v>272768.78000000003</v>
      </c>
      <c r="BM1006" s="2">
        <v>272769</v>
      </c>
      <c r="BN1006">
        <f>InvoiceTable[[#This Row],[Giảm giá]]*InvoiceTable[[#This Row],[Số lượng]]</f>
        <v>197522.22</v>
      </c>
    </row>
    <row r="1007" spans="1:66" x14ac:dyDescent="0.25">
      <c r="A1007" t="s">
        <v>65</v>
      </c>
      <c r="B1007" t="s">
        <v>2982</v>
      </c>
      <c r="F1007" s="2"/>
      <c r="G1007" s="3">
        <v>46006.479178437497</v>
      </c>
      <c r="H1007" s="3">
        <v>46006.47914383102</v>
      </c>
      <c r="I1007" s="4" t="s">
        <v>2983</v>
      </c>
      <c r="J1007" t="s">
        <v>67</v>
      </c>
      <c r="K1007" t="s">
        <v>67</v>
      </c>
      <c r="L1007" t="s">
        <v>1233</v>
      </c>
      <c r="M1007" t="s">
        <v>1234</v>
      </c>
      <c r="N1007" t="s">
        <v>67</v>
      </c>
      <c r="O1007" t="s">
        <v>1235</v>
      </c>
      <c r="P1007" t="s">
        <v>1236</v>
      </c>
      <c r="Q1007" t="s">
        <v>67</v>
      </c>
      <c r="R1007" t="s">
        <v>67</v>
      </c>
      <c r="S1007" s="5"/>
      <c r="T1007" t="s">
        <v>72</v>
      </c>
      <c r="U1007" t="s">
        <v>87</v>
      </c>
      <c r="V1007" t="s">
        <v>74</v>
      </c>
      <c r="W1007" t="s">
        <v>87</v>
      </c>
      <c r="AE1007" s="2"/>
      <c r="AF1007" s="2"/>
      <c r="AG1007" s="2"/>
      <c r="AH1007" s="2"/>
      <c r="AK1007" t="s">
        <v>2984</v>
      </c>
      <c r="AL1007" s="2">
        <v>1430000</v>
      </c>
      <c r="AM1007" s="2">
        <v>0</v>
      </c>
      <c r="AN1007" s="2"/>
      <c r="AO1007" s="2">
        <v>0</v>
      </c>
      <c r="AP1007" s="2">
        <v>1430000</v>
      </c>
      <c r="AQ1007" s="2">
        <v>0</v>
      </c>
      <c r="AR1007" s="2">
        <v>0</v>
      </c>
      <c r="AS1007" s="2">
        <v>0</v>
      </c>
      <c r="AT1007" s="2">
        <v>0</v>
      </c>
      <c r="AU1007" s="2">
        <v>0</v>
      </c>
      <c r="AV1007" s="2">
        <v>0</v>
      </c>
      <c r="AW1007" s="4"/>
      <c r="AX1007" t="s">
        <v>75</v>
      </c>
      <c r="AZ1007" t="s">
        <v>1476</v>
      </c>
      <c r="BB1007" t="s">
        <v>1477</v>
      </c>
      <c r="BC1007" t="s">
        <v>126</v>
      </c>
      <c r="BD1007" t="s">
        <v>79</v>
      </c>
      <c r="BE1007" t="s">
        <v>139</v>
      </c>
      <c r="BF1007" s="5">
        <v>46447</v>
      </c>
      <c r="BG1007" t="s">
        <v>67</v>
      </c>
      <c r="BH1007">
        <v>1</v>
      </c>
      <c r="BI1007" s="6">
        <v>2500000</v>
      </c>
      <c r="BJ1007" s="6">
        <v>0</v>
      </c>
      <c r="BK1007" s="6">
        <v>1070000</v>
      </c>
      <c r="BL1007" s="6">
        <v>1430000</v>
      </c>
      <c r="BM1007" s="2">
        <v>1430000</v>
      </c>
      <c r="BN1007">
        <f>InvoiceTable[[#This Row],[Giảm giá]]*InvoiceTable[[#This Row],[Số lượng]]</f>
        <v>1070000</v>
      </c>
    </row>
    <row r="1008" spans="1:66" x14ac:dyDescent="0.25">
      <c r="A1008" t="s">
        <v>65</v>
      </c>
      <c r="B1008" t="s">
        <v>2985</v>
      </c>
      <c r="F1008" s="2"/>
      <c r="G1008" s="3">
        <v>46006.457192326387</v>
      </c>
      <c r="H1008" s="3">
        <v>46006.457192442133</v>
      </c>
      <c r="I1008" s="4" t="s">
        <v>67</v>
      </c>
      <c r="J1008" t="s">
        <v>67</v>
      </c>
      <c r="K1008" t="s">
        <v>67</v>
      </c>
      <c r="L1008" t="s">
        <v>1368</v>
      </c>
      <c r="M1008" t="s">
        <v>1369</v>
      </c>
      <c r="N1008" t="s">
        <v>67</v>
      </c>
      <c r="O1008" t="s">
        <v>1370</v>
      </c>
      <c r="Q1008" t="s">
        <v>67</v>
      </c>
      <c r="R1008" t="s">
        <v>67</v>
      </c>
      <c r="S1008" s="5"/>
      <c r="T1008" t="s">
        <v>72</v>
      </c>
      <c r="U1008" t="s">
        <v>87</v>
      </c>
      <c r="V1008" t="s">
        <v>74</v>
      </c>
      <c r="W1008" t="s">
        <v>87</v>
      </c>
      <c r="AE1008" s="2"/>
      <c r="AF1008" s="2"/>
      <c r="AG1008" s="2"/>
      <c r="AH1008" s="2"/>
      <c r="AL1008" s="2">
        <v>256000</v>
      </c>
      <c r="AM1008" s="2">
        <v>0</v>
      </c>
      <c r="AN1008" s="2"/>
      <c r="AO1008" s="2">
        <v>0</v>
      </c>
      <c r="AP1008" s="2">
        <v>256000</v>
      </c>
      <c r="AQ1008" s="2">
        <v>0</v>
      </c>
      <c r="AR1008" s="2">
        <v>0</v>
      </c>
      <c r="AS1008" s="2">
        <v>0</v>
      </c>
      <c r="AT1008" s="2">
        <v>0</v>
      </c>
      <c r="AU1008" s="2">
        <v>0</v>
      </c>
      <c r="AV1008" s="2">
        <v>0</v>
      </c>
      <c r="AW1008" s="4"/>
      <c r="AX1008" t="s">
        <v>75</v>
      </c>
      <c r="AZ1008" t="s">
        <v>88</v>
      </c>
      <c r="BB1008" t="s">
        <v>89</v>
      </c>
      <c r="BC1008" t="s">
        <v>90</v>
      </c>
      <c r="BF1008" s="5"/>
      <c r="BG1008" t="s">
        <v>67</v>
      </c>
      <c r="BH1008">
        <v>1</v>
      </c>
      <c r="BI1008" s="6">
        <v>28000</v>
      </c>
      <c r="BJ1008" s="6">
        <v>0</v>
      </c>
      <c r="BK1008" s="6">
        <v>0</v>
      </c>
      <c r="BL1008" s="6">
        <v>28000</v>
      </c>
      <c r="BM1008" s="2">
        <v>28000</v>
      </c>
      <c r="BN1008">
        <f>InvoiceTable[[#This Row],[Giảm giá]]*InvoiceTable[[#This Row],[Số lượng]]</f>
        <v>0</v>
      </c>
    </row>
    <row r="1009" spans="1:66" x14ac:dyDescent="0.25">
      <c r="A1009" t="s">
        <v>65</v>
      </c>
      <c r="B1009" t="s">
        <v>2985</v>
      </c>
      <c r="F1009" s="2"/>
      <c r="G1009" s="3">
        <v>46006.457192326387</v>
      </c>
      <c r="H1009" s="3">
        <v>46006.457192442133</v>
      </c>
      <c r="I1009" s="4" t="s">
        <v>67</v>
      </c>
      <c r="J1009" t="s">
        <v>67</v>
      </c>
      <c r="K1009" t="s">
        <v>67</v>
      </c>
      <c r="L1009" t="s">
        <v>1368</v>
      </c>
      <c r="M1009" t="s">
        <v>1369</v>
      </c>
      <c r="N1009" t="s">
        <v>67</v>
      </c>
      <c r="O1009" t="s">
        <v>1370</v>
      </c>
      <c r="Q1009" t="s">
        <v>67</v>
      </c>
      <c r="R1009" t="s">
        <v>67</v>
      </c>
      <c r="S1009" s="5"/>
      <c r="T1009" t="s">
        <v>72</v>
      </c>
      <c r="U1009" t="s">
        <v>87</v>
      </c>
      <c r="V1009" t="s">
        <v>74</v>
      </c>
      <c r="W1009" t="s">
        <v>87</v>
      </c>
      <c r="AE1009" s="2"/>
      <c r="AF1009" s="2"/>
      <c r="AG1009" s="2"/>
      <c r="AH1009" s="2"/>
      <c r="AL1009" s="2">
        <v>256000</v>
      </c>
      <c r="AM1009" s="2">
        <v>0</v>
      </c>
      <c r="AN1009" s="2"/>
      <c r="AO1009" s="2">
        <v>0</v>
      </c>
      <c r="AP1009" s="2">
        <v>256000</v>
      </c>
      <c r="AQ1009" s="2">
        <v>0</v>
      </c>
      <c r="AR1009" s="2">
        <v>0</v>
      </c>
      <c r="AS1009" s="2">
        <v>0</v>
      </c>
      <c r="AT1009" s="2">
        <v>0</v>
      </c>
      <c r="AU1009" s="2">
        <v>0</v>
      </c>
      <c r="AV1009" s="2">
        <v>0</v>
      </c>
      <c r="AW1009" s="4"/>
      <c r="AX1009" t="s">
        <v>75</v>
      </c>
      <c r="AZ1009" t="s">
        <v>1777</v>
      </c>
      <c r="BA1009" t="s">
        <v>67</v>
      </c>
      <c r="BB1009" t="s">
        <v>1778</v>
      </c>
      <c r="BC1009" t="s">
        <v>1779</v>
      </c>
      <c r="BD1009" t="s">
        <v>79</v>
      </c>
      <c r="BE1009" t="s">
        <v>1780</v>
      </c>
      <c r="BF1009" s="5">
        <v>46956</v>
      </c>
      <c r="BG1009" t="s">
        <v>67</v>
      </c>
      <c r="BH1009">
        <v>1</v>
      </c>
      <c r="BI1009" s="6">
        <v>380000</v>
      </c>
      <c r="BJ1009" s="6">
        <v>40</v>
      </c>
      <c r="BK1009" s="6">
        <v>152000</v>
      </c>
      <c r="BL1009" s="6">
        <v>228000</v>
      </c>
      <c r="BM1009" s="2">
        <v>228000</v>
      </c>
      <c r="BN1009">
        <f>InvoiceTable[[#This Row],[Giảm giá]]*InvoiceTable[[#This Row],[Số lượng]]</f>
        <v>152000</v>
      </c>
    </row>
    <row r="1010" spans="1:66" x14ac:dyDescent="0.25">
      <c r="A1010" t="s">
        <v>65</v>
      </c>
      <c r="B1010" t="s">
        <v>2986</v>
      </c>
      <c r="F1010" s="2"/>
      <c r="G1010" s="3">
        <v>46006.456166631942</v>
      </c>
      <c r="H1010" s="3">
        <v>46006.456166701391</v>
      </c>
      <c r="I1010" s="4" t="s">
        <v>67</v>
      </c>
      <c r="J1010" t="s">
        <v>67</v>
      </c>
      <c r="K1010" t="s">
        <v>67</v>
      </c>
      <c r="L1010" t="s">
        <v>1368</v>
      </c>
      <c r="M1010" t="s">
        <v>1369</v>
      </c>
      <c r="N1010" t="s">
        <v>67</v>
      </c>
      <c r="O1010" t="s">
        <v>1370</v>
      </c>
      <c r="Q1010" t="s">
        <v>67</v>
      </c>
      <c r="R1010" t="s">
        <v>67</v>
      </c>
      <c r="S1010" s="5"/>
      <c r="T1010" t="s">
        <v>72</v>
      </c>
      <c r="U1010" t="s">
        <v>87</v>
      </c>
      <c r="V1010" t="s">
        <v>74</v>
      </c>
      <c r="W1010" t="s">
        <v>87</v>
      </c>
      <c r="AE1010" s="2"/>
      <c r="AF1010" s="2"/>
      <c r="AG1010" s="2"/>
      <c r="AH1010" s="2"/>
      <c r="AL1010" s="2">
        <v>650000</v>
      </c>
      <c r="AM1010" s="2">
        <v>0</v>
      </c>
      <c r="AN1010" s="2"/>
      <c r="AO1010" s="2">
        <v>0</v>
      </c>
      <c r="AP1010" s="2">
        <v>650000</v>
      </c>
      <c r="AQ1010" s="2">
        <v>0</v>
      </c>
      <c r="AR1010" s="2">
        <v>0</v>
      </c>
      <c r="AS1010" s="2">
        <v>0</v>
      </c>
      <c r="AT1010" s="2">
        <v>0</v>
      </c>
      <c r="AU1010" s="2">
        <v>0</v>
      </c>
      <c r="AV1010" s="2">
        <v>0</v>
      </c>
      <c r="AW1010" s="4"/>
      <c r="AX1010" t="s">
        <v>75</v>
      </c>
      <c r="AZ1010" t="s">
        <v>124</v>
      </c>
      <c r="BA1010" t="s">
        <v>67</v>
      </c>
      <c r="BB1010" t="s">
        <v>125</v>
      </c>
      <c r="BC1010" t="s">
        <v>126</v>
      </c>
      <c r="BD1010" t="s">
        <v>79</v>
      </c>
      <c r="BE1010" t="s">
        <v>2920</v>
      </c>
      <c r="BF1010" s="5">
        <v>46772</v>
      </c>
      <c r="BH1010">
        <v>1</v>
      </c>
      <c r="BI1010" s="6">
        <v>1200000</v>
      </c>
      <c r="BJ1010" s="6">
        <v>0</v>
      </c>
      <c r="BK1010" s="6">
        <v>550000</v>
      </c>
      <c r="BL1010" s="6">
        <v>650000</v>
      </c>
      <c r="BM1010" s="2">
        <v>650000</v>
      </c>
      <c r="BN1010">
        <f>InvoiceTable[[#This Row],[Giảm giá]]*InvoiceTable[[#This Row],[Số lượng]]</f>
        <v>550000</v>
      </c>
    </row>
    <row r="1011" spans="1:66" x14ac:dyDescent="0.25">
      <c r="A1011" t="s">
        <v>65</v>
      </c>
      <c r="B1011" t="s">
        <v>2987</v>
      </c>
      <c r="F1011" s="2"/>
      <c r="G1011" s="3">
        <v>46006.455500810182</v>
      </c>
      <c r="H1011" s="3">
        <v>46006.455500925927</v>
      </c>
      <c r="I1011" s="4" t="s">
        <v>67</v>
      </c>
      <c r="J1011" t="s">
        <v>2988</v>
      </c>
      <c r="K1011" t="s">
        <v>67</v>
      </c>
      <c r="L1011" t="s">
        <v>876</v>
      </c>
      <c r="M1011" t="s">
        <v>877</v>
      </c>
      <c r="N1011" t="s">
        <v>67</v>
      </c>
      <c r="O1011" t="s">
        <v>878</v>
      </c>
      <c r="P1011" t="s">
        <v>879</v>
      </c>
      <c r="Q1011" t="s">
        <v>880</v>
      </c>
      <c r="R1011" t="s">
        <v>881</v>
      </c>
      <c r="S1011" s="5"/>
      <c r="T1011" t="s">
        <v>72</v>
      </c>
      <c r="U1011" t="s">
        <v>87</v>
      </c>
      <c r="V1011" t="s">
        <v>74</v>
      </c>
      <c r="W1011" t="s">
        <v>87</v>
      </c>
      <c r="AE1011" s="2"/>
      <c r="AF1011" s="2"/>
      <c r="AG1011" s="2"/>
      <c r="AH1011" s="2"/>
      <c r="AK1011" t="s">
        <v>67</v>
      </c>
      <c r="AL1011" s="2">
        <v>2700000</v>
      </c>
      <c r="AM1011" s="2">
        <v>0</v>
      </c>
      <c r="AN1011" s="2"/>
      <c r="AO1011" s="2">
        <v>0</v>
      </c>
      <c r="AP1011" s="2">
        <v>2700000</v>
      </c>
      <c r="AQ1011" s="2">
        <v>0</v>
      </c>
      <c r="AR1011" s="2">
        <v>0</v>
      </c>
      <c r="AS1011" s="2">
        <v>0</v>
      </c>
      <c r="AT1011" s="2">
        <v>0</v>
      </c>
      <c r="AU1011" s="2">
        <v>0</v>
      </c>
      <c r="AV1011" s="2">
        <v>0</v>
      </c>
      <c r="AW1011" s="4"/>
      <c r="AX1011" t="s">
        <v>75</v>
      </c>
      <c r="AZ1011" t="s">
        <v>782</v>
      </c>
      <c r="BA1011" t="s">
        <v>67</v>
      </c>
      <c r="BB1011" t="s">
        <v>783</v>
      </c>
      <c r="BC1011" t="s">
        <v>784</v>
      </c>
      <c r="BD1011" t="s">
        <v>79</v>
      </c>
      <c r="BE1011" t="s">
        <v>785</v>
      </c>
      <c r="BF1011" s="5">
        <v>46507</v>
      </c>
      <c r="BG1011" t="s">
        <v>67</v>
      </c>
      <c r="BH1011">
        <v>1</v>
      </c>
      <c r="BI1011" s="6">
        <v>3550000</v>
      </c>
      <c r="BJ1011" s="6">
        <v>0</v>
      </c>
      <c r="BK1011" s="6">
        <v>850000</v>
      </c>
      <c r="BL1011" s="6">
        <v>2700000</v>
      </c>
      <c r="BM1011" s="2">
        <v>2700000</v>
      </c>
      <c r="BN1011">
        <f>InvoiceTable[[#This Row],[Giảm giá]]*InvoiceTable[[#This Row],[Số lượng]]</f>
        <v>850000</v>
      </c>
    </row>
    <row r="1012" spans="1:66" x14ac:dyDescent="0.25">
      <c r="A1012" t="s">
        <v>65</v>
      </c>
      <c r="B1012" t="s">
        <v>2989</v>
      </c>
      <c r="F1012" s="2"/>
      <c r="G1012" s="3">
        <v>46006.454111840278</v>
      </c>
      <c r="H1012" s="3">
        <v>46006.45407728009</v>
      </c>
      <c r="I1012" s="4" t="s">
        <v>2983</v>
      </c>
      <c r="J1012" t="s">
        <v>67</v>
      </c>
      <c r="K1012" t="s">
        <v>67</v>
      </c>
      <c r="L1012" t="s">
        <v>832</v>
      </c>
      <c r="M1012" t="s">
        <v>833</v>
      </c>
      <c r="N1012" t="s">
        <v>67</v>
      </c>
      <c r="O1012" t="s">
        <v>834</v>
      </c>
      <c r="P1012" t="s">
        <v>835</v>
      </c>
      <c r="S1012" s="5"/>
      <c r="T1012" t="s">
        <v>72</v>
      </c>
      <c r="U1012" t="s">
        <v>87</v>
      </c>
      <c r="V1012" t="s">
        <v>74</v>
      </c>
      <c r="W1012" t="s">
        <v>87</v>
      </c>
      <c r="AE1012" s="2"/>
      <c r="AF1012" s="2"/>
      <c r="AG1012" s="2"/>
      <c r="AH1012" s="2"/>
      <c r="AL1012" s="2">
        <v>1128000</v>
      </c>
      <c r="AM1012" s="2">
        <v>0</v>
      </c>
      <c r="AN1012" s="2"/>
      <c r="AO1012" s="2">
        <v>0</v>
      </c>
      <c r="AP1012" s="2">
        <v>1128000</v>
      </c>
      <c r="AQ1012" s="2">
        <v>0</v>
      </c>
      <c r="AR1012" s="2">
        <v>0</v>
      </c>
      <c r="AS1012" s="2">
        <v>0</v>
      </c>
      <c r="AT1012" s="2">
        <v>0</v>
      </c>
      <c r="AU1012" s="2">
        <v>0</v>
      </c>
      <c r="AV1012" s="2">
        <v>0</v>
      </c>
      <c r="AW1012" s="4"/>
      <c r="AX1012" t="s">
        <v>75</v>
      </c>
      <c r="AZ1012" t="s">
        <v>573</v>
      </c>
      <c r="BA1012" t="s">
        <v>67</v>
      </c>
      <c r="BB1012" t="s">
        <v>89</v>
      </c>
      <c r="BC1012" t="s">
        <v>90</v>
      </c>
      <c r="BF1012" s="5"/>
      <c r="BG1012" t="s">
        <v>67</v>
      </c>
      <c r="BH1012">
        <v>1</v>
      </c>
      <c r="BI1012" s="6">
        <v>28000</v>
      </c>
      <c r="BJ1012" s="6">
        <v>0</v>
      </c>
      <c r="BK1012" s="6">
        <v>0</v>
      </c>
      <c r="BL1012" s="6">
        <v>28000</v>
      </c>
      <c r="BM1012" s="2">
        <v>28000</v>
      </c>
      <c r="BN1012">
        <f>InvoiceTable[[#This Row],[Giảm giá]]*InvoiceTable[[#This Row],[Số lượng]]</f>
        <v>0</v>
      </c>
    </row>
    <row r="1013" spans="1:66" x14ac:dyDescent="0.25">
      <c r="A1013" t="s">
        <v>65</v>
      </c>
      <c r="B1013" t="s">
        <v>2989</v>
      </c>
      <c r="F1013" s="2"/>
      <c r="G1013" s="3">
        <v>46006.454111840278</v>
      </c>
      <c r="H1013" s="3">
        <v>46006.45407728009</v>
      </c>
      <c r="I1013" s="4" t="s">
        <v>2983</v>
      </c>
      <c r="J1013" t="s">
        <v>67</v>
      </c>
      <c r="K1013" t="s">
        <v>67</v>
      </c>
      <c r="L1013" t="s">
        <v>832</v>
      </c>
      <c r="M1013" t="s">
        <v>833</v>
      </c>
      <c r="N1013" t="s">
        <v>67</v>
      </c>
      <c r="O1013" t="s">
        <v>834</v>
      </c>
      <c r="P1013" t="s">
        <v>835</v>
      </c>
      <c r="S1013" s="5"/>
      <c r="T1013" t="s">
        <v>72</v>
      </c>
      <c r="U1013" t="s">
        <v>87</v>
      </c>
      <c r="V1013" t="s">
        <v>74</v>
      </c>
      <c r="W1013" t="s">
        <v>87</v>
      </c>
      <c r="AE1013" s="2"/>
      <c r="AF1013" s="2"/>
      <c r="AG1013" s="2"/>
      <c r="AH1013" s="2"/>
      <c r="AL1013" s="2">
        <v>1128000</v>
      </c>
      <c r="AM1013" s="2">
        <v>0</v>
      </c>
      <c r="AN1013" s="2"/>
      <c r="AO1013" s="2">
        <v>0</v>
      </c>
      <c r="AP1013" s="2">
        <v>1128000</v>
      </c>
      <c r="AQ1013" s="2">
        <v>0</v>
      </c>
      <c r="AR1013" s="2">
        <v>0</v>
      </c>
      <c r="AS1013" s="2">
        <v>0</v>
      </c>
      <c r="AT1013" s="2">
        <v>0</v>
      </c>
      <c r="AU1013" s="2">
        <v>0</v>
      </c>
      <c r="AV1013" s="2">
        <v>0</v>
      </c>
      <c r="AW1013" s="4"/>
      <c r="AX1013" t="s">
        <v>75</v>
      </c>
      <c r="AZ1013" t="s">
        <v>604</v>
      </c>
      <c r="BA1013" t="s">
        <v>67</v>
      </c>
      <c r="BB1013" t="s">
        <v>605</v>
      </c>
      <c r="BC1013" t="s">
        <v>606</v>
      </c>
      <c r="BD1013" t="s">
        <v>79</v>
      </c>
      <c r="BE1013" t="s">
        <v>168</v>
      </c>
      <c r="BF1013" s="5">
        <v>46388</v>
      </c>
      <c r="BH1013">
        <v>2</v>
      </c>
      <c r="BI1013" s="6">
        <v>1100000</v>
      </c>
      <c r="BJ1013" s="6">
        <v>50</v>
      </c>
      <c r="BK1013" s="6">
        <v>550000</v>
      </c>
      <c r="BL1013" s="6">
        <v>550000</v>
      </c>
      <c r="BM1013" s="2">
        <v>1100000</v>
      </c>
      <c r="BN1013">
        <f>InvoiceTable[[#This Row],[Giảm giá]]*InvoiceTable[[#This Row],[Số lượng]]</f>
        <v>1100000</v>
      </c>
    </row>
    <row r="1014" spans="1:66" x14ac:dyDescent="0.25">
      <c r="A1014" t="s">
        <v>65</v>
      </c>
      <c r="B1014" t="s">
        <v>2990</v>
      </c>
      <c r="F1014" s="2"/>
      <c r="G1014" s="3">
        <v>46006.452284571758</v>
      </c>
      <c r="H1014" s="3">
        <v>46006.452273229166</v>
      </c>
      <c r="I1014" s="4" t="s">
        <v>2803</v>
      </c>
      <c r="J1014" t="s">
        <v>2991</v>
      </c>
      <c r="K1014" t="s">
        <v>67</v>
      </c>
      <c r="L1014" t="s">
        <v>2992</v>
      </c>
      <c r="M1014" t="s">
        <v>2993</v>
      </c>
      <c r="N1014" t="s">
        <v>67</v>
      </c>
      <c r="O1014" t="s">
        <v>2994</v>
      </c>
      <c r="P1014" t="s">
        <v>2995</v>
      </c>
      <c r="Q1014" t="s">
        <v>67</v>
      </c>
      <c r="R1014" t="s">
        <v>67</v>
      </c>
      <c r="S1014" s="5"/>
      <c r="T1014" t="s">
        <v>72</v>
      </c>
      <c r="U1014" t="s">
        <v>87</v>
      </c>
      <c r="V1014" t="s">
        <v>74</v>
      </c>
      <c r="W1014" t="s">
        <v>87</v>
      </c>
      <c r="AE1014" s="2"/>
      <c r="AF1014" s="2"/>
      <c r="AG1014" s="2"/>
      <c r="AH1014" s="2"/>
      <c r="AK1014" t="s">
        <v>2996</v>
      </c>
      <c r="AL1014" s="2">
        <v>35492500</v>
      </c>
      <c r="AM1014" s="2">
        <v>0</v>
      </c>
      <c r="AN1014" s="2"/>
      <c r="AO1014" s="2">
        <v>0</v>
      </c>
      <c r="AP1014" s="2">
        <v>35492500</v>
      </c>
      <c r="AQ1014" s="2">
        <v>35492500</v>
      </c>
      <c r="AR1014" s="2">
        <v>35492500</v>
      </c>
      <c r="AS1014" s="2">
        <v>0</v>
      </c>
      <c r="AT1014" s="2">
        <v>0</v>
      </c>
      <c r="AU1014" s="2">
        <v>0</v>
      </c>
      <c r="AV1014" s="2">
        <v>0</v>
      </c>
      <c r="AW1014" s="4"/>
      <c r="AX1014" t="s">
        <v>75</v>
      </c>
      <c r="AZ1014" t="s">
        <v>103</v>
      </c>
      <c r="BB1014" t="s">
        <v>104</v>
      </c>
      <c r="BC1014" t="s">
        <v>105</v>
      </c>
      <c r="BD1014" t="s">
        <v>79</v>
      </c>
      <c r="BE1014" t="s">
        <v>106</v>
      </c>
      <c r="BF1014" s="5">
        <v>46327</v>
      </c>
      <c r="BH1014">
        <v>4</v>
      </c>
      <c r="BI1014" s="6">
        <v>6930000</v>
      </c>
      <c r="BJ1014" s="6">
        <v>0</v>
      </c>
      <c r="BK1014" s="6">
        <v>2830000</v>
      </c>
      <c r="BL1014" s="6">
        <v>4100000</v>
      </c>
      <c r="BM1014" s="2">
        <v>16400000</v>
      </c>
      <c r="BN1014">
        <f>InvoiceTable[[#This Row],[Giảm giá]]*InvoiceTable[[#This Row],[Số lượng]]</f>
        <v>11320000</v>
      </c>
    </row>
    <row r="1015" spans="1:66" x14ac:dyDescent="0.25">
      <c r="A1015" t="s">
        <v>65</v>
      </c>
      <c r="B1015" t="s">
        <v>2990</v>
      </c>
      <c r="F1015" s="2"/>
      <c r="G1015" s="3">
        <v>46006.452284571758</v>
      </c>
      <c r="H1015" s="3">
        <v>46006.452273229166</v>
      </c>
      <c r="I1015" s="4" t="s">
        <v>2803</v>
      </c>
      <c r="J1015" t="s">
        <v>2991</v>
      </c>
      <c r="K1015" t="s">
        <v>67</v>
      </c>
      <c r="L1015" t="s">
        <v>2992</v>
      </c>
      <c r="M1015" t="s">
        <v>2993</v>
      </c>
      <c r="N1015" t="s">
        <v>67</v>
      </c>
      <c r="O1015" t="s">
        <v>2994</v>
      </c>
      <c r="P1015" t="s">
        <v>2995</v>
      </c>
      <c r="Q1015" t="s">
        <v>67</v>
      </c>
      <c r="R1015" t="s">
        <v>67</v>
      </c>
      <c r="S1015" s="5"/>
      <c r="T1015" t="s">
        <v>72</v>
      </c>
      <c r="U1015" t="s">
        <v>87</v>
      </c>
      <c r="V1015" t="s">
        <v>74</v>
      </c>
      <c r="W1015" t="s">
        <v>87</v>
      </c>
      <c r="AE1015" s="2"/>
      <c r="AF1015" s="2"/>
      <c r="AG1015" s="2"/>
      <c r="AH1015" s="2"/>
      <c r="AK1015" t="s">
        <v>2996</v>
      </c>
      <c r="AL1015" s="2">
        <v>35492500</v>
      </c>
      <c r="AM1015" s="2">
        <v>0</v>
      </c>
      <c r="AN1015" s="2"/>
      <c r="AO1015" s="2">
        <v>0</v>
      </c>
      <c r="AP1015" s="2">
        <v>35492500</v>
      </c>
      <c r="AQ1015" s="2">
        <v>35492500</v>
      </c>
      <c r="AR1015" s="2">
        <v>35492500</v>
      </c>
      <c r="AS1015" s="2">
        <v>0</v>
      </c>
      <c r="AT1015" s="2">
        <v>0</v>
      </c>
      <c r="AU1015" s="2">
        <v>0</v>
      </c>
      <c r="AV1015" s="2">
        <v>0</v>
      </c>
      <c r="AW1015" s="4"/>
      <c r="AX1015" t="s">
        <v>75</v>
      </c>
      <c r="AZ1015" t="s">
        <v>107</v>
      </c>
      <c r="BA1015" t="s">
        <v>67</v>
      </c>
      <c r="BB1015" t="s">
        <v>108</v>
      </c>
      <c r="BC1015" t="s">
        <v>109</v>
      </c>
      <c r="BD1015" t="s">
        <v>79</v>
      </c>
      <c r="BE1015" t="s">
        <v>94</v>
      </c>
      <c r="BF1015" s="5">
        <v>46692</v>
      </c>
      <c r="BH1015">
        <v>6</v>
      </c>
      <c r="BI1015" s="6">
        <v>4500000</v>
      </c>
      <c r="BJ1015" s="6">
        <v>0</v>
      </c>
      <c r="BK1015" s="6">
        <v>2010000</v>
      </c>
      <c r="BL1015" s="6">
        <v>2490000</v>
      </c>
      <c r="BM1015" s="2">
        <v>14940000</v>
      </c>
      <c r="BN1015">
        <f>InvoiceTable[[#This Row],[Giảm giá]]*InvoiceTable[[#This Row],[Số lượng]]</f>
        <v>12060000</v>
      </c>
    </row>
    <row r="1016" spans="1:66" x14ac:dyDescent="0.25">
      <c r="A1016" t="s">
        <v>65</v>
      </c>
      <c r="B1016" t="s">
        <v>2990</v>
      </c>
      <c r="F1016" s="2"/>
      <c r="G1016" s="3">
        <v>46006.452284571758</v>
      </c>
      <c r="H1016" s="3">
        <v>46006.452273229166</v>
      </c>
      <c r="I1016" s="4" t="s">
        <v>2803</v>
      </c>
      <c r="J1016" t="s">
        <v>2991</v>
      </c>
      <c r="K1016" t="s">
        <v>67</v>
      </c>
      <c r="L1016" t="s">
        <v>2992</v>
      </c>
      <c r="M1016" t="s">
        <v>2993</v>
      </c>
      <c r="N1016" t="s">
        <v>67</v>
      </c>
      <c r="O1016" t="s">
        <v>2994</v>
      </c>
      <c r="P1016" t="s">
        <v>2995</v>
      </c>
      <c r="Q1016" t="s">
        <v>67</v>
      </c>
      <c r="R1016" t="s">
        <v>67</v>
      </c>
      <c r="S1016" s="5"/>
      <c r="T1016" t="s">
        <v>72</v>
      </c>
      <c r="U1016" t="s">
        <v>87</v>
      </c>
      <c r="V1016" t="s">
        <v>74</v>
      </c>
      <c r="W1016" t="s">
        <v>87</v>
      </c>
      <c r="AE1016" s="2"/>
      <c r="AF1016" s="2"/>
      <c r="AG1016" s="2"/>
      <c r="AH1016" s="2"/>
      <c r="AK1016" t="s">
        <v>2996</v>
      </c>
      <c r="AL1016" s="2">
        <v>35492500</v>
      </c>
      <c r="AM1016" s="2">
        <v>0</v>
      </c>
      <c r="AN1016" s="2"/>
      <c r="AO1016" s="2">
        <v>0</v>
      </c>
      <c r="AP1016" s="2">
        <v>35492500</v>
      </c>
      <c r="AQ1016" s="2">
        <v>35492500</v>
      </c>
      <c r="AR1016" s="2">
        <v>35492500</v>
      </c>
      <c r="AS1016" s="2">
        <v>0</v>
      </c>
      <c r="AT1016" s="2">
        <v>0</v>
      </c>
      <c r="AU1016" s="2">
        <v>0</v>
      </c>
      <c r="AV1016" s="2">
        <v>0</v>
      </c>
      <c r="AW1016" s="4"/>
      <c r="AX1016" t="s">
        <v>75</v>
      </c>
      <c r="AZ1016" t="s">
        <v>299</v>
      </c>
      <c r="BA1016" t="s">
        <v>67</v>
      </c>
      <c r="BB1016" t="s">
        <v>300</v>
      </c>
      <c r="BC1016" t="s">
        <v>301</v>
      </c>
      <c r="BD1016" t="s">
        <v>79</v>
      </c>
      <c r="BE1016" t="s">
        <v>177</v>
      </c>
      <c r="BF1016" s="5">
        <v>47027</v>
      </c>
      <c r="BG1016" t="s">
        <v>67</v>
      </c>
      <c r="BH1016">
        <v>1</v>
      </c>
      <c r="BI1016" s="6">
        <v>7550000</v>
      </c>
      <c r="BJ1016" s="6">
        <v>45</v>
      </c>
      <c r="BK1016" s="6">
        <v>3397500</v>
      </c>
      <c r="BL1016" s="6">
        <v>4152500</v>
      </c>
      <c r="BM1016" s="2">
        <v>4152500</v>
      </c>
      <c r="BN1016">
        <f>InvoiceTable[[#This Row],[Giảm giá]]*InvoiceTable[[#This Row],[Số lượng]]</f>
        <v>3397500</v>
      </c>
    </row>
    <row r="1017" spans="1:66" x14ac:dyDescent="0.25">
      <c r="A1017" t="s">
        <v>65</v>
      </c>
      <c r="B1017" t="s">
        <v>2997</v>
      </c>
      <c r="F1017" s="2"/>
      <c r="G1017" s="3">
        <v>46006.452251006944</v>
      </c>
      <c r="H1017" s="3">
        <v>46006.452123842595</v>
      </c>
      <c r="I1017" s="4" t="s">
        <v>96</v>
      </c>
      <c r="J1017" t="s">
        <v>2998</v>
      </c>
      <c r="K1017" t="s">
        <v>67</v>
      </c>
      <c r="L1017" t="s">
        <v>539</v>
      </c>
      <c r="M1017" t="s">
        <v>540</v>
      </c>
      <c r="N1017" t="s">
        <v>67</v>
      </c>
      <c r="O1017" t="s">
        <v>541</v>
      </c>
      <c r="P1017" t="s">
        <v>542</v>
      </c>
      <c r="S1017" s="5"/>
      <c r="T1017" t="s">
        <v>72</v>
      </c>
      <c r="U1017" t="s">
        <v>102</v>
      </c>
      <c r="V1017" t="s">
        <v>74</v>
      </c>
      <c r="W1017" t="s">
        <v>87</v>
      </c>
      <c r="AE1017" s="2"/>
      <c r="AF1017" s="2"/>
      <c r="AG1017" s="2"/>
      <c r="AH1017" s="2"/>
      <c r="AL1017" s="2">
        <v>4760000</v>
      </c>
      <c r="AM1017" s="2">
        <v>0</v>
      </c>
      <c r="AN1017" s="2"/>
      <c r="AO1017" s="2">
        <v>0</v>
      </c>
      <c r="AP1017" s="2">
        <v>4760000</v>
      </c>
      <c r="AQ1017" s="2">
        <v>0</v>
      </c>
      <c r="AR1017" s="2">
        <v>0</v>
      </c>
      <c r="AS1017" s="2">
        <v>0</v>
      </c>
      <c r="AT1017" s="2">
        <v>0</v>
      </c>
      <c r="AU1017" s="2">
        <v>0</v>
      </c>
      <c r="AV1017" s="2">
        <v>0</v>
      </c>
      <c r="AW1017" s="4"/>
      <c r="AX1017" t="s">
        <v>75</v>
      </c>
      <c r="AZ1017" t="s">
        <v>669</v>
      </c>
      <c r="BA1017" t="s">
        <v>67</v>
      </c>
      <c r="BB1017" t="s">
        <v>670</v>
      </c>
      <c r="BC1017" t="s">
        <v>126</v>
      </c>
      <c r="BD1017" t="s">
        <v>79</v>
      </c>
      <c r="BE1017" t="s">
        <v>159</v>
      </c>
      <c r="BF1017" s="5">
        <v>46478</v>
      </c>
      <c r="BH1017">
        <v>1</v>
      </c>
      <c r="BI1017" s="6">
        <v>350000</v>
      </c>
      <c r="BJ1017" s="6">
        <v>0</v>
      </c>
      <c r="BK1017" s="6">
        <v>190000</v>
      </c>
      <c r="BL1017" s="6">
        <v>160000</v>
      </c>
      <c r="BM1017" s="2">
        <v>160000</v>
      </c>
      <c r="BN1017">
        <f>InvoiceTable[[#This Row],[Giảm giá]]*InvoiceTable[[#This Row],[Số lượng]]</f>
        <v>190000</v>
      </c>
    </row>
    <row r="1018" spans="1:66" x14ac:dyDescent="0.25">
      <c r="A1018" t="s">
        <v>65</v>
      </c>
      <c r="B1018" t="s">
        <v>2997</v>
      </c>
      <c r="F1018" s="2"/>
      <c r="G1018" s="3">
        <v>46006.452251006944</v>
      </c>
      <c r="H1018" s="3">
        <v>46006.452123842595</v>
      </c>
      <c r="I1018" s="4" t="s">
        <v>96</v>
      </c>
      <c r="J1018" t="s">
        <v>2998</v>
      </c>
      <c r="K1018" t="s">
        <v>67</v>
      </c>
      <c r="L1018" t="s">
        <v>539</v>
      </c>
      <c r="M1018" t="s">
        <v>540</v>
      </c>
      <c r="N1018" t="s">
        <v>67</v>
      </c>
      <c r="O1018" t="s">
        <v>541</v>
      </c>
      <c r="P1018" t="s">
        <v>542</v>
      </c>
      <c r="S1018" s="5"/>
      <c r="T1018" t="s">
        <v>72</v>
      </c>
      <c r="U1018" t="s">
        <v>102</v>
      </c>
      <c r="V1018" t="s">
        <v>74</v>
      </c>
      <c r="W1018" t="s">
        <v>87</v>
      </c>
      <c r="AE1018" s="2"/>
      <c r="AF1018" s="2"/>
      <c r="AG1018" s="2"/>
      <c r="AH1018" s="2"/>
      <c r="AL1018" s="2">
        <v>4760000</v>
      </c>
      <c r="AM1018" s="2">
        <v>0</v>
      </c>
      <c r="AN1018" s="2"/>
      <c r="AO1018" s="2">
        <v>0</v>
      </c>
      <c r="AP1018" s="2">
        <v>4760000</v>
      </c>
      <c r="AQ1018" s="2">
        <v>0</v>
      </c>
      <c r="AR1018" s="2">
        <v>0</v>
      </c>
      <c r="AS1018" s="2">
        <v>0</v>
      </c>
      <c r="AT1018" s="2">
        <v>0</v>
      </c>
      <c r="AU1018" s="2">
        <v>0</v>
      </c>
      <c r="AV1018" s="2">
        <v>0</v>
      </c>
      <c r="AW1018" s="4"/>
      <c r="AX1018" t="s">
        <v>75</v>
      </c>
      <c r="AZ1018" t="s">
        <v>2501</v>
      </c>
      <c r="BA1018" t="s">
        <v>67</v>
      </c>
      <c r="BB1018" t="s">
        <v>2502</v>
      </c>
      <c r="BC1018" t="s">
        <v>437</v>
      </c>
      <c r="BD1018" t="s">
        <v>79</v>
      </c>
      <c r="BE1018" t="s">
        <v>94</v>
      </c>
      <c r="BF1018" s="5">
        <v>46692</v>
      </c>
      <c r="BH1018">
        <v>1</v>
      </c>
      <c r="BI1018" s="6">
        <v>5000000</v>
      </c>
      <c r="BJ1018" s="6">
        <v>0</v>
      </c>
      <c r="BK1018" s="6">
        <v>1500000</v>
      </c>
      <c r="BL1018" s="6">
        <v>3500000</v>
      </c>
      <c r="BM1018" s="2">
        <v>3500000</v>
      </c>
      <c r="BN1018">
        <f>InvoiceTable[[#This Row],[Giảm giá]]*InvoiceTable[[#This Row],[Số lượng]]</f>
        <v>1500000</v>
      </c>
    </row>
    <row r="1019" spans="1:66" x14ac:dyDescent="0.25">
      <c r="A1019" t="s">
        <v>65</v>
      </c>
      <c r="B1019" t="s">
        <v>2997</v>
      </c>
      <c r="F1019" s="2"/>
      <c r="G1019" s="3">
        <v>46006.452251006944</v>
      </c>
      <c r="H1019" s="3">
        <v>46006.452123842595</v>
      </c>
      <c r="I1019" s="4" t="s">
        <v>96</v>
      </c>
      <c r="J1019" t="s">
        <v>2998</v>
      </c>
      <c r="K1019" t="s">
        <v>67</v>
      </c>
      <c r="L1019" t="s">
        <v>539</v>
      </c>
      <c r="M1019" t="s">
        <v>540</v>
      </c>
      <c r="N1019" t="s">
        <v>67</v>
      </c>
      <c r="O1019" t="s">
        <v>541</v>
      </c>
      <c r="P1019" t="s">
        <v>542</v>
      </c>
      <c r="S1019" s="5"/>
      <c r="T1019" t="s">
        <v>72</v>
      </c>
      <c r="U1019" t="s">
        <v>102</v>
      </c>
      <c r="V1019" t="s">
        <v>74</v>
      </c>
      <c r="W1019" t="s">
        <v>87</v>
      </c>
      <c r="AE1019" s="2"/>
      <c r="AF1019" s="2"/>
      <c r="AG1019" s="2"/>
      <c r="AH1019" s="2"/>
      <c r="AL1019" s="2">
        <v>4760000</v>
      </c>
      <c r="AM1019" s="2">
        <v>0</v>
      </c>
      <c r="AN1019" s="2"/>
      <c r="AO1019" s="2">
        <v>0</v>
      </c>
      <c r="AP1019" s="2">
        <v>4760000</v>
      </c>
      <c r="AQ1019" s="2">
        <v>0</v>
      </c>
      <c r="AR1019" s="2">
        <v>0</v>
      </c>
      <c r="AS1019" s="2">
        <v>0</v>
      </c>
      <c r="AT1019" s="2">
        <v>0</v>
      </c>
      <c r="AU1019" s="2">
        <v>0</v>
      </c>
      <c r="AV1019" s="2">
        <v>0</v>
      </c>
      <c r="AW1019" s="4"/>
      <c r="AX1019" t="s">
        <v>75</v>
      </c>
      <c r="AZ1019" t="s">
        <v>2999</v>
      </c>
      <c r="BA1019" t="s">
        <v>67</v>
      </c>
      <c r="BB1019" t="s">
        <v>3000</v>
      </c>
      <c r="BC1019" t="s">
        <v>3001</v>
      </c>
      <c r="BD1019" t="s">
        <v>79</v>
      </c>
      <c r="BE1019" t="s">
        <v>131</v>
      </c>
      <c r="BF1019" s="5">
        <v>46874</v>
      </c>
      <c r="BH1019">
        <v>2</v>
      </c>
      <c r="BI1019" s="6">
        <v>900000</v>
      </c>
      <c r="BJ1019" s="6">
        <v>0</v>
      </c>
      <c r="BK1019" s="6">
        <v>350000</v>
      </c>
      <c r="BL1019" s="6">
        <v>550000</v>
      </c>
      <c r="BM1019" s="2">
        <v>1100000</v>
      </c>
      <c r="BN1019">
        <f>InvoiceTable[[#This Row],[Giảm giá]]*InvoiceTable[[#This Row],[Số lượng]]</f>
        <v>700000</v>
      </c>
    </row>
    <row r="1020" spans="1:66" x14ac:dyDescent="0.25">
      <c r="A1020" t="s">
        <v>65</v>
      </c>
      <c r="B1020" t="s">
        <v>3002</v>
      </c>
      <c r="F1020" s="2"/>
      <c r="G1020" s="3">
        <v>46006.451054363424</v>
      </c>
      <c r="H1020" s="3">
        <v>46006.45105447917</v>
      </c>
      <c r="I1020" s="4" t="s">
        <v>67</v>
      </c>
      <c r="J1020" t="s">
        <v>3003</v>
      </c>
      <c r="K1020" t="s">
        <v>67</v>
      </c>
      <c r="L1020" t="s">
        <v>539</v>
      </c>
      <c r="M1020" t="s">
        <v>540</v>
      </c>
      <c r="N1020" t="s">
        <v>67</v>
      </c>
      <c r="O1020" t="s">
        <v>541</v>
      </c>
      <c r="P1020" t="s">
        <v>542</v>
      </c>
      <c r="S1020" s="5"/>
      <c r="T1020" t="s">
        <v>72</v>
      </c>
      <c r="U1020" t="s">
        <v>102</v>
      </c>
      <c r="V1020" t="s">
        <v>74</v>
      </c>
      <c r="W1020" t="s">
        <v>87</v>
      </c>
      <c r="AE1020" s="2"/>
      <c r="AF1020" s="2"/>
      <c r="AG1020" s="2"/>
      <c r="AH1020" s="2"/>
      <c r="AL1020" s="2">
        <v>528750</v>
      </c>
      <c r="AM1020" s="2">
        <v>0</v>
      </c>
      <c r="AN1020" s="2"/>
      <c r="AO1020" s="2">
        <v>0</v>
      </c>
      <c r="AP1020" s="2">
        <v>528750</v>
      </c>
      <c r="AQ1020" s="2">
        <v>0</v>
      </c>
      <c r="AR1020" s="2">
        <v>0</v>
      </c>
      <c r="AS1020" s="2">
        <v>0</v>
      </c>
      <c r="AT1020" s="2">
        <v>0</v>
      </c>
      <c r="AU1020" s="2">
        <v>0</v>
      </c>
      <c r="AV1020" s="2">
        <v>0</v>
      </c>
      <c r="AW1020" s="4"/>
      <c r="AX1020" t="s">
        <v>75</v>
      </c>
      <c r="AZ1020" t="s">
        <v>1254</v>
      </c>
      <c r="BA1020" t="s">
        <v>67</v>
      </c>
      <c r="BB1020" t="s">
        <v>1255</v>
      </c>
      <c r="BC1020" t="s">
        <v>215</v>
      </c>
      <c r="BD1020" t="s">
        <v>79</v>
      </c>
      <c r="BE1020" t="s">
        <v>378</v>
      </c>
      <c r="BF1020" s="5">
        <v>46997</v>
      </c>
      <c r="BH1020">
        <v>1</v>
      </c>
      <c r="BI1020" s="6">
        <v>1175000</v>
      </c>
      <c r="BJ1020" s="6">
        <v>55</v>
      </c>
      <c r="BK1020" s="6">
        <v>646250</v>
      </c>
      <c r="BL1020" s="6">
        <v>528750</v>
      </c>
      <c r="BM1020" s="2">
        <v>528750</v>
      </c>
      <c r="BN1020">
        <f>InvoiceTable[[#This Row],[Giảm giá]]*InvoiceTable[[#This Row],[Số lượng]]</f>
        <v>646250</v>
      </c>
    </row>
    <row r="1021" spans="1:66" x14ac:dyDescent="0.25">
      <c r="A1021" t="s">
        <v>65</v>
      </c>
      <c r="B1021" t="s">
        <v>3004</v>
      </c>
      <c r="F1021" s="2"/>
      <c r="G1021" s="3">
        <v>46006.423760879632</v>
      </c>
      <c r="H1021" s="3">
        <v>46006.423761030092</v>
      </c>
      <c r="I1021" s="4" t="s">
        <v>67</v>
      </c>
      <c r="J1021" t="s">
        <v>3005</v>
      </c>
      <c r="K1021" t="s">
        <v>67</v>
      </c>
      <c r="L1021" t="s">
        <v>3006</v>
      </c>
      <c r="M1021" t="s">
        <v>3007</v>
      </c>
      <c r="N1021" t="s">
        <v>67</v>
      </c>
      <c r="O1021" t="s">
        <v>3008</v>
      </c>
      <c r="P1021" t="s">
        <v>3009</v>
      </c>
      <c r="S1021" s="5"/>
      <c r="T1021" t="s">
        <v>72</v>
      </c>
      <c r="U1021" t="s">
        <v>87</v>
      </c>
      <c r="V1021" t="s">
        <v>74</v>
      </c>
      <c r="W1021" t="s">
        <v>87</v>
      </c>
      <c r="AE1021" s="2"/>
      <c r="AF1021" s="2"/>
      <c r="AG1021" s="2"/>
      <c r="AH1021" s="2"/>
      <c r="AK1021" t="s">
        <v>3010</v>
      </c>
      <c r="AL1021" s="2">
        <v>2951190</v>
      </c>
      <c r="AM1021" s="2">
        <v>0</v>
      </c>
      <c r="AN1021" s="2"/>
      <c r="AO1021" s="2">
        <v>0</v>
      </c>
      <c r="AP1021" s="2">
        <v>2951190</v>
      </c>
      <c r="AQ1021" s="2">
        <v>0</v>
      </c>
      <c r="AR1021" s="2">
        <v>0</v>
      </c>
      <c r="AS1021" s="2">
        <v>0</v>
      </c>
      <c r="AT1021" s="2">
        <v>0</v>
      </c>
      <c r="AU1021" s="2">
        <v>0</v>
      </c>
      <c r="AV1021" s="2">
        <v>0</v>
      </c>
      <c r="AW1021" s="4"/>
      <c r="AX1021" t="s">
        <v>75</v>
      </c>
      <c r="AZ1021" t="s">
        <v>3011</v>
      </c>
      <c r="BA1021" t="s">
        <v>67</v>
      </c>
      <c r="BB1021" t="s">
        <v>3012</v>
      </c>
      <c r="BC1021" t="s">
        <v>822</v>
      </c>
      <c r="BD1021" t="s">
        <v>79</v>
      </c>
      <c r="BE1021" t="s">
        <v>423</v>
      </c>
      <c r="BF1021" s="5">
        <v>47543</v>
      </c>
      <c r="BG1021" t="s">
        <v>67</v>
      </c>
      <c r="BH1021">
        <v>1</v>
      </c>
      <c r="BI1021" s="6">
        <v>4523236</v>
      </c>
      <c r="BJ1021" s="6">
        <v>47</v>
      </c>
      <c r="BK1021" s="6">
        <v>2125920.92</v>
      </c>
      <c r="BL1021" s="6">
        <v>2397315.08</v>
      </c>
      <c r="BM1021" s="2">
        <v>2397315</v>
      </c>
      <c r="BN1021">
        <f>InvoiceTable[[#This Row],[Giảm giá]]*InvoiceTable[[#This Row],[Số lượng]]</f>
        <v>2125920.92</v>
      </c>
    </row>
    <row r="1022" spans="1:66" x14ac:dyDescent="0.25">
      <c r="A1022" t="s">
        <v>65</v>
      </c>
      <c r="B1022" t="s">
        <v>3004</v>
      </c>
      <c r="F1022" s="2"/>
      <c r="G1022" s="3">
        <v>46006.423760879632</v>
      </c>
      <c r="H1022" s="3">
        <v>46006.423761030092</v>
      </c>
      <c r="I1022" s="4" t="s">
        <v>67</v>
      </c>
      <c r="J1022" t="s">
        <v>3005</v>
      </c>
      <c r="K1022" t="s">
        <v>67</v>
      </c>
      <c r="L1022" t="s">
        <v>3006</v>
      </c>
      <c r="M1022" t="s">
        <v>3007</v>
      </c>
      <c r="N1022" t="s">
        <v>67</v>
      </c>
      <c r="O1022" t="s">
        <v>3008</v>
      </c>
      <c r="P1022" t="s">
        <v>3009</v>
      </c>
      <c r="S1022" s="5"/>
      <c r="T1022" t="s">
        <v>72</v>
      </c>
      <c r="U1022" t="s">
        <v>87</v>
      </c>
      <c r="V1022" t="s">
        <v>74</v>
      </c>
      <c r="W1022" t="s">
        <v>87</v>
      </c>
      <c r="AE1022" s="2"/>
      <c r="AF1022" s="2"/>
      <c r="AG1022" s="2"/>
      <c r="AH1022" s="2"/>
      <c r="AK1022" t="s">
        <v>3010</v>
      </c>
      <c r="AL1022" s="2">
        <v>2951190</v>
      </c>
      <c r="AM1022" s="2">
        <v>0</v>
      </c>
      <c r="AN1022" s="2"/>
      <c r="AO1022" s="2">
        <v>0</v>
      </c>
      <c r="AP1022" s="2">
        <v>2951190</v>
      </c>
      <c r="AQ1022" s="2">
        <v>0</v>
      </c>
      <c r="AR1022" s="2">
        <v>0</v>
      </c>
      <c r="AS1022" s="2">
        <v>0</v>
      </c>
      <c r="AT1022" s="2">
        <v>0</v>
      </c>
      <c r="AU1022" s="2">
        <v>0</v>
      </c>
      <c r="AV1022" s="2">
        <v>0</v>
      </c>
      <c r="AW1022" s="4"/>
      <c r="AX1022" t="s">
        <v>75</v>
      </c>
      <c r="AZ1022" t="s">
        <v>820</v>
      </c>
      <c r="BA1022" t="s">
        <v>67</v>
      </c>
      <c r="BB1022" t="s">
        <v>821</v>
      </c>
      <c r="BC1022" t="s">
        <v>822</v>
      </c>
      <c r="BD1022" t="s">
        <v>79</v>
      </c>
      <c r="BE1022" t="s">
        <v>823</v>
      </c>
      <c r="BF1022" s="5">
        <v>47574</v>
      </c>
      <c r="BG1022" t="s">
        <v>67</v>
      </c>
      <c r="BH1022">
        <v>1</v>
      </c>
      <c r="BI1022" s="6">
        <v>1045047.2</v>
      </c>
      <c r="BJ1022" s="6">
        <v>47</v>
      </c>
      <c r="BK1022" s="6">
        <v>491172.18</v>
      </c>
      <c r="BL1022" s="6">
        <v>553875.02</v>
      </c>
      <c r="BM1022" s="2">
        <v>553875</v>
      </c>
      <c r="BN1022">
        <f>InvoiceTable[[#This Row],[Giảm giá]]*InvoiceTable[[#This Row],[Số lượng]]</f>
        <v>491172.18</v>
      </c>
    </row>
    <row r="1023" spans="1:66" x14ac:dyDescent="0.25">
      <c r="A1023" t="s">
        <v>65</v>
      </c>
      <c r="B1023" t="s">
        <v>3013</v>
      </c>
      <c r="F1023" s="2"/>
      <c r="G1023" s="3">
        <v>46006.420775347222</v>
      </c>
      <c r="H1023" s="3">
        <v>46006.42077542824</v>
      </c>
      <c r="I1023" s="4" t="s">
        <v>67</v>
      </c>
      <c r="J1023" t="s">
        <v>3014</v>
      </c>
      <c r="K1023" t="s">
        <v>67</v>
      </c>
      <c r="L1023" t="s">
        <v>3015</v>
      </c>
      <c r="M1023" t="s">
        <v>3016</v>
      </c>
      <c r="N1023" t="s">
        <v>67</v>
      </c>
      <c r="O1023" t="s">
        <v>3017</v>
      </c>
      <c r="P1023" t="s">
        <v>3018</v>
      </c>
      <c r="Q1023" t="s">
        <v>67</v>
      </c>
      <c r="R1023" t="s">
        <v>67</v>
      </c>
      <c r="S1023" s="5"/>
      <c r="T1023" t="s">
        <v>72</v>
      </c>
      <c r="U1023" t="s">
        <v>87</v>
      </c>
      <c r="V1023" t="s">
        <v>74</v>
      </c>
      <c r="W1023" t="s">
        <v>87</v>
      </c>
      <c r="AE1023" s="2"/>
      <c r="AF1023" s="2"/>
      <c r="AG1023" s="2"/>
      <c r="AH1023" s="2"/>
      <c r="AK1023" t="s">
        <v>1808</v>
      </c>
      <c r="AL1023" s="2">
        <v>6400000</v>
      </c>
      <c r="AM1023" s="2">
        <v>0</v>
      </c>
      <c r="AN1023" s="2"/>
      <c r="AO1023" s="2">
        <v>0</v>
      </c>
      <c r="AP1023" s="2">
        <v>6400000</v>
      </c>
      <c r="AQ1023" s="2">
        <v>0</v>
      </c>
      <c r="AR1023" s="2">
        <v>0</v>
      </c>
      <c r="AS1023" s="2">
        <v>0</v>
      </c>
      <c r="AT1023" s="2">
        <v>0</v>
      </c>
      <c r="AU1023" s="2">
        <v>0</v>
      </c>
      <c r="AV1023" s="2">
        <v>0</v>
      </c>
      <c r="AW1023" s="4"/>
      <c r="AX1023" t="s">
        <v>75</v>
      </c>
      <c r="AZ1023" t="s">
        <v>1678</v>
      </c>
      <c r="BB1023" t="s">
        <v>1679</v>
      </c>
      <c r="BC1023" t="s">
        <v>590</v>
      </c>
      <c r="BD1023" t="s">
        <v>79</v>
      </c>
      <c r="BE1023" t="s">
        <v>1231</v>
      </c>
      <c r="BF1023" s="5">
        <v>47239</v>
      </c>
      <c r="BG1023" t="s">
        <v>67</v>
      </c>
      <c r="BH1023">
        <v>1</v>
      </c>
      <c r="BI1023" s="6">
        <v>7490000</v>
      </c>
      <c r="BJ1023" s="6">
        <v>0</v>
      </c>
      <c r="BK1023" s="6">
        <v>1090000</v>
      </c>
      <c r="BL1023" s="6">
        <v>6400000</v>
      </c>
      <c r="BM1023" s="2">
        <v>6400000</v>
      </c>
      <c r="BN1023">
        <f>InvoiceTable[[#This Row],[Giảm giá]]*InvoiceTable[[#This Row],[Số lượng]]</f>
        <v>1090000</v>
      </c>
    </row>
    <row r="1024" spans="1:66" x14ac:dyDescent="0.25">
      <c r="A1024" t="s">
        <v>65</v>
      </c>
      <c r="B1024" t="s">
        <v>3019</v>
      </c>
      <c r="F1024" s="2"/>
      <c r="G1024" s="3">
        <v>46006.420580243059</v>
      </c>
      <c r="H1024" s="3">
        <v>46006.420580358797</v>
      </c>
      <c r="I1024" s="4" t="s">
        <v>67</v>
      </c>
      <c r="J1024" t="s">
        <v>67</v>
      </c>
      <c r="K1024" t="s">
        <v>67</v>
      </c>
      <c r="L1024" t="s">
        <v>3006</v>
      </c>
      <c r="M1024" t="s">
        <v>3007</v>
      </c>
      <c r="N1024" t="s">
        <v>67</v>
      </c>
      <c r="O1024" t="s">
        <v>3008</v>
      </c>
      <c r="P1024" t="s">
        <v>3009</v>
      </c>
      <c r="S1024" s="5"/>
      <c r="T1024" t="s">
        <v>72</v>
      </c>
      <c r="U1024" t="s">
        <v>87</v>
      </c>
      <c r="V1024" t="s">
        <v>74</v>
      </c>
      <c r="W1024" t="s">
        <v>87</v>
      </c>
      <c r="AE1024" s="2"/>
      <c r="AF1024" s="2"/>
      <c r="AG1024" s="2"/>
      <c r="AH1024" s="2"/>
      <c r="AL1024" s="2">
        <v>3000000</v>
      </c>
      <c r="AM1024" s="2">
        <v>0</v>
      </c>
      <c r="AN1024" s="2"/>
      <c r="AO1024" s="2">
        <v>0</v>
      </c>
      <c r="AP1024" s="2">
        <v>3000000</v>
      </c>
      <c r="AQ1024" s="2">
        <v>0</v>
      </c>
      <c r="AR1024" s="2">
        <v>0</v>
      </c>
      <c r="AS1024" s="2">
        <v>0</v>
      </c>
      <c r="AT1024" s="2">
        <v>0</v>
      </c>
      <c r="AU1024" s="2">
        <v>0</v>
      </c>
      <c r="AV1024" s="2">
        <v>0</v>
      </c>
      <c r="AW1024" s="4"/>
      <c r="AX1024" t="s">
        <v>75</v>
      </c>
      <c r="AZ1024" t="s">
        <v>1476</v>
      </c>
      <c r="BB1024" t="s">
        <v>1477</v>
      </c>
      <c r="BC1024" t="s">
        <v>126</v>
      </c>
      <c r="BD1024" t="s">
        <v>79</v>
      </c>
      <c r="BE1024" t="s">
        <v>139</v>
      </c>
      <c r="BF1024" s="5">
        <v>46447</v>
      </c>
      <c r="BG1024" t="s">
        <v>67</v>
      </c>
      <c r="BH1024">
        <v>2</v>
      </c>
      <c r="BI1024" s="6">
        <v>2500000</v>
      </c>
      <c r="BJ1024" s="6">
        <v>0</v>
      </c>
      <c r="BK1024" s="6">
        <v>1000000</v>
      </c>
      <c r="BL1024" s="6">
        <v>1500000</v>
      </c>
      <c r="BM1024" s="2">
        <v>3000000</v>
      </c>
      <c r="BN1024">
        <f>InvoiceTable[[#This Row],[Giảm giá]]*InvoiceTable[[#This Row],[Số lượng]]</f>
        <v>2000000</v>
      </c>
    </row>
    <row r="1025" spans="1:66" x14ac:dyDescent="0.25">
      <c r="A1025" t="s">
        <v>65</v>
      </c>
      <c r="B1025" t="s">
        <v>3020</v>
      </c>
      <c r="F1025" s="2"/>
      <c r="G1025" s="3">
        <v>46006.395795949073</v>
      </c>
      <c r="H1025" s="3">
        <v>46006.39579603009</v>
      </c>
      <c r="I1025" s="4" t="s">
        <v>67</v>
      </c>
      <c r="J1025" t="s">
        <v>67</v>
      </c>
      <c r="K1025" t="s">
        <v>67</v>
      </c>
      <c r="L1025" t="s">
        <v>398</v>
      </c>
      <c r="M1025" t="s">
        <v>399</v>
      </c>
      <c r="N1025" t="s">
        <v>400</v>
      </c>
      <c r="O1025" t="s">
        <v>401</v>
      </c>
      <c r="P1025" t="s">
        <v>402</v>
      </c>
      <c r="S1025" s="5"/>
      <c r="T1025" t="s">
        <v>72</v>
      </c>
      <c r="U1025" t="s">
        <v>102</v>
      </c>
      <c r="V1025" t="s">
        <v>74</v>
      </c>
      <c r="W1025" t="s">
        <v>102</v>
      </c>
      <c r="AE1025" s="2"/>
      <c r="AF1025" s="2"/>
      <c r="AG1025" s="2"/>
      <c r="AH1025" s="2"/>
      <c r="AL1025" s="2">
        <v>636120</v>
      </c>
      <c r="AM1025" s="2">
        <v>0</v>
      </c>
      <c r="AN1025" s="2"/>
      <c r="AO1025" s="2">
        <v>0</v>
      </c>
      <c r="AP1025" s="2">
        <v>636120</v>
      </c>
      <c r="AQ1025" s="2">
        <v>0</v>
      </c>
      <c r="AR1025" s="2">
        <v>0</v>
      </c>
      <c r="AS1025" s="2">
        <v>0</v>
      </c>
      <c r="AT1025" s="2">
        <v>0</v>
      </c>
      <c r="AU1025" s="2">
        <v>0</v>
      </c>
      <c r="AV1025" s="2">
        <v>0</v>
      </c>
      <c r="AW1025" s="4"/>
      <c r="AX1025" t="s">
        <v>75</v>
      </c>
      <c r="AZ1025" t="s">
        <v>2555</v>
      </c>
      <c r="BA1025" t="s">
        <v>67</v>
      </c>
      <c r="BB1025" t="s">
        <v>2556</v>
      </c>
      <c r="BC1025" t="s">
        <v>986</v>
      </c>
      <c r="BD1025" t="s">
        <v>79</v>
      </c>
      <c r="BE1025" t="s">
        <v>168</v>
      </c>
      <c r="BF1025" s="5">
        <v>46388</v>
      </c>
      <c r="BH1025">
        <v>1</v>
      </c>
      <c r="BI1025" s="6">
        <v>1026000</v>
      </c>
      <c r="BJ1025" s="6">
        <v>38</v>
      </c>
      <c r="BK1025" s="6">
        <v>389880</v>
      </c>
      <c r="BL1025" s="6">
        <v>636120</v>
      </c>
      <c r="BM1025" s="2">
        <v>636120</v>
      </c>
      <c r="BN1025">
        <f>InvoiceTable[[#This Row],[Giảm giá]]*InvoiceTable[[#This Row],[Số lượng]]</f>
        <v>389880</v>
      </c>
    </row>
    <row r="1026" spans="1:66" x14ac:dyDescent="0.25">
      <c r="A1026" t="s">
        <v>65</v>
      </c>
      <c r="B1026" t="s">
        <v>3021</v>
      </c>
      <c r="F1026" s="2"/>
      <c r="G1026" s="3">
        <v>46006.394747685183</v>
      </c>
      <c r="H1026" s="3">
        <v>46006.394666666667</v>
      </c>
      <c r="I1026" s="4" t="s">
        <v>1515</v>
      </c>
      <c r="J1026" t="s">
        <v>67</v>
      </c>
      <c r="K1026" t="s">
        <v>67</v>
      </c>
      <c r="L1026" t="s">
        <v>884</v>
      </c>
      <c r="M1026" t="s">
        <v>885</v>
      </c>
      <c r="N1026" t="s">
        <v>67</v>
      </c>
      <c r="O1026" t="s">
        <v>886</v>
      </c>
      <c r="P1026" t="s">
        <v>887</v>
      </c>
      <c r="Q1026" t="s">
        <v>67</v>
      </c>
      <c r="R1026" t="s">
        <v>67</v>
      </c>
      <c r="S1026" s="5"/>
      <c r="T1026" t="s">
        <v>72</v>
      </c>
      <c r="U1026" t="s">
        <v>102</v>
      </c>
      <c r="V1026" t="s">
        <v>74</v>
      </c>
      <c r="W1026" t="s">
        <v>102</v>
      </c>
      <c r="AE1026" s="2"/>
      <c r="AF1026" s="2"/>
      <c r="AG1026" s="2"/>
      <c r="AH1026" s="2"/>
      <c r="AL1026" s="2">
        <v>18816700</v>
      </c>
      <c r="AM1026" s="2">
        <v>0</v>
      </c>
      <c r="AN1026" s="2"/>
      <c r="AO1026" s="2">
        <v>0</v>
      </c>
      <c r="AP1026" s="2">
        <v>18816700</v>
      </c>
      <c r="AQ1026" s="2">
        <v>0</v>
      </c>
      <c r="AR1026" s="2">
        <v>0</v>
      </c>
      <c r="AS1026" s="2">
        <v>0</v>
      </c>
      <c r="AT1026" s="2">
        <v>0</v>
      </c>
      <c r="AU1026" s="2">
        <v>0</v>
      </c>
      <c r="AV1026" s="2">
        <v>0</v>
      </c>
      <c r="AW1026" s="4"/>
      <c r="AX1026" t="s">
        <v>75</v>
      </c>
      <c r="AZ1026" t="s">
        <v>435</v>
      </c>
      <c r="BA1026" t="s">
        <v>67</v>
      </c>
      <c r="BB1026" t="s">
        <v>436</v>
      </c>
      <c r="BC1026" t="s">
        <v>437</v>
      </c>
      <c r="BD1026" t="s">
        <v>79</v>
      </c>
      <c r="BE1026" t="s">
        <v>142</v>
      </c>
      <c r="BF1026" s="5">
        <v>46844</v>
      </c>
      <c r="BH1026">
        <v>1</v>
      </c>
      <c r="BI1026" s="6">
        <v>1200000</v>
      </c>
      <c r="BJ1026" s="6">
        <v>0</v>
      </c>
      <c r="BK1026" s="6">
        <v>550000</v>
      </c>
      <c r="BL1026" s="6">
        <v>650000</v>
      </c>
      <c r="BM1026" s="2">
        <v>650000</v>
      </c>
      <c r="BN1026">
        <f>InvoiceTable[[#This Row],[Giảm giá]]*InvoiceTable[[#This Row],[Số lượng]]</f>
        <v>550000</v>
      </c>
    </row>
    <row r="1027" spans="1:66" x14ac:dyDescent="0.25">
      <c r="A1027" t="s">
        <v>65</v>
      </c>
      <c r="B1027" t="s">
        <v>3021</v>
      </c>
      <c r="F1027" s="2"/>
      <c r="G1027" s="3">
        <v>46006.394747685183</v>
      </c>
      <c r="H1027" s="3">
        <v>46006.394666666667</v>
      </c>
      <c r="I1027" s="4" t="s">
        <v>1515</v>
      </c>
      <c r="J1027" t="s">
        <v>67</v>
      </c>
      <c r="K1027" t="s">
        <v>67</v>
      </c>
      <c r="L1027" t="s">
        <v>884</v>
      </c>
      <c r="M1027" t="s">
        <v>885</v>
      </c>
      <c r="N1027" t="s">
        <v>67</v>
      </c>
      <c r="O1027" t="s">
        <v>886</v>
      </c>
      <c r="P1027" t="s">
        <v>887</v>
      </c>
      <c r="Q1027" t="s">
        <v>67</v>
      </c>
      <c r="R1027" t="s">
        <v>67</v>
      </c>
      <c r="S1027" s="5"/>
      <c r="T1027" t="s">
        <v>72</v>
      </c>
      <c r="U1027" t="s">
        <v>102</v>
      </c>
      <c r="V1027" t="s">
        <v>74</v>
      </c>
      <c r="W1027" t="s">
        <v>102</v>
      </c>
      <c r="AE1027" s="2"/>
      <c r="AF1027" s="2"/>
      <c r="AG1027" s="2"/>
      <c r="AH1027" s="2"/>
      <c r="AL1027" s="2">
        <v>18816700</v>
      </c>
      <c r="AM1027" s="2">
        <v>0</v>
      </c>
      <c r="AN1027" s="2"/>
      <c r="AO1027" s="2">
        <v>0</v>
      </c>
      <c r="AP1027" s="2">
        <v>18816700</v>
      </c>
      <c r="AQ1027" s="2">
        <v>0</v>
      </c>
      <c r="AR1027" s="2">
        <v>0</v>
      </c>
      <c r="AS1027" s="2">
        <v>0</v>
      </c>
      <c r="AT1027" s="2">
        <v>0</v>
      </c>
      <c r="AU1027" s="2">
        <v>0</v>
      </c>
      <c r="AV1027" s="2">
        <v>0</v>
      </c>
      <c r="AW1027" s="4"/>
      <c r="AX1027" t="s">
        <v>75</v>
      </c>
      <c r="AZ1027" t="s">
        <v>543</v>
      </c>
      <c r="BA1027" t="s">
        <v>67</v>
      </c>
      <c r="BB1027" t="s">
        <v>544</v>
      </c>
      <c r="BC1027" t="s">
        <v>437</v>
      </c>
      <c r="BD1027" t="s">
        <v>79</v>
      </c>
      <c r="BE1027" t="s">
        <v>545</v>
      </c>
      <c r="BF1027" s="5">
        <v>47177</v>
      </c>
      <c r="BG1027" t="s">
        <v>67</v>
      </c>
      <c r="BH1027">
        <v>1</v>
      </c>
      <c r="BI1027" s="6">
        <v>4500000</v>
      </c>
      <c r="BJ1027" s="6">
        <v>0</v>
      </c>
      <c r="BK1027" s="6">
        <v>1700000</v>
      </c>
      <c r="BL1027" s="6">
        <v>2800000</v>
      </c>
      <c r="BM1027" s="2">
        <v>2800000</v>
      </c>
      <c r="BN1027">
        <f>InvoiceTable[[#This Row],[Giảm giá]]*InvoiceTable[[#This Row],[Số lượng]]</f>
        <v>1700000</v>
      </c>
    </row>
    <row r="1028" spans="1:66" x14ac:dyDescent="0.25">
      <c r="A1028" t="s">
        <v>65</v>
      </c>
      <c r="B1028" t="s">
        <v>3021</v>
      </c>
      <c r="F1028" s="2"/>
      <c r="G1028" s="3">
        <v>46006.394747685183</v>
      </c>
      <c r="H1028" s="3">
        <v>46006.394666666667</v>
      </c>
      <c r="I1028" s="4" t="s">
        <v>1515</v>
      </c>
      <c r="J1028" t="s">
        <v>67</v>
      </c>
      <c r="K1028" t="s">
        <v>67</v>
      </c>
      <c r="L1028" t="s">
        <v>884</v>
      </c>
      <c r="M1028" t="s">
        <v>885</v>
      </c>
      <c r="N1028" t="s">
        <v>67</v>
      </c>
      <c r="O1028" t="s">
        <v>886</v>
      </c>
      <c r="P1028" t="s">
        <v>887</v>
      </c>
      <c r="Q1028" t="s">
        <v>67</v>
      </c>
      <c r="R1028" t="s">
        <v>67</v>
      </c>
      <c r="S1028" s="5"/>
      <c r="T1028" t="s">
        <v>72</v>
      </c>
      <c r="U1028" t="s">
        <v>102</v>
      </c>
      <c r="V1028" t="s">
        <v>74</v>
      </c>
      <c r="W1028" t="s">
        <v>102</v>
      </c>
      <c r="AE1028" s="2"/>
      <c r="AF1028" s="2"/>
      <c r="AG1028" s="2"/>
      <c r="AH1028" s="2"/>
      <c r="AL1028" s="2">
        <v>18816700</v>
      </c>
      <c r="AM1028" s="2">
        <v>0</v>
      </c>
      <c r="AN1028" s="2"/>
      <c r="AO1028" s="2">
        <v>0</v>
      </c>
      <c r="AP1028" s="2">
        <v>18816700</v>
      </c>
      <c r="AQ1028" s="2">
        <v>0</v>
      </c>
      <c r="AR1028" s="2">
        <v>0</v>
      </c>
      <c r="AS1028" s="2">
        <v>0</v>
      </c>
      <c r="AT1028" s="2">
        <v>0</v>
      </c>
      <c r="AU1028" s="2">
        <v>0</v>
      </c>
      <c r="AV1028" s="2">
        <v>0</v>
      </c>
      <c r="AW1028" s="4"/>
      <c r="AX1028" t="s">
        <v>75</v>
      </c>
      <c r="AZ1028" t="s">
        <v>752</v>
      </c>
      <c r="BA1028" t="s">
        <v>67</v>
      </c>
      <c r="BB1028" t="s">
        <v>753</v>
      </c>
      <c r="BC1028" t="s">
        <v>754</v>
      </c>
      <c r="BD1028" t="s">
        <v>79</v>
      </c>
      <c r="BE1028" t="s">
        <v>188</v>
      </c>
      <c r="BF1028" s="5">
        <v>46905</v>
      </c>
      <c r="BH1028">
        <v>3</v>
      </c>
      <c r="BI1028" s="6">
        <v>2590000</v>
      </c>
      <c r="BJ1028" s="6">
        <v>0</v>
      </c>
      <c r="BK1028" s="6">
        <v>940000</v>
      </c>
      <c r="BL1028" s="6">
        <v>1650000</v>
      </c>
      <c r="BM1028" s="2">
        <v>4950000</v>
      </c>
      <c r="BN1028">
        <f>InvoiceTable[[#This Row],[Giảm giá]]*InvoiceTable[[#This Row],[Số lượng]]</f>
        <v>2820000</v>
      </c>
    </row>
    <row r="1029" spans="1:66" x14ac:dyDescent="0.25">
      <c r="A1029" t="s">
        <v>65</v>
      </c>
      <c r="B1029" t="s">
        <v>3021</v>
      </c>
      <c r="F1029" s="2"/>
      <c r="G1029" s="3">
        <v>46006.394747685183</v>
      </c>
      <c r="H1029" s="3">
        <v>46006.394666666667</v>
      </c>
      <c r="I1029" s="4" t="s">
        <v>1515</v>
      </c>
      <c r="J1029" t="s">
        <v>67</v>
      </c>
      <c r="K1029" t="s">
        <v>67</v>
      </c>
      <c r="L1029" t="s">
        <v>884</v>
      </c>
      <c r="M1029" t="s">
        <v>885</v>
      </c>
      <c r="N1029" t="s">
        <v>67</v>
      </c>
      <c r="O1029" t="s">
        <v>886</v>
      </c>
      <c r="P1029" t="s">
        <v>887</v>
      </c>
      <c r="Q1029" t="s">
        <v>67</v>
      </c>
      <c r="R1029" t="s">
        <v>67</v>
      </c>
      <c r="S1029" s="5"/>
      <c r="T1029" t="s">
        <v>72</v>
      </c>
      <c r="U1029" t="s">
        <v>102</v>
      </c>
      <c r="V1029" t="s">
        <v>74</v>
      </c>
      <c r="W1029" t="s">
        <v>102</v>
      </c>
      <c r="AE1029" s="2"/>
      <c r="AF1029" s="2"/>
      <c r="AG1029" s="2"/>
      <c r="AH1029" s="2"/>
      <c r="AL1029" s="2">
        <v>18816700</v>
      </c>
      <c r="AM1029" s="2">
        <v>0</v>
      </c>
      <c r="AN1029" s="2"/>
      <c r="AO1029" s="2">
        <v>0</v>
      </c>
      <c r="AP1029" s="2">
        <v>18816700</v>
      </c>
      <c r="AQ1029" s="2">
        <v>0</v>
      </c>
      <c r="AR1029" s="2">
        <v>0</v>
      </c>
      <c r="AS1029" s="2">
        <v>0</v>
      </c>
      <c r="AT1029" s="2">
        <v>0</v>
      </c>
      <c r="AU1029" s="2">
        <v>0</v>
      </c>
      <c r="AV1029" s="2">
        <v>0</v>
      </c>
      <c r="AW1029" s="4"/>
      <c r="AX1029" t="s">
        <v>75</v>
      </c>
      <c r="AZ1029" t="s">
        <v>1678</v>
      </c>
      <c r="BB1029" t="s">
        <v>1679</v>
      </c>
      <c r="BC1029" t="s">
        <v>590</v>
      </c>
      <c r="BD1029" t="s">
        <v>79</v>
      </c>
      <c r="BE1029" t="s">
        <v>1231</v>
      </c>
      <c r="BF1029" s="5">
        <v>47239</v>
      </c>
      <c r="BH1029">
        <v>1</v>
      </c>
      <c r="BI1029" s="6">
        <v>7490000</v>
      </c>
      <c r="BJ1029" s="6">
        <v>17</v>
      </c>
      <c r="BK1029" s="6">
        <v>1273300</v>
      </c>
      <c r="BL1029" s="6">
        <v>6216700</v>
      </c>
      <c r="BM1029" s="2">
        <v>6216700</v>
      </c>
      <c r="BN1029">
        <f>InvoiceTable[[#This Row],[Giảm giá]]*InvoiceTable[[#This Row],[Số lượng]]</f>
        <v>1273300</v>
      </c>
    </row>
    <row r="1030" spans="1:66" x14ac:dyDescent="0.25">
      <c r="A1030" t="s">
        <v>65</v>
      </c>
      <c r="B1030" t="s">
        <v>3021</v>
      </c>
      <c r="F1030" s="2"/>
      <c r="G1030" s="3">
        <v>46006.394747685183</v>
      </c>
      <c r="H1030" s="3">
        <v>46006.394666666667</v>
      </c>
      <c r="I1030" s="4" t="s">
        <v>1515</v>
      </c>
      <c r="J1030" t="s">
        <v>67</v>
      </c>
      <c r="K1030" t="s">
        <v>67</v>
      </c>
      <c r="L1030" t="s">
        <v>884</v>
      </c>
      <c r="M1030" t="s">
        <v>885</v>
      </c>
      <c r="N1030" t="s">
        <v>67</v>
      </c>
      <c r="O1030" t="s">
        <v>886</v>
      </c>
      <c r="P1030" t="s">
        <v>887</v>
      </c>
      <c r="Q1030" t="s">
        <v>67</v>
      </c>
      <c r="R1030" t="s">
        <v>67</v>
      </c>
      <c r="S1030" s="5"/>
      <c r="T1030" t="s">
        <v>72</v>
      </c>
      <c r="U1030" t="s">
        <v>102</v>
      </c>
      <c r="V1030" t="s">
        <v>74</v>
      </c>
      <c r="W1030" t="s">
        <v>102</v>
      </c>
      <c r="AE1030" s="2"/>
      <c r="AF1030" s="2"/>
      <c r="AG1030" s="2"/>
      <c r="AH1030" s="2"/>
      <c r="AL1030" s="2">
        <v>18816700</v>
      </c>
      <c r="AM1030" s="2">
        <v>0</v>
      </c>
      <c r="AN1030" s="2"/>
      <c r="AO1030" s="2">
        <v>0</v>
      </c>
      <c r="AP1030" s="2">
        <v>18816700</v>
      </c>
      <c r="AQ1030" s="2">
        <v>0</v>
      </c>
      <c r="AR1030" s="2">
        <v>0</v>
      </c>
      <c r="AS1030" s="2">
        <v>0</v>
      </c>
      <c r="AT1030" s="2">
        <v>0</v>
      </c>
      <c r="AU1030" s="2">
        <v>0</v>
      </c>
      <c r="AV1030" s="2">
        <v>0</v>
      </c>
      <c r="AW1030" s="4"/>
      <c r="AX1030" t="s">
        <v>75</v>
      </c>
      <c r="AZ1030" t="s">
        <v>1562</v>
      </c>
      <c r="BB1030" t="s">
        <v>1563</v>
      </c>
      <c r="BC1030" t="s">
        <v>590</v>
      </c>
      <c r="BD1030" t="s">
        <v>79</v>
      </c>
      <c r="BE1030" t="s">
        <v>1564</v>
      </c>
      <c r="BF1030" s="5">
        <v>46598</v>
      </c>
      <c r="BH1030">
        <v>2</v>
      </c>
      <c r="BI1030" s="6">
        <v>2590000</v>
      </c>
      <c r="BJ1030" s="6">
        <v>0</v>
      </c>
      <c r="BK1030" s="6">
        <v>490000</v>
      </c>
      <c r="BL1030" s="6">
        <v>2100000</v>
      </c>
      <c r="BM1030" s="2">
        <v>4200000</v>
      </c>
      <c r="BN1030">
        <f>InvoiceTable[[#This Row],[Giảm giá]]*InvoiceTable[[#This Row],[Số lượng]]</f>
        <v>980000</v>
      </c>
    </row>
    <row r="1031" spans="1:66" x14ac:dyDescent="0.25">
      <c r="A1031" t="s">
        <v>65</v>
      </c>
      <c r="B1031" t="s">
        <v>3022</v>
      </c>
      <c r="F1031" s="2"/>
      <c r="G1031" s="3">
        <v>46006.389421030093</v>
      </c>
      <c r="H1031" s="3">
        <v>46006.389421064814</v>
      </c>
      <c r="I1031" s="4" t="s">
        <v>67</v>
      </c>
      <c r="J1031" t="s">
        <v>67</v>
      </c>
      <c r="K1031" t="s">
        <v>67</v>
      </c>
      <c r="L1031" t="s">
        <v>119</v>
      </c>
      <c r="M1031" t="s">
        <v>120</v>
      </c>
      <c r="N1031" t="s">
        <v>67</v>
      </c>
      <c r="O1031" t="s">
        <v>121</v>
      </c>
      <c r="Q1031" t="s">
        <v>122</v>
      </c>
      <c r="R1031" t="s">
        <v>123</v>
      </c>
      <c r="S1031" s="5"/>
      <c r="T1031" t="s">
        <v>72</v>
      </c>
      <c r="U1031" t="s">
        <v>102</v>
      </c>
      <c r="V1031" t="s">
        <v>74</v>
      </c>
      <c r="W1031" t="s">
        <v>102</v>
      </c>
      <c r="AE1031" s="2"/>
      <c r="AF1031" s="2"/>
      <c r="AG1031" s="2"/>
      <c r="AH1031" s="2"/>
      <c r="AL1031" s="2">
        <v>10800000</v>
      </c>
      <c r="AM1031" s="2">
        <v>0</v>
      </c>
      <c r="AN1031" s="2"/>
      <c r="AO1031" s="2">
        <v>0</v>
      </c>
      <c r="AP1031" s="2">
        <v>10800000</v>
      </c>
      <c r="AQ1031" s="2">
        <v>0</v>
      </c>
      <c r="AR1031" s="2">
        <v>0</v>
      </c>
      <c r="AS1031" s="2">
        <v>0</v>
      </c>
      <c r="AT1031" s="2">
        <v>0</v>
      </c>
      <c r="AU1031" s="2">
        <v>0</v>
      </c>
      <c r="AV1031" s="2">
        <v>0</v>
      </c>
      <c r="AW1031" s="4"/>
      <c r="AX1031" t="s">
        <v>75</v>
      </c>
      <c r="AZ1031" t="s">
        <v>124</v>
      </c>
      <c r="BA1031" t="s">
        <v>67</v>
      </c>
      <c r="BB1031" t="s">
        <v>125</v>
      </c>
      <c r="BC1031" t="s">
        <v>126</v>
      </c>
      <c r="BD1031" t="s">
        <v>79</v>
      </c>
      <c r="BE1031" t="s">
        <v>2920</v>
      </c>
      <c r="BF1031" s="5">
        <v>46772</v>
      </c>
      <c r="BH1031">
        <v>20</v>
      </c>
      <c r="BI1031" s="6">
        <v>1200000</v>
      </c>
      <c r="BJ1031" s="6">
        <v>0</v>
      </c>
      <c r="BK1031" s="6">
        <v>660000</v>
      </c>
      <c r="BL1031" s="6">
        <v>540000</v>
      </c>
      <c r="BM1031" s="2">
        <v>10800000</v>
      </c>
      <c r="BN1031">
        <f>InvoiceTable[[#This Row],[Giảm giá]]*InvoiceTable[[#This Row],[Số lượng]]</f>
        <v>13200000</v>
      </c>
    </row>
    <row r="1032" spans="1:66" x14ac:dyDescent="0.25">
      <c r="A1032" t="s">
        <v>65</v>
      </c>
      <c r="B1032" t="s">
        <v>3023</v>
      </c>
      <c r="F1032" s="2"/>
      <c r="G1032" s="3">
        <v>46006.386918171294</v>
      </c>
      <c r="H1032" s="3">
        <v>46006.386918252312</v>
      </c>
      <c r="I1032" s="4" t="s">
        <v>67</v>
      </c>
      <c r="J1032" t="s">
        <v>67</v>
      </c>
      <c r="K1032" t="s">
        <v>67</v>
      </c>
      <c r="L1032" t="s">
        <v>1223</v>
      </c>
      <c r="M1032" t="s">
        <v>1224</v>
      </c>
      <c r="N1032" t="s">
        <v>1225</v>
      </c>
      <c r="O1032" t="s">
        <v>1226</v>
      </c>
      <c r="P1032" t="s">
        <v>1227</v>
      </c>
      <c r="S1032" s="5"/>
      <c r="T1032" t="s">
        <v>72</v>
      </c>
      <c r="U1032" t="s">
        <v>102</v>
      </c>
      <c r="V1032" t="s">
        <v>74</v>
      </c>
      <c r="W1032" t="s">
        <v>102</v>
      </c>
      <c r="AE1032" s="2"/>
      <c r="AF1032" s="2"/>
      <c r="AG1032" s="2"/>
      <c r="AH1032" s="2"/>
      <c r="AK1032" t="s">
        <v>3024</v>
      </c>
      <c r="AL1032" s="2">
        <v>1512000</v>
      </c>
      <c r="AM1032" s="2">
        <v>0</v>
      </c>
      <c r="AN1032" s="2"/>
      <c r="AO1032" s="2">
        <v>0</v>
      </c>
      <c r="AP1032" s="2">
        <v>1512000</v>
      </c>
      <c r="AQ1032" s="2">
        <v>0</v>
      </c>
      <c r="AR1032" s="2">
        <v>0</v>
      </c>
      <c r="AS1032" s="2">
        <v>0</v>
      </c>
      <c r="AT1032" s="2">
        <v>0</v>
      </c>
      <c r="AU1032" s="2">
        <v>0</v>
      </c>
      <c r="AV1032" s="2">
        <v>0</v>
      </c>
      <c r="AW1032" s="4"/>
      <c r="AX1032" t="s">
        <v>75</v>
      </c>
      <c r="AZ1032" t="s">
        <v>2332</v>
      </c>
      <c r="BA1032" t="s">
        <v>67</v>
      </c>
      <c r="BB1032" t="s">
        <v>2333</v>
      </c>
      <c r="BC1032" t="s">
        <v>204</v>
      </c>
      <c r="BD1032" t="s">
        <v>79</v>
      </c>
      <c r="BE1032" t="s">
        <v>324</v>
      </c>
      <c r="BF1032" s="5">
        <v>47058</v>
      </c>
      <c r="BH1032">
        <v>2</v>
      </c>
      <c r="BI1032" s="6">
        <v>1260000</v>
      </c>
      <c r="BJ1032" s="6">
        <v>40</v>
      </c>
      <c r="BK1032" s="6">
        <v>504000</v>
      </c>
      <c r="BL1032" s="6">
        <v>756000</v>
      </c>
      <c r="BM1032" s="2">
        <v>1512000</v>
      </c>
      <c r="BN1032">
        <f>InvoiceTable[[#This Row],[Giảm giá]]*InvoiceTable[[#This Row],[Số lượng]]</f>
        <v>1008000</v>
      </c>
    </row>
    <row r="1033" spans="1:66" x14ac:dyDescent="0.25">
      <c r="A1033" t="s">
        <v>65</v>
      </c>
      <c r="B1033" t="s">
        <v>3025</v>
      </c>
      <c r="F1033" s="2"/>
      <c r="G1033" s="3">
        <v>46006.386320219906</v>
      </c>
      <c r="H1033" s="3">
        <v>46006.386297187499</v>
      </c>
      <c r="I1033" s="4" t="s">
        <v>2908</v>
      </c>
      <c r="J1033" t="s">
        <v>3026</v>
      </c>
      <c r="K1033" t="s">
        <v>67</v>
      </c>
      <c r="L1033" t="s">
        <v>3027</v>
      </c>
      <c r="M1033" t="s">
        <v>3028</v>
      </c>
      <c r="N1033" t="s">
        <v>67</v>
      </c>
      <c r="O1033" t="s">
        <v>3029</v>
      </c>
      <c r="P1033" t="s">
        <v>3030</v>
      </c>
      <c r="Q1033" t="s">
        <v>3031</v>
      </c>
      <c r="R1033" t="s">
        <v>3032</v>
      </c>
      <c r="S1033" s="5"/>
      <c r="T1033" t="s">
        <v>72</v>
      </c>
      <c r="U1033" t="s">
        <v>87</v>
      </c>
      <c r="V1033" t="s">
        <v>74</v>
      </c>
      <c r="W1033" t="s">
        <v>87</v>
      </c>
      <c r="AE1033" s="2"/>
      <c r="AF1033" s="2"/>
      <c r="AG1033" s="2"/>
      <c r="AH1033" s="2"/>
      <c r="AK1033" t="s">
        <v>1652</v>
      </c>
      <c r="AL1033" s="2">
        <v>660000</v>
      </c>
      <c r="AM1033" s="2">
        <v>0</v>
      </c>
      <c r="AN1033" s="2"/>
      <c r="AO1033" s="2">
        <v>0</v>
      </c>
      <c r="AP1033" s="2">
        <v>660000</v>
      </c>
      <c r="AQ1033" s="2">
        <v>0</v>
      </c>
      <c r="AR1033" s="2">
        <v>0</v>
      </c>
      <c r="AS1033" s="2">
        <v>0</v>
      </c>
      <c r="AT1033" s="2">
        <v>0</v>
      </c>
      <c r="AU1033" s="2">
        <v>0</v>
      </c>
      <c r="AV1033" s="2">
        <v>0</v>
      </c>
      <c r="AW1033" s="4"/>
      <c r="AX1033" t="s">
        <v>75</v>
      </c>
      <c r="AZ1033" t="s">
        <v>486</v>
      </c>
      <c r="BA1033" t="s">
        <v>67</v>
      </c>
      <c r="BB1033" t="s">
        <v>487</v>
      </c>
      <c r="BC1033" t="s">
        <v>485</v>
      </c>
      <c r="BD1033" t="s">
        <v>79</v>
      </c>
      <c r="BE1033" t="s">
        <v>488</v>
      </c>
      <c r="BF1033" s="5">
        <v>46647</v>
      </c>
      <c r="BG1033" t="s">
        <v>67</v>
      </c>
      <c r="BH1033">
        <v>2</v>
      </c>
      <c r="BI1033" s="6">
        <v>600000</v>
      </c>
      <c r="BJ1033" s="6">
        <v>45</v>
      </c>
      <c r="BK1033" s="6">
        <v>270000</v>
      </c>
      <c r="BL1033" s="6">
        <v>330000</v>
      </c>
      <c r="BM1033" s="2">
        <v>660000</v>
      </c>
      <c r="BN1033">
        <f>InvoiceTable[[#This Row],[Giảm giá]]*InvoiceTable[[#This Row],[Số lượng]]</f>
        <v>540000</v>
      </c>
    </row>
    <row r="1034" spans="1:66" x14ac:dyDescent="0.25">
      <c r="A1034" t="s">
        <v>65</v>
      </c>
      <c r="B1034" t="s">
        <v>3033</v>
      </c>
      <c r="F1034" s="2"/>
      <c r="G1034" s="3">
        <v>46006.385825231482</v>
      </c>
      <c r="H1034" s="3">
        <v>46006.385825381942</v>
      </c>
      <c r="I1034" s="4" t="s">
        <v>67</v>
      </c>
      <c r="J1034" t="s">
        <v>67</v>
      </c>
      <c r="K1034" t="s">
        <v>67</v>
      </c>
      <c r="L1034" t="s">
        <v>474</v>
      </c>
      <c r="M1034" t="s">
        <v>475</v>
      </c>
      <c r="N1034" t="s">
        <v>476</v>
      </c>
      <c r="O1034" t="s">
        <v>477</v>
      </c>
      <c r="P1034" t="s">
        <v>478</v>
      </c>
      <c r="S1034" s="5"/>
      <c r="T1034" t="s">
        <v>72</v>
      </c>
      <c r="U1034" t="s">
        <v>102</v>
      </c>
      <c r="V1034" t="s">
        <v>74</v>
      </c>
      <c r="W1034" t="s">
        <v>102</v>
      </c>
      <c r="AE1034" s="2"/>
      <c r="AF1034" s="2"/>
      <c r="AG1034" s="2"/>
      <c r="AH1034" s="2"/>
      <c r="AL1034" s="2">
        <v>1669150</v>
      </c>
      <c r="AM1034" s="2">
        <v>0</v>
      </c>
      <c r="AN1034" s="2"/>
      <c r="AO1034" s="2">
        <v>0</v>
      </c>
      <c r="AP1034" s="2">
        <v>1669150</v>
      </c>
      <c r="AQ1034" s="2">
        <v>0</v>
      </c>
      <c r="AR1034" s="2">
        <v>0</v>
      </c>
      <c r="AS1034" s="2">
        <v>0</v>
      </c>
      <c r="AT1034" s="2">
        <v>0</v>
      </c>
      <c r="AU1034" s="2">
        <v>0</v>
      </c>
      <c r="AV1034" s="2">
        <v>0</v>
      </c>
      <c r="AW1034" s="4"/>
      <c r="AX1034" t="s">
        <v>75</v>
      </c>
      <c r="AZ1034" t="s">
        <v>704</v>
      </c>
      <c r="BA1034" t="s">
        <v>67</v>
      </c>
      <c r="BB1034" t="s">
        <v>705</v>
      </c>
      <c r="BC1034" t="s">
        <v>706</v>
      </c>
      <c r="BD1034" t="s">
        <v>79</v>
      </c>
      <c r="BE1034" t="s">
        <v>378</v>
      </c>
      <c r="BF1034" s="5">
        <v>46997</v>
      </c>
      <c r="BH1034">
        <v>1</v>
      </c>
      <c r="BI1034" s="6">
        <v>860000</v>
      </c>
      <c r="BJ1034" s="6">
        <v>44</v>
      </c>
      <c r="BK1034" s="6">
        <v>378400</v>
      </c>
      <c r="BL1034" s="6">
        <v>481600</v>
      </c>
      <c r="BM1034" s="2">
        <v>481600</v>
      </c>
      <c r="BN1034">
        <f>InvoiceTable[[#This Row],[Giảm giá]]*InvoiceTable[[#This Row],[Số lượng]]</f>
        <v>378400</v>
      </c>
    </row>
    <row r="1035" spans="1:66" x14ac:dyDescent="0.25">
      <c r="A1035" t="s">
        <v>65</v>
      </c>
      <c r="B1035" t="s">
        <v>3033</v>
      </c>
      <c r="F1035" s="2"/>
      <c r="G1035" s="3">
        <v>46006.385825231482</v>
      </c>
      <c r="H1035" s="3">
        <v>46006.385825381942</v>
      </c>
      <c r="I1035" s="4" t="s">
        <v>67</v>
      </c>
      <c r="J1035" t="s">
        <v>67</v>
      </c>
      <c r="K1035" t="s">
        <v>67</v>
      </c>
      <c r="L1035" t="s">
        <v>474</v>
      </c>
      <c r="M1035" t="s">
        <v>475</v>
      </c>
      <c r="N1035" t="s">
        <v>476</v>
      </c>
      <c r="O1035" t="s">
        <v>477</v>
      </c>
      <c r="P1035" t="s">
        <v>478</v>
      </c>
      <c r="S1035" s="5"/>
      <c r="T1035" t="s">
        <v>72</v>
      </c>
      <c r="U1035" t="s">
        <v>102</v>
      </c>
      <c r="V1035" t="s">
        <v>74</v>
      </c>
      <c r="W1035" t="s">
        <v>102</v>
      </c>
      <c r="AE1035" s="2"/>
      <c r="AF1035" s="2"/>
      <c r="AG1035" s="2"/>
      <c r="AH1035" s="2"/>
      <c r="AL1035" s="2">
        <v>1669150</v>
      </c>
      <c r="AM1035" s="2">
        <v>0</v>
      </c>
      <c r="AN1035" s="2"/>
      <c r="AO1035" s="2">
        <v>0</v>
      </c>
      <c r="AP1035" s="2">
        <v>1669150</v>
      </c>
      <c r="AQ1035" s="2">
        <v>0</v>
      </c>
      <c r="AR1035" s="2">
        <v>0</v>
      </c>
      <c r="AS1035" s="2">
        <v>0</v>
      </c>
      <c r="AT1035" s="2">
        <v>0</v>
      </c>
      <c r="AU1035" s="2">
        <v>0</v>
      </c>
      <c r="AV1035" s="2">
        <v>0</v>
      </c>
      <c r="AW1035" s="4"/>
      <c r="AX1035" t="s">
        <v>75</v>
      </c>
      <c r="AZ1035" t="s">
        <v>1435</v>
      </c>
      <c r="BA1035" t="s">
        <v>67</v>
      </c>
      <c r="BB1035" t="s">
        <v>1436</v>
      </c>
      <c r="BC1035" t="s">
        <v>377</v>
      </c>
      <c r="BD1035" t="s">
        <v>79</v>
      </c>
      <c r="BE1035" t="s">
        <v>188</v>
      </c>
      <c r="BF1035" s="5">
        <v>46905</v>
      </c>
      <c r="BH1035">
        <v>1</v>
      </c>
      <c r="BI1035" s="6">
        <v>1885000</v>
      </c>
      <c r="BJ1035" s="6">
        <v>37</v>
      </c>
      <c r="BK1035" s="6">
        <v>697450</v>
      </c>
      <c r="BL1035" s="6">
        <v>1187550</v>
      </c>
      <c r="BM1035" s="2">
        <v>1187550</v>
      </c>
      <c r="BN1035">
        <f>InvoiceTable[[#This Row],[Giảm giá]]*InvoiceTable[[#This Row],[Số lượng]]</f>
        <v>697450</v>
      </c>
    </row>
    <row r="1036" spans="1:66" x14ac:dyDescent="0.25">
      <c r="A1036" t="s">
        <v>65</v>
      </c>
      <c r="B1036" t="s">
        <v>3034</v>
      </c>
      <c r="F1036" s="2"/>
      <c r="G1036" s="3">
        <v>46005.710394791669</v>
      </c>
      <c r="H1036" s="3">
        <v>46005.710325462962</v>
      </c>
      <c r="I1036" s="4" t="s">
        <v>1941</v>
      </c>
      <c r="J1036" t="s">
        <v>3035</v>
      </c>
      <c r="K1036" t="s">
        <v>67</v>
      </c>
      <c r="L1036" t="s">
        <v>3036</v>
      </c>
      <c r="M1036" t="s">
        <v>3037</v>
      </c>
      <c r="N1036" t="s">
        <v>67</v>
      </c>
      <c r="O1036" t="s">
        <v>3038</v>
      </c>
      <c r="P1036" t="s">
        <v>3039</v>
      </c>
      <c r="S1036" s="5"/>
      <c r="T1036" t="s">
        <v>72</v>
      </c>
      <c r="U1036" t="s">
        <v>87</v>
      </c>
      <c r="V1036" t="s">
        <v>74</v>
      </c>
      <c r="W1036" t="s">
        <v>73</v>
      </c>
      <c r="AE1036" s="2"/>
      <c r="AF1036" s="2"/>
      <c r="AG1036" s="2"/>
      <c r="AH1036" s="2"/>
      <c r="AK1036" t="s">
        <v>3040</v>
      </c>
      <c r="AL1036" s="2">
        <v>410000</v>
      </c>
      <c r="AM1036" s="2">
        <v>0</v>
      </c>
      <c r="AN1036" s="2"/>
      <c r="AO1036" s="2">
        <v>0</v>
      </c>
      <c r="AP1036" s="2">
        <v>410000</v>
      </c>
      <c r="AQ1036" s="2">
        <v>0</v>
      </c>
      <c r="AR1036" s="2">
        <v>0</v>
      </c>
      <c r="AS1036" s="2">
        <v>0</v>
      </c>
      <c r="AT1036" s="2">
        <v>0</v>
      </c>
      <c r="AU1036" s="2">
        <v>0</v>
      </c>
      <c r="AV1036" s="2">
        <v>0</v>
      </c>
      <c r="AW1036" s="4"/>
      <c r="AX1036" t="s">
        <v>75</v>
      </c>
      <c r="AZ1036" t="s">
        <v>828</v>
      </c>
      <c r="BA1036" t="s">
        <v>67</v>
      </c>
      <c r="BB1036" t="s">
        <v>829</v>
      </c>
      <c r="BC1036" t="s">
        <v>830</v>
      </c>
      <c r="BD1036" t="s">
        <v>79</v>
      </c>
      <c r="BE1036" t="s">
        <v>117</v>
      </c>
      <c r="BF1036" s="5">
        <v>46569</v>
      </c>
      <c r="BG1036" t="s">
        <v>67</v>
      </c>
      <c r="BH1036">
        <v>1</v>
      </c>
      <c r="BI1036" s="6">
        <v>550000</v>
      </c>
      <c r="BJ1036" s="6">
        <v>0</v>
      </c>
      <c r="BK1036" s="6">
        <v>140000</v>
      </c>
      <c r="BL1036" s="6">
        <v>410000</v>
      </c>
      <c r="BM1036" s="2">
        <v>410000</v>
      </c>
      <c r="BN1036">
        <f>InvoiceTable[[#This Row],[Giảm giá]]*InvoiceTable[[#This Row],[Số lượng]]</f>
        <v>140000</v>
      </c>
    </row>
    <row r="1037" spans="1:66" x14ac:dyDescent="0.25">
      <c r="A1037" t="s">
        <v>65</v>
      </c>
      <c r="B1037" t="s">
        <v>3041</v>
      </c>
      <c r="F1037" s="2"/>
      <c r="G1037" s="3">
        <v>46005.688128969909</v>
      </c>
      <c r="H1037" s="3">
        <v>46005.688117557867</v>
      </c>
      <c r="I1037" s="4" t="s">
        <v>3042</v>
      </c>
      <c r="J1037" t="s">
        <v>3043</v>
      </c>
      <c r="K1037" t="s">
        <v>67</v>
      </c>
      <c r="L1037" t="s">
        <v>3044</v>
      </c>
      <c r="M1037" t="s">
        <v>3045</v>
      </c>
      <c r="N1037" t="s">
        <v>67</v>
      </c>
      <c r="O1037" t="s">
        <v>3046</v>
      </c>
      <c r="P1037" t="s">
        <v>3047</v>
      </c>
      <c r="Q1037" t="s">
        <v>67</v>
      </c>
      <c r="R1037" t="s">
        <v>67</v>
      </c>
      <c r="S1037" s="5"/>
      <c r="T1037" t="s">
        <v>72</v>
      </c>
      <c r="U1037" t="s">
        <v>87</v>
      </c>
      <c r="V1037" t="s">
        <v>74</v>
      </c>
      <c r="W1037" t="s">
        <v>73</v>
      </c>
      <c r="AE1037" s="2"/>
      <c r="AF1037" s="2"/>
      <c r="AG1037" s="2"/>
      <c r="AH1037" s="2"/>
      <c r="AL1037" s="2">
        <v>16700000</v>
      </c>
      <c r="AM1037" s="2">
        <v>0</v>
      </c>
      <c r="AN1037" s="2"/>
      <c r="AO1037" s="2">
        <v>0</v>
      </c>
      <c r="AP1037" s="2">
        <v>16700000</v>
      </c>
      <c r="AQ1037" s="2">
        <v>0</v>
      </c>
      <c r="AR1037" s="2">
        <v>0</v>
      </c>
      <c r="AS1037" s="2">
        <v>0</v>
      </c>
      <c r="AT1037" s="2">
        <v>0</v>
      </c>
      <c r="AU1037" s="2">
        <v>0</v>
      </c>
      <c r="AV1037" s="2">
        <v>0</v>
      </c>
      <c r="AW1037" s="4"/>
      <c r="AX1037" t="s">
        <v>75</v>
      </c>
      <c r="AZ1037" t="s">
        <v>1678</v>
      </c>
      <c r="BB1037" t="s">
        <v>1679</v>
      </c>
      <c r="BC1037" t="s">
        <v>590</v>
      </c>
      <c r="BD1037" t="s">
        <v>79</v>
      </c>
      <c r="BE1037" t="s">
        <v>1231</v>
      </c>
      <c r="BF1037" s="5">
        <v>47239</v>
      </c>
      <c r="BH1037">
        <v>2</v>
      </c>
      <c r="BI1037" s="6">
        <v>7490000</v>
      </c>
      <c r="BJ1037" s="6">
        <v>0</v>
      </c>
      <c r="BK1037" s="6">
        <v>1190000</v>
      </c>
      <c r="BL1037" s="6">
        <v>6300000</v>
      </c>
      <c r="BM1037" s="2">
        <v>12600000</v>
      </c>
      <c r="BN1037">
        <f>InvoiceTable[[#This Row],[Giảm giá]]*InvoiceTable[[#This Row],[Số lượng]]</f>
        <v>2380000</v>
      </c>
    </row>
    <row r="1038" spans="1:66" x14ac:dyDescent="0.25">
      <c r="A1038" t="s">
        <v>65</v>
      </c>
      <c r="B1038" t="s">
        <v>3041</v>
      </c>
      <c r="F1038" s="2"/>
      <c r="G1038" s="3">
        <v>46005.688128969909</v>
      </c>
      <c r="H1038" s="3">
        <v>46005.688117557867</v>
      </c>
      <c r="I1038" s="4" t="s">
        <v>3042</v>
      </c>
      <c r="J1038" t="s">
        <v>3043</v>
      </c>
      <c r="K1038" t="s">
        <v>67</v>
      </c>
      <c r="L1038" t="s">
        <v>3044</v>
      </c>
      <c r="M1038" t="s">
        <v>3045</v>
      </c>
      <c r="N1038" t="s">
        <v>67</v>
      </c>
      <c r="O1038" t="s">
        <v>3046</v>
      </c>
      <c r="P1038" t="s">
        <v>3047</v>
      </c>
      <c r="Q1038" t="s">
        <v>67</v>
      </c>
      <c r="R1038" t="s">
        <v>67</v>
      </c>
      <c r="S1038" s="5"/>
      <c r="T1038" t="s">
        <v>72</v>
      </c>
      <c r="U1038" t="s">
        <v>87</v>
      </c>
      <c r="V1038" t="s">
        <v>74</v>
      </c>
      <c r="W1038" t="s">
        <v>73</v>
      </c>
      <c r="AE1038" s="2"/>
      <c r="AF1038" s="2"/>
      <c r="AG1038" s="2"/>
      <c r="AH1038" s="2"/>
      <c r="AL1038" s="2">
        <v>16700000</v>
      </c>
      <c r="AM1038" s="2">
        <v>0</v>
      </c>
      <c r="AN1038" s="2"/>
      <c r="AO1038" s="2">
        <v>0</v>
      </c>
      <c r="AP1038" s="2">
        <v>16700000</v>
      </c>
      <c r="AQ1038" s="2">
        <v>0</v>
      </c>
      <c r="AR1038" s="2">
        <v>0</v>
      </c>
      <c r="AS1038" s="2">
        <v>0</v>
      </c>
      <c r="AT1038" s="2">
        <v>0</v>
      </c>
      <c r="AU1038" s="2">
        <v>0</v>
      </c>
      <c r="AV1038" s="2">
        <v>0</v>
      </c>
      <c r="AW1038" s="4"/>
      <c r="AX1038" t="s">
        <v>75</v>
      </c>
      <c r="AZ1038" t="s">
        <v>103</v>
      </c>
      <c r="BB1038" t="s">
        <v>104</v>
      </c>
      <c r="BC1038" t="s">
        <v>105</v>
      </c>
      <c r="BD1038" t="s">
        <v>79</v>
      </c>
      <c r="BE1038" t="s">
        <v>106</v>
      </c>
      <c r="BF1038" s="5">
        <v>46327</v>
      </c>
      <c r="BH1038">
        <v>1</v>
      </c>
      <c r="BI1038" s="6">
        <v>6930000</v>
      </c>
      <c r="BJ1038" s="6">
        <v>0</v>
      </c>
      <c r="BK1038" s="6">
        <v>2830000</v>
      </c>
      <c r="BL1038" s="6">
        <v>4100000</v>
      </c>
      <c r="BM1038" s="2">
        <v>4100000</v>
      </c>
      <c r="BN1038">
        <f>InvoiceTable[[#This Row],[Giảm giá]]*InvoiceTable[[#This Row],[Số lượng]]</f>
        <v>2830000</v>
      </c>
    </row>
    <row r="1039" spans="1:66" x14ac:dyDescent="0.25">
      <c r="A1039" t="s">
        <v>65</v>
      </c>
      <c r="B1039" t="s">
        <v>3048</v>
      </c>
      <c r="F1039" s="2"/>
      <c r="G1039" s="3">
        <v>46005.685487847222</v>
      </c>
      <c r="H1039" s="3">
        <v>46005.685488078707</v>
      </c>
      <c r="I1039" s="4" t="s">
        <v>67</v>
      </c>
      <c r="J1039" t="s">
        <v>3049</v>
      </c>
      <c r="K1039" t="s">
        <v>67</v>
      </c>
      <c r="L1039" t="s">
        <v>3050</v>
      </c>
      <c r="M1039" t="s">
        <v>3051</v>
      </c>
      <c r="N1039" t="s">
        <v>67</v>
      </c>
      <c r="O1039" t="s">
        <v>3052</v>
      </c>
      <c r="P1039" t="s">
        <v>3053</v>
      </c>
      <c r="Q1039" t="s">
        <v>67</v>
      </c>
      <c r="R1039" t="s">
        <v>67</v>
      </c>
      <c r="S1039" s="5"/>
      <c r="T1039" t="s">
        <v>72</v>
      </c>
      <c r="U1039" t="s">
        <v>87</v>
      </c>
      <c r="V1039" t="s">
        <v>74</v>
      </c>
      <c r="W1039" t="s">
        <v>73</v>
      </c>
      <c r="AE1039" s="2"/>
      <c r="AF1039" s="2"/>
      <c r="AG1039" s="2"/>
      <c r="AH1039" s="2"/>
      <c r="AK1039" t="s">
        <v>67</v>
      </c>
      <c r="AL1039" s="2">
        <v>315900</v>
      </c>
      <c r="AM1039" s="2">
        <v>0</v>
      </c>
      <c r="AN1039" s="2"/>
      <c r="AO1039" s="2">
        <v>0</v>
      </c>
      <c r="AP1039" s="2">
        <v>315900</v>
      </c>
      <c r="AQ1039" s="2">
        <v>0</v>
      </c>
      <c r="AR1039" s="2">
        <v>0</v>
      </c>
      <c r="AS1039" s="2">
        <v>0</v>
      </c>
      <c r="AT1039" s="2">
        <v>0</v>
      </c>
      <c r="AU1039" s="2">
        <v>0</v>
      </c>
      <c r="AV1039" s="2">
        <v>0</v>
      </c>
      <c r="AW1039" s="4"/>
      <c r="AX1039" t="s">
        <v>75</v>
      </c>
      <c r="AZ1039" t="s">
        <v>2244</v>
      </c>
      <c r="BA1039" t="s">
        <v>67</v>
      </c>
      <c r="BB1039" t="s">
        <v>2245</v>
      </c>
      <c r="BC1039" t="s">
        <v>357</v>
      </c>
      <c r="BD1039" t="s">
        <v>79</v>
      </c>
      <c r="BE1039" t="s">
        <v>293</v>
      </c>
      <c r="BF1039" s="5">
        <v>46722</v>
      </c>
      <c r="BG1039" t="s">
        <v>67</v>
      </c>
      <c r="BH1039">
        <v>1</v>
      </c>
      <c r="BI1039" s="6">
        <v>486000</v>
      </c>
      <c r="BJ1039" s="6">
        <v>35</v>
      </c>
      <c r="BK1039" s="6">
        <v>170100</v>
      </c>
      <c r="BL1039" s="6">
        <v>315900</v>
      </c>
      <c r="BM1039" s="2">
        <v>315900</v>
      </c>
      <c r="BN1039">
        <f>InvoiceTable[[#This Row],[Giảm giá]]*InvoiceTable[[#This Row],[Số lượng]]</f>
        <v>170100</v>
      </c>
    </row>
    <row r="1040" spans="1:66" x14ac:dyDescent="0.25">
      <c r="A1040" t="s">
        <v>65</v>
      </c>
      <c r="B1040" t="s">
        <v>3054</v>
      </c>
      <c r="F1040" s="2"/>
      <c r="G1040" s="3">
        <v>46005.66893753472</v>
      </c>
      <c r="H1040" s="3">
        <v>46005.668937650466</v>
      </c>
      <c r="I1040" s="4" t="s">
        <v>67</v>
      </c>
      <c r="J1040" t="s">
        <v>3055</v>
      </c>
      <c r="K1040" t="s">
        <v>67</v>
      </c>
      <c r="L1040" t="s">
        <v>3044</v>
      </c>
      <c r="M1040" t="s">
        <v>3045</v>
      </c>
      <c r="N1040" t="s">
        <v>67</v>
      </c>
      <c r="O1040" t="s">
        <v>3046</v>
      </c>
      <c r="P1040" t="s">
        <v>3047</v>
      </c>
      <c r="Q1040" t="s">
        <v>67</v>
      </c>
      <c r="R1040" t="s">
        <v>67</v>
      </c>
      <c r="S1040" s="5"/>
      <c r="T1040" t="s">
        <v>72</v>
      </c>
      <c r="U1040" t="s">
        <v>87</v>
      </c>
      <c r="V1040" t="s">
        <v>74</v>
      </c>
      <c r="W1040" t="s">
        <v>73</v>
      </c>
      <c r="AE1040" s="2"/>
      <c r="AF1040" s="2"/>
      <c r="AG1040" s="2"/>
      <c r="AH1040" s="2"/>
      <c r="AK1040" t="s">
        <v>3056</v>
      </c>
      <c r="AL1040" s="2">
        <v>5850000</v>
      </c>
      <c r="AM1040" s="2">
        <v>0</v>
      </c>
      <c r="AN1040" s="2"/>
      <c r="AO1040" s="2">
        <v>0</v>
      </c>
      <c r="AP1040" s="2">
        <v>5850000</v>
      </c>
      <c r="AQ1040" s="2">
        <v>0</v>
      </c>
      <c r="AR1040" s="2">
        <v>0</v>
      </c>
      <c r="AS1040" s="2">
        <v>0</v>
      </c>
      <c r="AT1040" s="2">
        <v>0</v>
      </c>
      <c r="AU1040" s="2">
        <v>0</v>
      </c>
      <c r="AV1040" s="2">
        <v>0</v>
      </c>
      <c r="AW1040" s="4"/>
      <c r="AX1040" t="s">
        <v>75</v>
      </c>
      <c r="AZ1040" t="s">
        <v>307</v>
      </c>
      <c r="BA1040" t="s">
        <v>67</v>
      </c>
      <c r="BB1040" t="s">
        <v>308</v>
      </c>
      <c r="BC1040" t="s">
        <v>309</v>
      </c>
      <c r="BD1040" t="s">
        <v>79</v>
      </c>
      <c r="BE1040" t="s">
        <v>3057</v>
      </c>
      <c r="BF1040" s="5">
        <v>47105</v>
      </c>
      <c r="BG1040" t="s">
        <v>67</v>
      </c>
      <c r="BH1040">
        <v>1</v>
      </c>
      <c r="BI1040" s="6">
        <v>6500000</v>
      </c>
      <c r="BJ1040" s="6">
        <v>0</v>
      </c>
      <c r="BK1040" s="6">
        <v>650000</v>
      </c>
      <c r="BL1040" s="6">
        <v>5850000</v>
      </c>
      <c r="BM1040" s="2">
        <v>5850000</v>
      </c>
      <c r="BN1040">
        <f>InvoiceTable[[#This Row],[Giảm giá]]*InvoiceTable[[#This Row],[Số lượng]]</f>
        <v>650000</v>
      </c>
    </row>
    <row r="1041" spans="1:66" x14ac:dyDescent="0.25">
      <c r="A1041" t="s">
        <v>65</v>
      </c>
      <c r="B1041" t="s">
        <v>3058</v>
      </c>
      <c r="F1041" s="2"/>
      <c r="G1041" s="3">
        <v>46005.66376369213</v>
      </c>
      <c r="H1041" s="3">
        <v>46005.663763807868</v>
      </c>
      <c r="I1041" s="4" t="s">
        <v>67</v>
      </c>
      <c r="J1041" t="s">
        <v>3059</v>
      </c>
      <c r="K1041" t="s">
        <v>67</v>
      </c>
      <c r="L1041" t="s">
        <v>3060</v>
      </c>
      <c r="M1041" t="s">
        <v>3061</v>
      </c>
      <c r="N1041" t="s">
        <v>67</v>
      </c>
      <c r="O1041" t="s">
        <v>67</v>
      </c>
      <c r="Q1041" t="s">
        <v>67</v>
      </c>
      <c r="R1041" t="s">
        <v>67</v>
      </c>
      <c r="S1041" s="5"/>
      <c r="T1041" t="s">
        <v>72</v>
      </c>
      <c r="U1041" t="s">
        <v>87</v>
      </c>
      <c r="V1041" t="s">
        <v>74</v>
      </c>
      <c r="W1041" t="s">
        <v>73</v>
      </c>
      <c r="AE1041" s="2"/>
      <c r="AF1041" s="2"/>
      <c r="AG1041" s="2"/>
      <c r="AH1041" s="2"/>
      <c r="AK1041" t="s">
        <v>3062</v>
      </c>
      <c r="AL1041" s="2">
        <v>1835800</v>
      </c>
      <c r="AM1041" s="2">
        <v>0</v>
      </c>
      <c r="AN1041" s="2"/>
      <c r="AO1041" s="2">
        <v>0</v>
      </c>
      <c r="AP1041" s="2">
        <v>1835800</v>
      </c>
      <c r="AQ1041" s="2">
        <v>1835800</v>
      </c>
      <c r="AR1041" s="2">
        <v>0</v>
      </c>
      <c r="AS1041" s="2">
        <v>0</v>
      </c>
      <c r="AT1041" s="2">
        <v>0</v>
      </c>
      <c r="AU1041" s="2">
        <v>1835800</v>
      </c>
      <c r="AV1041" s="2">
        <v>0</v>
      </c>
      <c r="AW1041" s="4"/>
      <c r="AX1041" t="s">
        <v>75</v>
      </c>
      <c r="AZ1041" t="s">
        <v>2167</v>
      </c>
      <c r="BA1041" t="s">
        <v>67</v>
      </c>
      <c r="BB1041" t="s">
        <v>2168</v>
      </c>
      <c r="BC1041" t="s">
        <v>2169</v>
      </c>
      <c r="BD1041" t="s">
        <v>79</v>
      </c>
      <c r="BE1041" t="s">
        <v>317</v>
      </c>
      <c r="BF1041" s="5">
        <v>46935</v>
      </c>
      <c r="BG1041" t="s">
        <v>67</v>
      </c>
      <c r="BH1041">
        <v>1</v>
      </c>
      <c r="BI1041" s="6">
        <v>880000</v>
      </c>
      <c r="BJ1041" s="6">
        <v>42</v>
      </c>
      <c r="BK1041" s="6">
        <v>369600</v>
      </c>
      <c r="BL1041" s="6">
        <v>510400</v>
      </c>
      <c r="BM1041" s="2">
        <v>510400</v>
      </c>
      <c r="BN1041">
        <f>InvoiceTable[[#This Row],[Giảm giá]]*InvoiceTable[[#This Row],[Số lượng]]</f>
        <v>369600</v>
      </c>
    </row>
    <row r="1042" spans="1:66" x14ac:dyDescent="0.25">
      <c r="A1042" t="s">
        <v>65</v>
      </c>
      <c r="B1042" t="s">
        <v>3058</v>
      </c>
      <c r="F1042" s="2"/>
      <c r="G1042" s="3">
        <v>46005.66376369213</v>
      </c>
      <c r="H1042" s="3">
        <v>46005.663763807868</v>
      </c>
      <c r="I1042" s="4" t="s">
        <v>67</v>
      </c>
      <c r="J1042" t="s">
        <v>3059</v>
      </c>
      <c r="K1042" t="s">
        <v>67</v>
      </c>
      <c r="L1042" t="s">
        <v>3060</v>
      </c>
      <c r="M1042" t="s">
        <v>3061</v>
      </c>
      <c r="N1042" t="s">
        <v>67</v>
      </c>
      <c r="O1042" t="s">
        <v>67</v>
      </c>
      <c r="Q1042" t="s">
        <v>67</v>
      </c>
      <c r="R1042" t="s">
        <v>67</v>
      </c>
      <c r="S1042" s="5"/>
      <c r="T1042" t="s">
        <v>72</v>
      </c>
      <c r="U1042" t="s">
        <v>87</v>
      </c>
      <c r="V1042" t="s">
        <v>74</v>
      </c>
      <c r="W1042" t="s">
        <v>73</v>
      </c>
      <c r="AE1042" s="2"/>
      <c r="AF1042" s="2"/>
      <c r="AG1042" s="2"/>
      <c r="AH1042" s="2"/>
      <c r="AK1042" t="s">
        <v>3062</v>
      </c>
      <c r="AL1042" s="2">
        <v>1835800</v>
      </c>
      <c r="AM1042" s="2">
        <v>0</v>
      </c>
      <c r="AN1042" s="2"/>
      <c r="AO1042" s="2">
        <v>0</v>
      </c>
      <c r="AP1042" s="2">
        <v>1835800</v>
      </c>
      <c r="AQ1042" s="2">
        <v>1835800</v>
      </c>
      <c r="AR1042" s="2">
        <v>0</v>
      </c>
      <c r="AS1042" s="2">
        <v>0</v>
      </c>
      <c r="AT1042" s="2">
        <v>0</v>
      </c>
      <c r="AU1042" s="2">
        <v>1835800</v>
      </c>
      <c r="AV1042" s="2">
        <v>0</v>
      </c>
      <c r="AW1042" s="4"/>
      <c r="AX1042" t="s">
        <v>75</v>
      </c>
      <c r="AZ1042" t="s">
        <v>3063</v>
      </c>
      <c r="BA1042" t="s">
        <v>67</v>
      </c>
      <c r="BB1042" t="s">
        <v>3064</v>
      </c>
      <c r="BC1042" t="s">
        <v>187</v>
      </c>
      <c r="BD1042" t="s">
        <v>79</v>
      </c>
      <c r="BE1042" t="s">
        <v>188</v>
      </c>
      <c r="BF1042" s="5">
        <v>46905</v>
      </c>
      <c r="BG1042" t="s">
        <v>67</v>
      </c>
      <c r="BH1042">
        <v>1</v>
      </c>
      <c r="BI1042" s="6">
        <v>590000</v>
      </c>
      <c r="BJ1042" s="6">
        <v>53</v>
      </c>
      <c r="BK1042" s="6">
        <v>312700</v>
      </c>
      <c r="BL1042" s="6">
        <v>277300</v>
      </c>
      <c r="BM1042" s="2">
        <v>277300</v>
      </c>
      <c r="BN1042">
        <f>InvoiceTable[[#This Row],[Giảm giá]]*InvoiceTable[[#This Row],[Số lượng]]</f>
        <v>312700</v>
      </c>
    </row>
    <row r="1043" spans="1:66" x14ac:dyDescent="0.25">
      <c r="A1043" t="s">
        <v>65</v>
      </c>
      <c r="B1043" t="s">
        <v>3058</v>
      </c>
      <c r="F1043" s="2"/>
      <c r="G1043" s="3">
        <v>46005.66376369213</v>
      </c>
      <c r="H1043" s="3">
        <v>46005.663763807868</v>
      </c>
      <c r="I1043" s="4" t="s">
        <v>67</v>
      </c>
      <c r="J1043" t="s">
        <v>3059</v>
      </c>
      <c r="K1043" t="s">
        <v>67</v>
      </c>
      <c r="L1043" t="s">
        <v>3060</v>
      </c>
      <c r="M1043" t="s">
        <v>3061</v>
      </c>
      <c r="N1043" t="s">
        <v>67</v>
      </c>
      <c r="O1043" t="s">
        <v>67</v>
      </c>
      <c r="Q1043" t="s">
        <v>67</v>
      </c>
      <c r="R1043" t="s">
        <v>67</v>
      </c>
      <c r="S1043" s="5"/>
      <c r="T1043" t="s">
        <v>72</v>
      </c>
      <c r="U1043" t="s">
        <v>87</v>
      </c>
      <c r="V1043" t="s">
        <v>74</v>
      </c>
      <c r="W1043" t="s">
        <v>73</v>
      </c>
      <c r="AE1043" s="2"/>
      <c r="AF1043" s="2"/>
      <c r="AG1043" s="2"/>
      <c r="AH1043" s="2"/>
      <c r="AK1043" t="s">
        <v>3062</v>
      </c>
      <c r="AL1043" s="2">
        <v>1835800</v>
      </c>
      <c r="AM1043" s="2">
        <v>0</v>
      </c>
      <c r="AN1043" s="2"/>
      <c r="AO1043" s="2">
        <v>0</v>
      </c>
      <c r="AP1043" s="2">
        <v>1835800</v>
      </c>
      <c r="AQ1043" s="2">
        <v>1835800</v>
      </c>
      <c r="AR1043" s="2">
        <v>0</v>
      </c>
      <c r="AS1043" s="2">
        <v>0</v>
      </c>
      <c r="AT1043" s="2">
        <v>0</v>
      </c>
      <c r="AU1043" s="2">
        <v>1835800</v>
      </c>
      <c r="AV1043" s="2">
        <v>0</v>
      </c>
      <c r="AW1043" s="4"/>
      <c r="AX1043" t="s">
        <v>75</v>
      </c>
      <c r="AZ1043" t="s">
        <v>185</v>
      </c>
      <c r="BA1043" t="s">
        <v>67</v>
      </c>
      <c r="BB1043" t="s">
        <v>186</v>
      </c>
      <c r="BC1043" t="s">
        <v>187</v>
      </c>
      <c r="BD1043" t="s">
        <v>79</v>
      </c>
      <c r="BE1043" t="s">
        <v>188</v>
      </c>
      <c r="BF1043" s="5">
        <v>46905</v>
      </c>
      <c r="BG1043" t="s">
        <v>67</v>
      </c>
      <c r="BH1043">
        <v>5</v>
      </c>
      <c r="BI1043" s="6">
        <v>230000</v>
      </c>
      <c r="BJ1043" s="6">
        <v>53</v>
      </c>
      <c r="BK1043" s="6">
        <v>121900</v>
      </c>
      <c r="BL1043" s="6">
        <v>108100</v>
      </c>
      <c r="BM1043" s="2">
        <v>540500</v>
      </c>
      <c r="BN1043">
        <f>InvoiceTable[[#This Row],[Giảm giá]]*InvoiceTable[[#This Row],[Số lượng]]</f>
        <v>609500</v>
      </c>
    </row>
    <row r="1044" spans="1:66" x14ac:dyDescent="0.25">
      <c r="A1044" t="s">
        <v>65</v>
      </c>
      <c r="B1044" t="s">
        <v>3058</v>
      </c>
      <c r="F1044" s="2"/>
      <c r="G1044" s="3">
        <v>46005.66376369213</v>
      </c>
      <c r="H1044" s="3">
        <v>46005.663763807868</v>
      </c>
      <c r="I1044" s="4" t="s">
        <v>67</v>
      </c>
      <c r="J1044" t="s">
        <v>3059</v>
      </c>
      <c r="K1044" t="s">
        <v>67</v>
      </c>
      <c r="L1044" t="s">
        <v>3060</v>
      </c>
      <c r="M1044" t="s">
        <v>3061</v>
      </c>
      <c r="N1044" t="s">
        <v>67</v>
      </c>
      <c r="O1044" t="s">
        <v>67</v>
      </c>
      <c r="Q1044" t="s">
        <v>67</v>
      </c>
      <c r="R1044" t="s">
        <v>67</v>
      </c>
      <c r="S1044" s="5"/>
      <c r="T1044" t="s">
        <v>72</v>
      </c>
      <c r="U1044" t="s">
        <v>87</v>
      </c>
      <c r="V1044" t="s">
        <v>74</v>
      </c>
      <c r="W1044" t="s">
        <v>73</v>
      </c>
      <c r="AE1044" s="2"/>
      <c r="AF1044" s="2"/>
      <c r="AG1044" s="2"/>
      <c r="AH1044" s="2"/>
      <c r="AK1044" t="s">
        <v>3062</v>
      </c>
      <c r="AL1044" s="2">
        <v>1835800</v>
      </c>
      <c r="AM1044" s="2">
        <v>0</v>
      </c>
      <c r="AN1044" s="2"/>
      <c r="AO1044" s="2">
        <v>0</v>
      </c>
      <c r="AP1044" s="2">
        <v>1835800</v>
      </c>
      <c r="AQ1044" s="2">
        <v>1835800</v>
      </c>
      <c r="AR1044" s="2">
        <v>0</v>
      </c>
      <c r="AS1044" s="2">
        <v>0</v>
      </c>
      <c r="AT1044" s="2">
        <v>0</v>
      </c>
      <c r="AU1044" s="2">
        <v>1835800</v>
      </c>
      <c r="AV1044" s="2">
        <v>0</v>
      </c>
      <c r="AW1044" s="4"/>
      <c r="AX1044" t="s">
        <v>75</v>
      </c>
      <c r="AZ1044" t="s">
        <v>2399</v>
      </c>
      <c r="BA1044" t="s">
        <v>67</v>
      </c>
      <c r="BB1044" t="s">
        <v>2400</v>
      </c>
      <c r="BC1044" t="s">
        <v>187</v>
      </c>
      <c r="BD1044" t="s">
        <v>79</v>
      </c>
      <c r="BE1044" t="s">
        <v>177</v>
      </c>
      <c r="BF1044" s="5">
        <v>47027</v>
      </c>
      <c r="BG1044" t="s">
        <v>67</v>
      </c>
      <c r="BH1044">
        <v>1</v>
      </c>
      <c r="BI1044" s="6">
        <v>390000</v>
      </c>
      <c r="BJ1044" s="6">
        <v>53</v>
      </c>
      <c r="BK1044" s="6">
        <v>206700</v>
      </c>
      <c r="BL1044" s="6">
        <v>183300</v>
      </c>
      <c r="BM1044" s="2">
        <v>183300</v>
      </c>
      <c r="BN1044">
        <f>InvoiceTable[[#This Row],[Giảm giá]]*InvoiceTable[[#This Row],[Số lượng]]</f>
        <v>206700</v>
      </c>
    </row>
    <row r="1045" spans="1:66" x14ac:dyDescent="0.25">
      <c r="A1045" t="s">
        <v>65</v>
      </c>
      <c r="B1045" t="s">
        <v>3058</v>
      </c>
      <c r="F1045" s="2"/>
      <c r="G1045" s="3">
        <v>46005.66376369213</v>
      </c>
      <c r="H1045" s="3">
        <v>46005.663763807868</v>
      </c>
      <c r="I1045" s="4" t="s">
        <v>67</v>
      </c>
      <c r="J1045" t="s">
        <v>3059</v>
      </c>
      <c r="K1045" t="s">
        <v>67</v>
      </c>
      <c r="L1045" t="s">
        <v>3060</v>
      </c>
      <c r="M1045" t="s">
        <v>3061</v>
      </c>
      <c r="N1045" t="s">
        <v>67</v>
      </c>
      <c r="O1045" t="s">
        <v>67</v>
      </c>
      <c r="Q1045" t="s">
        <v>67</v>
      </c>
      <c r="R1045" t="s">
        <v>67</v>
      </c>
      <c r="S1045" s="5"/>
      <c r="T1045" t="s">
        <v>72</v>
      </c>
      <c r="U1045" t="s">
        <v>87</v>
      </c>
      <c r="V1045" t="s">
        <v>74</v>
      </c>
      <c r="W1045" t="s">
        <v>73</v>
      </c>
      <c r="AE1045" s="2"/>
      <c r="AF1045" s="2"/>
      <c r="AG1045" s="2"/>
      <c r="AH1045" s="2"/>
      <c r="AK1045" t="s">
        <v>3062</v>
      </c>
      <c r="AL1045" s="2">
        <v>1835800</v>
      </c>
      <c r="AM1045" s="2">
        <v>0</v>
      </c>
      <c r="AN1045" s="2"/>
      <c r="AO1045" s="2">
        <v>0</v>
      </c>
      <c r="AP1045" s="2">
        <v>1835800</v>
      </c>
      <c r="AQ1045" s="2">
        <v>1835800</v>
      </c>
      <c r="AR1045" s="2">
        <v>0</v>
      </c>
      <c r="AS1045" s="2">
        <v>0</v>
      </c>
      <c r="AT1045" s="2">
        <v>0</v>
      </c>
      <c r="AU1045" s="2">
        <v>1835800</v>
      </c>
      <c r="AV1045" s="2">
        <v>0</v>
      </c>
      <c r="AW1045" s="4"/>
      <c r="AX1045" t="s">
        <v>75</v>
      </c>
      <c r="AZ1045" t="s">
        <v>922</v>
      </c>
      <c r="BA1045" t="s">
        <v>67</v>
      </c>
      <c r="BB1045" t="s">
        <v>923</v>
      </c>
      <c r="BC1045" t="s">
        <v>187</v>
      </c>
      <c r="BD1045" t="s">
        <v>79</v>
      </c>
      <c r="BE1045" t="s">
        <v>177</v>
      </c>
      <c r="BF1045" s="5">
        <v>47027</v>
      </c>
      <c r="BG1045" t="s">
        <v>67</v>
      </c>
      <c r="BH1045">
        <v>1</v>
      </c>
      <c r="BI1045" s="6">
        <v>690000</v>
      </c>
      <c r="BJ1045" s="6">
        <v>53</v>
      </c>
      <c r="BK1045" s="6">
        <v>365700</v>
      </c>
      <c r="BL1045" s="6">
        <v>324300</v>
      </c>
      <c r="BM1045" s="2">
        <v>324300</v>
      </c>
      <c r="BN1045">
        <f>InvoiceTable[[#This Row],[Giảm giá]]*InvoiceTable[[#This Row],[Số lượng]]</f>
        <v>365700</v>
      </c>
    </row>
    <row r="1046" spans="1:66" x14ac:dyDescent="0.25">
      <c r="A1046" t="s">
        <v>65</v>
      </c>
      <c r="B1046" t="s">
        <v>3065</v>
      </c>
      <c r="F1046" s="2"/>
      <c r="G1046" s="3">
        <v>46005.578796064816</v>
      </c>
      <c r="H1046" s="3">
        <v>46005.578784606485</v>
      </c>
      <c r="I1046" s="4" t="s">
        <v>3066</v>
      </c>
      <c r="J1046" t="s">
        <v>3067</v>
      </c>
      <c r="K1046" t="s">
        <v>67</v>
      </c>
      <c r="L1046" t="s">
        <v>2376</v>
      </c>
      <c r="M1046" t="s">
        <v>2377</v>
      </c>
      <c r="N1046" t="s">
        <v>67</v>
      </c>
      <c r="O1046" t="s">
        <v>2378</v>
      </c>
      <c r="P1046" t="s">
        <v>2379</v>
      </c>
      <c r="Q1046" t="s">
        <v>67</v>
      </c>
      <c r="R1046" t="s">
        <v>67</v>
      </c>
      <c r="S1046" s="5"/>
      <c r="T1046" t="s">
        <v>72</v>
      </c>
      <c r="U1046" t="s">
        <v>87</v>
      </c>
      <c r="V1046" t="s">
        <v>74</v>
      </c>
      <c r="W1046" t="s">
        <v>73</v>
      </c>
      <c r="AE1046" s="2"/>
      <c r="AF1046" s="2"/>
      <c r="AG1046" s="2"/>
      <c r="AH1046" s="2"/>
      <c r="AK1046" t="s">
        <v>3068</v>
      </c>
      <c r="AL1046" s="2">
        <v>544500</v>
      </c>
      <c r="AM1046" s="2">
        <v>0</v>
      </c>
      <c r="AN1046" s="2"/>
      <c r="AO1046" s="2">
        <v>0</v>
      </c>
      <c r="AP1046" s="2">
        <v>544500</v>
      </c>
      <c r="AQ1046" s="2">
        <v>0</v>
      </c>
      <c r="AR1046" s="2">
        <v>0</v>
      </c>
      <c r="AS1046" s="2">
        <v>0</v>
      </c>
      <c r="AT1046" s="2">
        <v>0</v>
      </c>
      <c r="AU1046" s="2">
        <v>0</v>
      </c>
      <c r="AV1046" s="2">
        <v>0</v>
      </c>
      <c r="AW1046" s="4"/>
      <c r="AX1046" t="s">
        <v>75</v>
      </c>
      <c r="AZ1046" t="s">
        <v>404</v>
      </c>
      <c r="BA1046" t="s">
        <v>67</v>
      </c>
      <c r="BB1046" t="s">
        <v>405</v>
      </c>
      <c r="BC1046" t="s">
        <v>406</v>
      </c>
      <c r="BD1046" t="s">
        <v>79</v>
      </c>
      <c r="BE1046" t="s">
        <v>131</v>
      </c>
      <c r="BF1046" s="5">
        <v>46874</v>
      </c>
      <c r="BG1046" t="s">
        <v>67</v>
      </c>
      <c r="BH1046">
        <v>1</v>
      </c>
      <c r="BI1046" s="6">
        <v>990000</v>
      </c>
      <c r="BJ1046" s="6">
        <v>45</v>
      </c>
      <c r="BK1046" s="6">
        <v>445500</v>
      </c>
      <c r="BL1046" s="6">
        <v>544500</v>
      </c>
      <c r="BM1046" s="2">
        <v>544500</v>
      </c>
      <c r="BN1046">
        <f>InvoiceTable[[#This Row],[Giảm giá]]*InvoiceTable[[#This Row],[Số lượng]]</f>
        <v>445500</v>
      </c>
    </row>
    <row r="1047" spans="1:66" x14ac:dyDescent="0.25">
      <c r="A1047" t="s">
        <v>65</v>
      </c>
      <c r="B1047" t="s">
        <v>3069</v>
      </c>
      <c r="F1047" s="2"/>
      <c r="G1047" s="3">
        <v>46005.542282986113</v>
      </c>
      <c r="H1047" s="3">
        <v>46005.542283101851</v>
      </c>
      <c r="I1047" s="4" t="s">
        <v>67</v>
      </c>
      <c r="J1047" t="s">
        <v>3070</v>
      </c>
      <c r="K1047" t="s">
        <v>67</v>
      </c>
      <c r="L1047" t="s">
        <v>1393</v>
      </c>
      <c r="M1047" t="s">
        <v>1394</v>
      </c>
      <c r="N1047" t="s">
        <v>67</v>
      </c>
      <c r="O1047" t="s">
        <v>1395</v>
      </c>
      <c r="P1047" t="s">
        <v>1396</v>
      </c>
      <c r="S1047" s="5"/>
      <c r="T1047" t="s">
        <v>72</v>
      </c>
      <c r="U1047" t="s">
        <v>87</v>
      </c>
      <c r="V1047" t="s">
        <v>74</v>
      </c>
      <c r="W1047" t="s">
        <v>73</v>
      </c>
      <c r="AE1047" s="2"/>
      <c r="AF1047" s="2"/>
      <c r="AG1047" s="2"/>
      <c r="AH1047" s="2"/>
      <c r="AK1047" t="s">
        <v>67</v>
      </c>
      <c r="AL1047" s="2">
        <v>8200000</v>
      </c>
      <c r="AM1047" s="2">
        <v>0</v>
      </c>
      <c r="AN1047" s="2"/>
      <c r="AO1047" s="2">
        <v>0</v>
      </c>
      <c r="AP1047" s="2">
        <v>8200000</v>
      </c>
      <c r="AQ1047" s="2">
        <v>0</v>
      </c>
      <c r="AR1047" s="2">
        <v>0</v>
      </c>
      <c r="AS1047" s="2">
        <v>0</v>
      </c>
      <c r="AT1047" s="2">
        <v>0</v>
      </c>
      <c r="AU1047" s="2">
        <v>0</v>
      </c>
      <c r="AV1047" s="2">
        <v>0</v>
      </c>
      <c r="AW1047" s="4"/>
      <c r="AX1047" t="s">
        <v>75</v>
      </c>
      <c r="AZ1047" t="s">
        <v>103</v>
      </c>
      <c r="BB1047" t="s">
        <v>104</v>
      </c>
      <c r="BC1047" t="s">
        <v>105</v>
      </c>
      <c r="BD1047" t="s">
        <v>79</v>
      </c>
      <c r="BE1047" t="s">
        <v>106</v>
      </c>
      <c r="BF1047" s="5">
        <v>46327</v>
      </c>
      <c r="BG1047" t="s">
        <v>67</v>
      </c>
      <c r="BH1047">
        <v>2</v>
      </c>
      <c r="BI1047" s="6">
        <v>6930000</v>
      </c>
      <c r="BJ1047" s="6">
        <v>0</v>
      </c>
      <c r="BK1047" s="6">
        <v>2830000</v>
      </c>
      <c r="BL1047" s="6">
        <v>4100000</v>
      </c>
      <c r="BM1047" s="2">
        <v>8200000</v>
      </c>
      <c r="BN1047">
        <f>InvoiceTable[[#This Row],[Giảm giá]]*InvoiceTable[[#This Row],[Số lượng]]</f>
        <v>5660000</v>
      </c>
    </row>
    <row r="1048" spans="1:66" x14ac:dyDescent="0.25">
      <c r="A1048" t="s">
        <v>65</v>
      </c>
      <c r="B1048" t="s">
        <v>3071</v>
      </c>
      <c r="F1048" s="2"/>
      <c r="G1048" s="3">
        <v>46005.541312847221</v>
      </c>
      <c r="H1048" s="3">
        <v>46005.54131296296</v>
      </c>
      <c r="I1048" s="4" t="s">
        <v>67</v>
      </c>
      <c r="J1048" t="s">
        <v>3072</v>
      </c>
      <c r="K1048" t="s">
        <v>67</v>
      </c>
      <c r="L1048" t="s">
        <v>1393</v>
      </c>
      <c r="M1048" t="s">
        <v>1394</v>
      </c>
      <c r="N1048" t="s">
        <v>67</v>
      </c>
      <c r="O1048" t="s">
        <v>1395</v>
      </c>
      <c r="P1048" t="s">
        <v>1396</v>
      </c>
      <c r="S1048" s="5"/>
      <c r="T1048" t="s">
        <v>72</v>
      </c>
      <c r="U1048" t="s">
        <v>87</v>
      </c>
      <c r="V1048" t="s">
        <v>74</v>
      </c>
      <c r="W1048" t="s">
        <v>73</v>
      </c>
      <c r="AE1048" s="2"/>
      <c r="AF1048" s="2"/>
      <c r="AG1048" s="2"/>
      <c r="AH1048" s="2"/>
      <c r="AK1048" t="s">
        <v>67</v>
      </c>
      <c r="AL1048" s="2">
        <v>3752999</v>
      </c>
      <c r="AM1048" s="2">
        <v>0</v>
      </c>
      <c r="AN1048" s="2"/>
      <c r="AO1048" s="2">
        <v>0</v>
      </c>
      <c r="AP1048" s="2">
        <v>3752999</v>
      </c>
      <c r="AQ1048" s="2">
        <v>0</v>
      </c>
      <c r="AR1048" s="2">
        <v>0</v>
      </c>
      <c r="AS1048" s="2">
        <v>0</v>
      </c>
      <c r="AT1048" s="2">
        <v>0</v>
      </c>
      <c r="AU1048" s="2">
        <v>0</v>
      </c>
      <c r="AV1048" s="2">
        <v>0</v>
      </c>
      <c r="AW1048" s="4"/>
      <c r="AX1048" t="s">
        <v>75</v>
      </c>
      <c r="AZ1048" t="s">
        <v>1945</v>
      </c>
      <c r="BA1048" t="s">
        <v>67</v>
      </c>
      <c r="BB1048" t="s">
        <v>1946</v>
      </c>
      <c r="BC1048" t="s">
        <v>173</v>
      </c>
      <c r="BD1048" t="s">
        <v>79</v>
      </c>
      <c r="BE1048" t="s">
        <v>1947</v>
      </c>
      <c r="BF1048" s="5">
        <v>47335</v>
      </c>
      <c r="BG1048" t="s">
        <v>67</v>
      </c>
      <c r="BH1048">
        <v>5</v>
      </c>
      <c r="BI1048" s="6">
        <v>1364727</v>
      </c>
      <c r="BJ1048" s="6">
        <v>45</v>
      </c>
      <c r="BK1048" s="6">
        <v>614127.15</v>
      </c>
      <c r="BL1048" s="6">
        <v>750599.85</v>
      </c>
      <c r="BM1048" s="2">
        <v>3752999</v>
      </c>
      <c r="BN1048">
        <f>InvoiceTable[[#This Row],[Giảm giá]]*InvoiceTable[[#This Row],[Số lượng]]</f>
        <v>3070635.75</v>
      </c>
    </row>
    <row r="1049" spans="1:66" x14ac:dyDescent="0.25">
      <c r="A1049" t="s">
        <v>65</v>
      </c>
      <c r="B1049" t="s">
        <v>3073</v>
      </c>
      <c r="F1049" s="2"/>
      <c r="G1049" s="3">
        <v>46005.526237962964</v>
      </c>
      <c r="H1049" s="3">
        <v>46005.526238043982</v>
      </c>
      <c r="I1049" s="4" t="s">
        <v>67</v>
      </c>
      <c r="J1049" t="s">
        <v>3074</v>
      </c>
      <c r="K1049" t="s">
        <v>67</v>
      </c>
      <c r="L1049" t="s">
        <v>3075</v>
      </c>
      <c r="M1049" t="s">
        <v>3076</v>
      </c>
      <c r="N1049" t="s">
        <v>3077</v>
      </c>
      <c r="O1049" t="s">
        <v>3078</v>
      </c>
      <c r="P1049" t="s">
        <v>3079</v>
      </c>
      <c r="S1049" s="5"/>
      <c r="T1049" t="s">
        <v>72</v>
      </c>
      <c r="U1049" t="s">
        <v>87</v>
      </c>
      <c r="V1049" t="s">
        <v>74</v>
      </c>
      <c r="W1049" t="s">
        <v>73</v>
      </c>
      <c r="AE1049" s="2"/>
      <c r="AF1049" s="2"/>
      <c r="AG1049" s="2"/>
      <c r="AH1049" s="2"/>
      <c r="AK1049" t="s">
        <v>67</v>
      </c>
      <c r="AL1049" s="2">
        <v>714420</v>
      </c>
      <c r="AM1049" s="2">
        <v>0</v>
      </c>
      <c r="AN1049" s="2"/>
      <c r="AO1049" s="2">
        <v>0</v>
      </c>
      <c r="AP1049" s="2">
        <v>714420</v>
      </c>
      <c r="AQ1049" s="2">
        <v>714260</v>
      </c>
      <c r="AR1049" s="2">
        <v>0</v>
      </c>
      <c r="AS1049" s="2">
        <v>0</v>
      </c>
      <c r="AT1049" s="2">
        <v>0</v>
      </c>
      <c r="AU1049" s="2">
        <v>714260</v>
      </c>
      <c r="AV1049" s="2">
        <v>0</v>
      </c>
      <c r="AW1049" s="4"/>
      <c r="AX1049" t="s">
        <v>75</v>
      </c>
      <c r="AZ1049" t="s">
        <v>420</v>
      </c>
      <c r="BA1049" t="s">
        <v>67</v>
      </c>
      <c r="BB1049" t="s">
        <v>421</v>
      </c>
      <c r="BC1049" t="s">
        <v>422</v>
      </c>
      <c r="BD1049" t="s">
        <v>79</v>
      </c>
      <c r="BE1049" t="s">
        <v>423</v>
      </c>
      <c r="BF1049" s="5">
        <v>47543</v>
      </c>
      <c r="BG1049" t="s">
        <v>67</v>
      </c>
      <c r="BH1049">
        <v>2</v>
      </c>
      <c r="BI1049" s="6">
        <v>567000</v>
      </c>
      <c r="BJ1049" s="6">
        <v>37</v>
      </c>
      <c r="BK1049" s="6">
        <v>209790</v>
      </c>
      <c r="BL1049" s="6">
        <v>357210</v>
      </c>
      <c r="BM1049" s="2">
        <v>714420</v>
      </c>
      <c r="BN1049">
        <f>InvoiceTable[[#This Row],[Giảm giá]]*InvoiceTable[[#This Row],[Số lượng]]</f>
        <v>419580</v>
      </c>
    </row>
    <row r="1050" spans="1:66" x14ac:dyDescent="0.25">
      <c r="A1050" t="s">
        <v>65</v>
      </c>
      <c r="B1050" t="s">
        <v>3080</v>
      </c>
      <c r="F1050" s="2"/>
      <c r="G1050" s="3">
        <v>46005.524647719911</v>
      </c>
      <c r="H1050" s="3">
        <v>46005.52463630787</v>
      </c>
      <c r="I1050" s="4" t="s">
        <v>3066</v>
      </c>
      <c r="J1050" t="s">
        <v>3081</v>
      </c>
      <c r="K1050" t="s">
        <v>67</v>
      </c>
      <c r="L1050" t="s">
        <v>672</v>
      </c>
      <c r="M1050" t="s">
        <v>673</v>
      </c>
      <c r="N1050" t="s">
        <v>67</v>
      </c>
      <c r="Q1050" t="s">
        <v>67</v>
      </c>
      <c r="R1050" t="s">
        <v>67</v>
      </c>
      <c r="S1050" s="5"/>
      <c r="T1050" t="s">
        <v>72</v>
      </c>
      <c r="U1050" t="s">
        <v>87</v>
      </c>
      <c r="V1050" t="s">
        <v>74</v>
      </c>
      <c r="W1050" t="s">
        <v>73</v>
      </c>
      <c r="AE1050" s="2"/>
      <c r="AF1050" s="2"/>
      <c r="AG1050" s="2"/>
      <c r="AH1050" s="2"/>
      <c r="AK1050" t="s">
        <v>3082</v>
      </c>
      <c r="AL1050" s="2">
        <v>3270000</v>
      </c>
      <c r="AM1050" s="2">
        <v>0</v>
      </c>
      <c r="AN1050" s="2"/>
      <c r="AO1050" s="2">
        <v>0</v>
      </c>
      <c r="AP1050" s="2">
        <v>3270000</v>
      </c>
      <c r="AQ1050" s="2">
        <v>3270000</v>
      </c>
      <c r="AR1050" s="2">
        <v>1920000</v>
      </c>
      <c r="AS1050" s="2">
        <v>0</v>
      </c>
      <c r="AT1050" s="2">
        <v>0</v>
      </c>
      <c r="AU1050" s="2">
        <v>1350000</v>
      </c>
      <c r="AV1050" s="2">
        <v>0</v>
      </c>
      <c r="AW1050" s="4"/>
      <c r="AX1050" t="s">
        <v>75</v>
      </c>
      <c r="AZ1050" t="s">
        <v>674</v>
      </c>
      <c r="BA1050" t="s">
        <v>67</v>
      </c>
      <c r="BB1050" t="s">
        <v>675</v>
      </c>
      <c r="BC1050" t="s">
        <v>676</v>
      </c>
      <c r="BD1050" t="s">
        <v>79</v>
      </c>
      <c r="BE1050" t="s">
        <v>677</v>
      </c>
      <c r="BF1050" s="5">
        <v>46943</v>
      </c>
      <c r="BG1050" t="s">
        <v>67</v>
      </c>
      <c r="BH1050">
        <v>3</v>
      </c>
      <c r="BI1050" s="6">
        <v>1690000</v>
      </c>
      <c r="BJ1050" s="6">
        <v>0</v>
      </c>
      <c r="BK1050" s="6">
        <v>600000</v>
      </c>
      <c r="BL1050" s="6">
        <v>1090000</v>
      </c>
      <c r="BM1050" s="2">
        <v>3270000</v>
      </c>
      <c r="BN1050">
        <f>InvoiceTable[[#This Row],[Giảm giá]]*InvoiceTable[[#This Row],[Số lượng]]</f>
        <v>1800000</v>
      </c>
    </row>
    <row r="1051" spans="1:66" x14ac:dyDescent="0.25">
      <c r="A1051" t="s">
        <v>65</v>
      </c>
      <c r="B1051" t="s">
        <v>3083</v>
      </c>
      <c r="F1051" s="2"/>
      <c r="G1051" s="3">
        <v>46005.524144988427</v>
      </c>
      <c r="H1051" s="3">
        <v>46005.524029398148</v>
      </c>
      <c r="I1051" s="4" t="s">
        <v>1050</v>
      </c>
      <c r="J1051" t="s">
        <v>3084</v>
      </c>
      <c r="K1051" t="s">
        <v>67</v>
      </c>
      <c r="L1051" t="s">
        <v>615</v>
      </c>
      <c r="M1051" t="s">
        <v>616</v>
      </c>
      <c r="N1051" t="s">
        <v>617</v>
      </c>
      <c r="O1051" t="s">
        <v>618</v>
      </c>
      <c r="P1051" t="s">
        <v>619</v>
      </c>
      <c r="S1051" s="5"/>
      <c r="T1051" t="s">
        <v>72</v>
      </c>
      <c r="U1051" t="s">
        <v>87</v>
      </c>
      <c r="V1051" t="s">
        <v>74</v>
      </c>
      <c r="W1051" t="s">
        <v>73</v>
      </c>
      <c r="AE1051" s="2"/>
      <c r="AF1051" s="2"/>
      <c r="AG1051" s="2"/>
      <c r="AH1051" s="2"/>
      <c r="AK1051" t="s">
        <v>3085</v>
      </c>
      <c r="AL1051" s="2">
        <v>14668000</v>
      </c>
      <c r="AM1051" s="2">
        <v>0</v>
      </c>
      <c r="AN1051" s="2"/>
      <c r="AO1051" s="2">
        <v>0</v>
      </c>
      <c r="AP1051" s="2">
        <v>14668000</v>
      </c>
      <c r="AQ1051" s="2">
        <v>0</v>
      </c>
      <c r="AR1051" s="2">
        <v>0</v>
      </c>
      <c r="AS1051" s="2">
        <v>0</v>
      </c>
      <c r="AT1051" s="2">
        <v>0</v>
      </c>
      <c r="AU1051" s="2">
        <v>0</v>
      </c>
      <c r="AV1051" s="2">
        <v>0</v>
      </c>
      <c r="AW1051" s="4"/>
      <c r="AX1051" t="s">
        <v>75</v>
      </c>
      <c r="AZ1051" t="s">
        <v>2301</v>
      </c>
      <c r="BA1051" t="s">
        <v>67</v>
      </c>
      <c r="BB1051" t="s">
        <v>2302</v>
      </c>
      <c r="BC1051" t="s">
        <v>587</v>
      </c>
      <c r="BD1051" t="s">
        <v>79</v>
      </c>
      <c r="BE1051" t="s">
        <v>434</v>
      </c>
      <c r="BF1051" s="5">
        <v>46661</v>
      </c>
      <c r="BG1051" t="s">
        <v>67</v>
      </c>
      <c r="BH1051">
        <v>2</v>
      </c>
      <c r="BI1051" s="6">
        <v>3970000</v>
      </c>
      <c r="BJ1051" s="6">
        <v>0</v>
      </c>
      <c r="BK1051" s="6">
        <v>920000</v>
      </c>
      <c r="BL1051" s="6">
        <v>3050000</v>
      </c>
      <c r="BM1051" s="2">
        <v>6100000</v>
      </c>
      <c r="BN1051">
        <f>InvoiceTable[[#This Row],[Giảm giá]]*InvoiceTable[[#This Row],[Số lượng]]</f>
        <v>1840000</v>
      </c>
    </row>
    <row r="1052" spans="1:66" x14ac:dyDescent="0.25">
      <c r="A1052" t="s">
        <v>65</v>
      </c>
      <c r="B1052" t="s">
        <v>3083</v>
      </c>
      <c r="F1052" s="2"/>
      <c r="G1052" s="3">
        <v>46005.524144988427</v>
      </c>
      <c r="H1052" s="3">
        <v>46005.524029398148</v>
      </c>
      <c r="I1052" s="4" t="s">
        <v>1050</v>
      </c>
      <c r="J1052" t="s">
        <v>3084</v>
      </c>
      <c r="K1052" t="s">
        <v>67</v>
      </c>
      <c r="L1052" t="s">
        <v>615</v>
      </c>
      <c r="M1052" t="s">
        <v>616</v>
      </c>
      <c r="N1052" t="s">
        <v>617</v>
      </c>
      <c r="O1052" t="s">
        <v>618</v>
      </c>
      <c r="P1052" t="s">
        <v>619</v>
      </c>
      <c r="S1052" s="5"/>
      <c r="T1052" t="s">
        <v>72</v>
      </c>
      <c r="U1052" t="s">
        <v>87</v>
      </c>
      <c r="V1052" t="s">
        <v>74</v>
      </c>
      <c r="W1052" t="s">
        <v>73</v>
      </c>
      <c r="AE1052" s="2"/>
      <c r="AF1052" s="2"/>
      <c r="AG1052" s="2"/>
      <c r="AH1052" s="2"/>
      <c r="AK1052" t="s">
        <v>3085</v>
      </c>
      <c r="AL1052" s="2">
        <v>14668000</v>
      </c>
      <c r="AM1052" s="2">
        <v>0</v>
      </c>
      <c r="AN1052" s="2"/>
      <c r="AO1052" s="2">
        <v>0</v>
      </c>
      <c r="AP1052" s="2">
        <v>14668000</v>
      </c>
      <c r="AQ1052" s="2">
        <v>0</v>
      </c>
      <c r="AR1052" s="2">
        <v>0</v>
      </c>
      <c r="AS1052" s="2">
        <v>0</v>
      </c>
      <c r="AT1052" s="2">
        <v>0</v>
      </c>
      <c r="AU1052" s="2">
        <v>0</v>
      </c>
      <c r="AV1052" s="2">
        <v>0</v>
      </c>
      <c r="AW1052" s="4"/>
      <c r="AX1052" t="s">
        <v>75</v>
      </c>
      <c r="AZ1052" t="s">
        <v>968</v>
      </c>
      <c r="BA1052" t="s">
        <v>67</v>
      </c>
      <c r="BB1052" t="s">
        <v>969</v>
      </c>
      <c r="BC1052" t="s">
        <v>970</v>
      </c>
      <c r="BD1052" t="s">
        <v>79</v>
      </c>
      <c r="BE1052" t="s">
        <v>195</v>
      </c>
      <c r="BF1052" s="5">
        <v>46419</v>
      </c>
      <c r="BG1052" t="s">
        <v>67</v>
      </c>
      <c r="BH1052">
        <v>3</v>
      </c>
      <c r="BI1052" s="6">
        <v>3360000</v>
      </c>
      <c r="BJ1052" s="6">
        <v>15</v>
      </c>
      <c r="BK1052" s="6">
        <v>504000</v>
      </c>
      <c r="BL1052" s="6">
        <v>2856000</v>
      </c>
      <c r="BM1052" s="2">
        <v>8568000</v>
      </c>
      <c r="BN1052">
        <f>InvoiceTable[[#This Row],[Giảm giá]]*InvoiceTable[[#This Row],[Số lượng]]</f>
        <v>1512000</v>
      </c>
    </row>
    <row r="1053" spans="1:66" x14ac:dyDescent="0.25">
      <c r="A1053" t="s">
        <v>65</v>
      </c>
      <c r="B1053" t="s">
        <v>3086</v>
      </c>
      <c r="F1053" s="2"/>
      <c r="G1053" s="3">
        <v>46005.519722453704</v>
      </c>
      <c r="H1053" s="3">
        <v>46005.519722569443</v>
      </c>
      <c r="I1053" s="4" t="s">
        <v>67</v>
      </c>
      <c r="J1053" t="s">
        <v>3087</v>
      </c>
      <c r="K1053" t="s">
        <v>67</v>
      </c>
      <c r="L1053" t="s">
        <v>615</v>
      </c>
      <c r="M1053" t="s">
        <v>616</v>
      </c>
      <c r="N1053" t="s">
        <v>617</v>
      </c>
      <c r="O1053" t="s">
        <v>618</v>
      </c>
      <c r="P1053" t="s">
        <v>619</v>
      </c>
      <c r="S1053" s="5"/>
      <c r="T1053" t="s">
        <v>72</v>
      </c>
      <c r="U1053" t="s">
        <v>87</v>
      </c>
      <c r="V1053" t="s">
        <v>74</v>
      </c>
      <c r="W1053" t="s">
        <v>73</v>
      </c>
      <c r="AE1053" s="2"/>
      <c r="AF1053" s="2"/>
      <c r="AG1053" s="2"/>
      <c r="AH1053" s="2"/>
      <c r="AK1053" t="s">
        <v>67</v>
      </c>
      <c r="AL1053" s="2">
        <v>1855000</v>
      </c>
      <c r="AM1053" s="2">
        <v>0</v>
      </c>
      <c r="AN1053" s="2"/>
      <c r="AO1053" s="2">
        <v>0</v>
      </c>
      <c r="AP1053" s="2">
        <v>1855000</v>
      </c>
      <c r="AQ1053" s="2">
        <v>0</v>
      </c>
      <c r="AR1053" s="2">
        <v>0</v>
      </c>
      <c r="AS1053" s="2">
        <v>0</v>
      </c>
      <c r="AT1053" s="2">
        <v>0</v>
      </c>
      <c r="AU1053" s="2">
        <v>0</v>
      </c>
      <c r="AV1053" s="2">
        <v>0</v>
      </c>
      <c r="AW1053" s="4"/>
      <c r="AX1053" t="s">
        <v>75</v>
      </c>
      <c r="AZ1053" t="s">
        <v>518</v>
      </c>
      <c r="BA1053" t="s">
        <v>67</v>
      </c>
      <c r="BB1053" t="s">
        <v>519</v>
      </c>
      <c r="BC1053" t="s">
        <v>78</v>
      </c>
      <c r="BD1053" t="s">
        <v>79</v>
      </c>
      <c r="BE1053" t="s">
        <v>80</v>
      </c>
      <c r="BF1053" s="5">
        <v>47300</v>
      </c>
      <c r="BG1053" t="s">
        <v>67</v>
      </c>
      <c r="BH1053">
        <v>1</v>
      </c>
      <c r="BI1053" s="6">
        <v>3500000</v>
      </c>
      <c r="BJ1053" s="6">
        <v>47</v>
      </c>
      <c r="BK1053" s="6">
        <v>1645000</v>
      </c>
      <c r="BL1053" s="6">
        <v>1855000</v>
      </c>
      <c r="BM1053" s="2">
        <v>1855000</v>
      </c>
      <c r="BN1053">
        <f>InvoiceTable[[#This Row],[Giảm giá]]*InvoiceTable[[#This Row],[Số lượng]]</f>
        <v>1645000</v>
      </c>
    </row>
    <row r="1054" spans="1:66" x14ac:dyDescent="0.25">
      <c r="A1054" t="s">
        <v>65</v>
      </c>
      <c r="B1054" t="s">
        <v>3088</v>
      </c>
      <c r="F1054" s="2"/>
      <c r="G1054" s="3">
        <v>46005.460952974536</v>
      </c>
      <c r="H1054" s="3">
        <v>46005.46095320602</v>
      </c>
      <c r="I1054" s="4" t="s">
        <v>67</v>
      </c>
      <c r="J1054" t="s">
        <v>3089</v>
      </c>
      <c r="K1054" t="s">
        <v>67</v>
      </c>
      <c r="L1054" t="s">
        <v>672</v>
      </c>
      <c r="M1054" t="s">
        <v>673</v>
      </c>
      <c r="N1054" t="s">
        <v>67</v>
      </c>
      <c r="Q1054" t="s">
        <v>67</v>
      </c>
      <c r="R1054" t="s">
        <v>67</v>
      </c>
      <c r="S1054" s="5"/>
      <c r="T1054" t="s">
        <v>72</v>
      </c>
      <c r="U1054" t="s">
        <v>87</v>
      </c>
      <c r="V1054" t="s">
        <v>74</v>
      </c>
      <c r="W1054" t="s">
        <v>73</v>
      </c>
      <c r="AE1054" s="2"/>
      <c r="AF1054" s="2"/>
      <c r="AG1054" s="2"/>
      <c r="AH1054" s="2"/>
      <c r="AK1054" t="s">
        <v>3090</v>
      </c>
      <c r="AL1054" s="2">
        <v>1090000</v>
      </c>
      <c r="AM1054" s="2">
        <v>0</v>
      </c>
      <c r="AN1054" s="2"/>
      <c r="AO1054" s="2">
        <v>0</v>
      </c>
      <c r="AP1054" s="2">
        <v>1090000</v>
      </c>
      <c r="AQ1054" s="2">
        <v>1090000</v>
      </c>
      <c r="AR1054" s="2">
        <v>1090000</v>
      </c>
      <c r="AS1054" s="2">
        <v>0</v>
      </c>
      <c r="AT1054" s="2">
        <v>0</v>
      </c>
      <c r="AU1054" s="2">
        <v>0</v>
      </c>
      <c r="AV1054" s="2">
        <v>0</v>
      </c>
      <c r="AW1054" s="4"/>
      <c r="AX1054" t="s">
        <v>75</v>
      </c>
      <c r="AZ1054" t="s">
        <v>674</v>
      </c>
      <c r="BA1054" t="s">
        <v>67</v>
      </c>
      <c r="BB1054" t="s">
        <v>675</v>
      </c>
      <c r="BC1054" t="s">
        <v>676</v>
      </c>
      <c r="BD1054" t="s">
        <v>79</v>
      </c>
      <c r="BE1054" t="s">
        <v>677</v>
      </c>
      <c r="BF1054" s="5">
        <v>46943</v>
      </c>
      <c r="BG1054" t="s">
        <v>67</v>
      </c>
      <c r="BH1054">
        <v>1</v>
      </c>
      <c r="BI1054" s="6">
        <v>1690000</v>
      </c>
      <c r="BJ1054" s="6">
        <v>0</v>
      </c>
      <c r="BK1054" s="6">
        <v>600000</v>
      </c>
      <c r="BL1054" s="6">
        <v>1090000</v>
      </c>
      <c r="BM1054" s="2">
        <v>1090000</v>
      </c>
      <c r="BN1054">
        <f>InvoiceTable[[#This Row],[Giảm giá]]*InvoiceTable[[#This Row],[Số lượng]]</f>
        <v>600000</v>
      </c>
    </row>
    <row r="1055" spans="1:66" x14ac:dyDescent="0.25">
      <c r="A1055" t="s">
        <v>65</v>
      </c>
      <c r="B1055" t="s">
        <v>3091</v>
      </c>
      <c r="F1055" s="2"/>
      <c r="G1055" s="3">
        <v>46005.460667129628</v>
      </c>
      <c r="H1055" s="3">
        <v>46005.460667245374</v>
      </c>
      <c r="I1055" s="4" t="s">
        <v>67</v>
      </c>
      <c r="J1055" t="s">
        <v>3092</v>
      </c>
      <c r="K1055" t="s">
        <v>67</v>
      </c>
      <c r="L1055" t="s">
        <v>2237</v>
      </c>
      <c r="M1055" t="s">
        <v>2238</v>
      </c>
      <c r="N1055" t="s">
        <v>67</v>
      </c>
      <c r="O1055" t="s">
        <v>2239</v>
      </c>
      <c r="P1055" t="s">
        <v>2240</v>
      </c>
      <c r="S1055" s="5"/>
      <c r="T1055" t="s">
        <v>72</v>
      </c>
      <c r="U1055" t="s">
        <v>87</v>
      </c>
      <c r="V1055" t="s">
        <v>74</v>
      </c>
      <c r="W1055" t="s">
        <v>73</v>
      </c>
      <c r="AE1055" s="2"/>
      <c r="AF1055" s="2"/>
      <c r="AG1055" s="2"/>
      <c r="AH1055" s="2"/>
      <c r="AK1055" t="s">
        <v>3093</v>
      </c>
      <c r="AL1055" s="2">
        <v>4000000</v>
      </c>
      <c r="AM1055" s="2">
        <v>0</v>
      </c>
      <c r="AN1055" s="2"/>
      <c r="AO1055" s="2">
        <v>0</v>
      </c>
      <c r="AP1055" s="2">
        <v>4000000</v>
      </c>
      <c r="AQ1055" s="2">
        <v>0</v>
      </c>
      <c r="AR1055" s="2">
        <v>0</v>
      </c>
      <c r="AS1055" s="2">
        <v>0</v>
      </c>
      <c r="AT1055" s="2">
        <v>0</v>
      </c>
      <c r="AU1055" s="2">
        <v>0</v>
      </c>
      <c r="AV1055" s="2">
        <v>0</v>
      </c>
      <c r="AW1055" s="4"/>
      <c r="AX1055" t="s">
        <v>75</v>
      </c>
      <c r="AZ1055" t="s">
        <v>103</v>
      </c>
      <c r="BB1055" t="s">
        <v>104</v>
      </c>
      <c r="BC1055" t="s">
        <v>105</v>
      </c>
      <c r="BD1055" t="s">
        <v>79</v>
      </c>
      <c r="BE1055" t="s">
        <v>106</v>
      </c>
      <c r="BF1055" s="5">
        <v>46327</v>
      </c>
      <c r="BG1055" t="s">
        <v>67</v>
      </c>
      <c r="BH1055">
        <v>1</v>
      </c>
      <c r="BI1055" s="6">
        <v>6930000</v>
      </c>
      <c r="BJ1055" s="6">
        <v>0</v>
      </c>
      <c r="BK1055" s="6">
        <v>2930000</v>
      </c>
      <c r="BL1055" s="6">
        <v>4000000</v>
      </c>
      <c r="BM1055" s="2">
        <v>4000000</v>
      </c>
      <c r="BN1055">
        <f>InvoiceTable[[#This Row],[Giảm giá]]*InvoiceTable[[#This Row],[Số lượng]]</f>
        <v>2930000</v>
      </c>
    </row>
    <row r="1056" spans="1:66" x14ac:dyDescent="0.25">
      <c r="A1056" t="s">
        <v>65</v>
      </c>
      <c r="B1056" t="s">
        <v>3094</v>
      </c>
      <c r="F1056" s="2"/>
      <c r="G1056" s="3">
        <v>46005.394845289353</v>
      </c>
      <c r="H1056" s="3">
        <v>46005.394845486109</v>
      </c>
      <c r="I1056" s="4" t="s">
        <v>67</v>
      </c>
      <c r="J1056" t="s">
        <v>3095</v>
      </c>
      <c r="K1056" t="s">
        <v>67</v>
      </c>
      <c r="L1056" t="s">
        <v>2325</v>
      </c>
      <c r="M1056" t="s">
        <v>2326</v>
      </c>
      <c r="N1056" t="s">
        <v>67</v>
      </c>
      <c r="O1056" t="s">
        <v>2327</v>
      </c>
      <c r="P1056" t="s">
        <v>2328</v>
      </c>
      <c r="Q1056" t="s">
        <v>67</v>
      </c>
      <c r="R1056" t="s">
        <v>67</v>
      </c>
      <c r="S1056" s="5"/>
      <c r="T1056" t="s">
        <v>72</v>
      </c>
      <c r="U1056" t="s">
        <v>1031</v>
      </c>
      <c r="V1056" t="s">
        <v>74</v>
      </c>
      <c r="W1056" t="s">
        <v>73</v>
      </c>
      <c r="AE1056" s="2"/>
      <c r="AF1056" s="2"/>
      <c r="AG1056" s="2"/>
      <c r="AH1056" s="2"/>
      <c r="AL1056" s="2">
        <v>2743000</v>
      </c>
      <c r="AM1056" s="2">
        <v>0</v>
      </c>
      <c r="AN1056" s="2"/>
      <c r="AO1056" s="2">
        <v>0</v>
      </c>
      <c r="AP1056" s="2">
        <v>2743000</v>
      </c>
      <c r="AQ1056" s="2">
        <v>0</v>
      </c>
      <c r="AR1056" s="2">
        <v>0</v>
      </c>
      <c r="AS1056" s="2">
        <v>0</v>
      </c>
      <c r="AT1056" s="2">
        <v>0</v>
      </c>
      <c r="AU1056" s="2">
        <v>0</v>
      </c>
      <c r="AV1056" s="2">
        <v>0</v>
      </c>
      <c r="AW1056" s="4"/>
      <c r="AX1056" t="s">
        <v>75</v>
      </c>
      <c r="AZ1056" t="s">
        <v>710</v>
      </c>
      <c r="BA1056" t="s">
        <v>67</v>
      </c>
      <c r="BB1056" t="s">
        <v>711</v>
      </c>
      <c r="BC1056" t="s">
        <v>204</v>
      </c>
      <c r="BD1056" t="s">
        <v>79</v>
      </c>
      <c r="BE1056" t="s">
        <v>273</v>
      </c>
      <c r="BF1056" s="5">
        <v>46266</v>
      </c>
      <c r="BH1056">
        <v>2</v>
      </c>
      <c r="BI1056" s="6">
        <v>850000</v>
      </c>
      <c r="BJ1056" s="6">
        <v>35</v>
      </c>
      <c r="BK1056" s="6">
        <v>297500</v>
      </c>
      <c r="BL1056" s="6">
        <v>552500</v>
      </c>
      <c r="BM1056" s="2">
        <v>1105000</v>
      </c>
      <c r="BN1056">
        <f>InvoiceTable[[#This Row],[Giảm giá]]*InvoiceTable[[#This Row],[Số lượng]]</f>
        <v>595000</v>
      </c>
    </row>
    <row r="1057" spans="1:66" x14ac:dyDescent="0.25">
      <c r="A1057" t="s">
        <v>65</v>
      </c>
      <c r="B1057" t="s">
        <v>3094</v>
      </c>
      <c r="F1057" s="2"/>
      <c r="G1057" s="3">
        <v>46005.394845289353</v>
      </c>
      <c r="H1057" s="3">
        <v>46005.394845486109</v>
      </c>
      <c r="I1057" s="4" t="s">
        <v>67</v>
      </c>
      <c r="J1057" t="s">
        <v>3095</v>
      </c>
      <c r="K1057" t="s">
        <v>67</v>
      </c>
      <c r="L1057" t="s">
        <v>2325</v>
      </c>
      <c r="M1057" t="s">
        <v>2326</v>
      </c>
      <c r="N1057" t="s">
        <v>67</v>
      </c>
      <c r="O1057" t="s">
        <v>2327</v>
      </c>
      <c r="P1057" t="s">
        <v>2328</v>
      </c>
      <c r="Q1057" t="s">
        <v>67</v>
      </c>
      <c r="R1057" t="s">
        <v>67</v>
      </c>
      <c r="S1057" s="5"/>
      <c r="T1057" t="s">
        <v>72</v>
      </c>
      <c r="U1057" t="s">
        <v>1031</v>
      </c>
      <c r="V1057" t="s">
        <v>74</v>
      </c>
      <c r="W1057" t="s">
        <v>73</v>
      </c>
      <c r="AE1057" s="2"/>
      <c r="AF1057" s="2"/>
      <c r="AG1057" s="2"/>
      <c r="AH1057" s="2"/>
      <c r="AL1057" s="2">
        <v>2743000</v>
      </c>
      <c r="AM1057" s="2">
        <v>0</v>
      </c>
      <c r="AN1057" s="2"/>
      <c r="AO1057" s="2">
        <v>0</v>
      </c>
      <c r="AP1057" s="2">
        <v>2743000</v>
      </c>
      <c r="AQ1057" s="2">
        <v>0</v>
      </c>
      <c r="AR1057" s="2">
        <v>0</v>
      </c>
      <c r="AS1057" s="2">
        <v>0</v>
      </c>
      <c r="AT1057" s="2">
        <v>0</v>
      </c>
      <c r="AU1057" s="2">
        <v>0</v>
      </c>
      <c r="AV1057" s="2">
        <v>0</v>
      </c>
      <c r="AW1057" s="4"/>
      <c r="AX1057" t="s">
        <v>75</v>
      </c>
      <c r="AZ1057" t="s">
        <v>2332</v>
      </c>
      <c r="BA1057" t="s">
        <v>67</v>
      </c>
      <c r="BB1057" t="s">
        <v>2333</v>
      </c>
      <c r="BC1057" t="s">
        <v>204</v>
      </c>
      <c r="BD1057" t="s">
        <v>79</v>
      </c>
      <c r="BE1057" t="s">
        <v>324</v>
      </c>
      <c r="BF1057" s="5">
        <v>47058</v>
      </c>
      <c r="BH1057">
        <v>2</v>
      </c>
      <c r="BI1057" s="6">
        <v>1260000</v>
      </c>
      <c r="BJ1057" s="6">
        <v>35</v>
      </c>
      <c r="BK1057" s="6">
        <v>441000</v>
      </c>
      <c r="BL1057" s="6">
        <v>819000</v>
      </c>
      <c r="BM1057" s="2">
        <v>1638000</v>
      </c>
      <c r="BN1057">
        <f>InvoiceTable[[#This Row],[Giảm giá]]*InvoiceTable[[#This Row],[Số lượng]]</f>
        <v>882000</v>
      </c>
    </row>
    <row r="1058" spans="1:66" x14ac:dyDescent="0.25">
      <c r="A1058" t="s">
        <v>65</v>
      </c>
      <c r="B1058" t="s">
        <v>3096</v>
      </c>
      <c r="F1058" s="2"/>
      <c r="G1058" s="3">
        <v>46005.39338105324</v>
      </c>
      <c r="H1058" s="3">
        <v>46005.393242280094</v>
      </c>
      <c r="I1058" s="4" t="s">
        <v>96</v>
      </c>
      <c r="J1058" t="s">
        <v>3097</v>
      </c>
      <c r="K1058" t="s">
        <v>67</v>
      </c>
      <c r="L1058" t="s">
        <v>3098</v>
      </c>
      <c r="M1058" t="s">
        <v>3099</v>
      </c>
      <c r="N1058" t="s">
        <v>67</v>
      </c>
      <c r="O1058" t="s">
        <v>3100</v>
      </c>
      <c r="P1058" t="s">
        <v>3101</v>
      </c>
      <c r="Q1058" t="s">
        <v>67</v>
      </c>
      <c r="R1058" t="s">
        <v>67</v>
      </c>
      <c r="S1058" s="5"/>
      <c r="T1058" t="s">
        <v>72</v>
      </c>
      <c r="U1058" t="s">
        <v>1031</v>
      </c>
      <c r="V1058" t="s">
        <v>74</v>
      </c>
      <c r="W1058" t="s">
        <v>73</v>
      </c>
      <c r="AE1058" s="2"/>
      <c r="AF1058" s="2"/>
      <c r="AG1058" s="2"/>
      <c r="AH1058" s="2"/>
      <c r="AK1058" t="s">
        <v>67</v>
      </c>
      <c r="AL1058" s="2">
        <v>12520000</v>
      </c>
      <c r="AM1058" s="2">
        <v>0</v>
      </c>
      <c r="AN1058" s="2"/>
      <c r="AO1058" s="2">
        <v>0</v>
      </c>
      <c r="AP1058" s="2">
        <v>12520000</v>
      </c>
      <c r="AQ1058" s="2">
        <v>0</v>
      </c>
      <c r="AR1058" s="2">
        <v>0</v>
      </c>
      <c r="AS1058" s="2">
        <v>0</v>
      </c>
      <c r="AT1058" s="2">
        <v>0</v>
      </c>
      <c r="AU1058" s="2">
        <v>0</v>
      </c>
      <c r="AV1058" s="2">
        <v>0</v>
      </c>
      <c r="AW1058" s="4"/>
      <c r="AX1058" t="s">
        <v>75</v>
      </c>
      <c r="AZ1058" t="s">
        <v>124</v>
      </c>
      <c r="BA1058" t="s">
        <v>67</v>
      </c>
      <c r="BB1058" t="s">
        <v>125</v>
      </c>
      <c r="BC1058" t="s">
        <v>126</v>
      </c>
      <c r="BD1058" t="s">
        <v>79</v>
      </c>
      <c r="BE1058" t="s">
        <v>2920</v>
      </c>
      <c r="BF1058" s="5">
        <v>46772</v>
      </c>
      <c r="BG1058" t="s">
        <v>67</v>
      </c>
      <c r="BH1058">
        <v>4</v>
      </c>
      <c r="BI1058" s="6">
        <v>1200000</v>
      </c>
      <c r="BJ1058" s="6">
        <v>0</v>
      </c>
      <c r="BK1058" s="6">
        <v>570000</v>
      </c>
      <c r="BL1058" s="6">
        <v>630000</v>
      </c>
      <c r="BM1058" s="2">
        <v>2520000</v>
      </c>
      <c r="BN1058">
        <f>InvoiceTable[[#This Row],[Giảm giá]]*InvoiceTable[[#This Row],[Số lượng]]</f>
        <v>2280000</v>
      </c>
    </row>
    <row r="1059" spans="1:66" x14ac:dyDescent="0.25">
      <c r="A1059" t="s">
        <v>65</v>
      </c>
      <c r="B1059" t="s">
        <v>3096</v>
      </c>
      <c r="F1059" s="2"/>
      <c r="G1059" s="3">
        <v>46005.39338105324</v>
      </c>
      <c r="H1059" s="3">
        <v>46005.393242280094</v>
      </c>
      <c r="I1059" s="4" t="s">
        <v>96</v>
      </c>
      <c r="J1059" t="s">
        <v>3097</v>
      </c>
      <c r="K1059" t="s">
        <v>67</v>
      </c>
      <c r="L1059" t="s">
        <v>3098</v>
      </c>
      <c r="M1059" t="s">
        <v>3099</v>
      </c>
      <c r="N1059" t="s">
        <v>67</v>
      </c>
      <c r="O1059" t="s">
        <v>3100</v>
      </c>
      <c r="P1059" t="s">
        <v>3101</v>
      </c>
      <c r="Q1059" t="s">
        <v>67</v>
      </c>
      <c r="R1059" t="s">
        <v>67</v>
      </c>
      <c r="S1059" s="5"/>
      <c r="T1059" t="s">
        <v>72</v>
      </c>
      <c r="U1059" t="s">
        <v>1031</v>
      </c>
      <c r="V1059" t="s">
        <v>74</v>
      </c>
      <c r="W1059" t="s">
        <v>73</v>
      </c>
      <c r="AE1059" s="2"/>
      <c r="AF1059" s="2"/>
      <c r="AG1059" s="2"/>
      <c r="AH1059" s="2"/>
      <c r="AK1059" t="s">
        <v>67</v>
      </c>
      <c r="AL1059" s="2">
        <v>12520000</v>
      </c>
      <c r="AM1059" s="2">
        <v>0</v>
      </c>
      <c r="AN1059" s="2"/>
      <c r="AO1059" s="2">
        <v>0</v>
      </c>
      <c r="AP1059" s="2">
        <v>12520000</v>
      </c>
      <c r="AQ1059" s="2">
        <v>0</v>
      </c>
      <c r="AR1059" s="2">
        <v>0</v>
      </c>
      <c r="AS1059" s="2">
        <v>0</v>
      </c>
      <c r="AT1059" s="2">
        <v>0</v>
      </c>
      <c r="AU1059" s="2">
        <v>0</v>
      </c>
      <c r="AV1059" s="2">
        <v>0</v>
      </c>
      <c r="AW1059" s="4"/>
      <c r="AX1059" t="s">
        <v>75</v>
      </c>
      <c r="AZ1059" t="s">
        <v>3102</v>
      </c>
      <c r="BA1059" t="s">
        <v>67</v>
      </c>
      <c r="BB1059" t="s">
        <v>3103</v>
      </c>
      <c r="BC1059" t="s">
        <v>90</v>
      </c>
      <c r="BD1059" t="s">
        <v>79</v>
      </c>
      <c r="BE1059" t="s">
        <v>168</v>
      </c>
      <c r="BF1059" s="5">
        <v>46388</v>
      </c>
      <c r="BG1059" t="s">
        <v>67</v>
      </c>
      <c r="BH1059">
        <v>1</v>
      </c>
      <c r="BI1059" s="6">
        <v>15000000</v>
      </c>
      <c r="BJ1059" s="6">
        <v>0</v>
      </c>
      <c r="BK1059" s="6">
        <v>5000000</v>
      </c>
      <c r="BL1059" s="6">
        <v>10000000</v>
      </c>
      <c r="BM1059" s="2">
        <v>10000000</v>
      </c>
      <c r="BN1059">
        <f>InvoiceTable[[#This Row],[Giảm giá]]*InvoiceTable[[#This Row],[Số lượng]]</f>
        <v>5000000</v>
      </c>
    </row>
    <row r="1060" spans="1:66" x14ac:dyDescent="0.25">
      <c r="A1060" t="s">
        <v>65</v>
      </c>
      <c r="B1060" t="s">
        <v>3104</v>
      </c>
      <c r="F1060" s="2"/>
      <c r="G1060" s="3">
        <v>46005.393081863425</v>
      </c>
      <c r="H1060" s="3">
        <v>46005.393000925927</v>
      </c>
      <c r="I1060" s="4" t="s">
        <v>1682</v>
      </c>
      <c r="J1060" t="s">
        <v>3105</v>
      </c>
      <c r="K1060" t="s">
        <v>67</v>
      </c>
      <c r="L1060" t="s">
        <v>2325</v>
      </c>
      <c r="M1060" t="s">
        <v>2326</v>
      </c>
      <c r="N1060" t="s">
        <v>67</v>
      </c>
      <c r="O1060" t="s">
        <v>2327</v>
      </c>
      <c r="P1060" t="s">
        <v>2328</v>
      </c>
      <c r="Q1060" t="s">
        <v>67</v>
      </c>
      <c r="R1060" t="s">
        <v>67</v>
      </c>
      <c r="S1060" s="5"/>
      <c r="T1060" t="s">
        <v>72</v>
      </c>
      <c r="U1060" t="s">
        <v>1031</v>
      </c>
      <c r="V1060" t="s">
        <v>74</v>
      </c>
      <c r="W1060" t="s">
        <v>73</v>
      </c>
      <c r="AE1060" s="2"/>
      <c r="AF1060" s="2"/>
      <c r="AG1060" s="2"/>
      <c r="AH1060" s="2"/>
      <c r="AK1060" t="s">
        <v>67</v>
      </c>
      <c r="AL1060" s="2">
        <v>7430000</v>
      </c>
      <c r="AM1060" s="2">
        <v>0</v>
      </c>
      <c r="AN1060" s="2"/>
      <c r="AO1060" s="2">
        <v>0</v>
      </c>
      <c r="AP1060" s="2">
        <v>7430000</v>
      </c>
      <c r="AQ1060" s="2">
        <v>0</v>
      </c>
      <c r="AR1060" s="2">
        <v>0</v>
      </c>
      <c r="AS1060" s="2">
        <v>0</v>
      </c>
      <c r="AT1060" s="2">
        <v>0</v>
      </c>
      <c r="AU1060" s="2">
        <v>0</v>
      </c>
      <c r="AV1060" s="2">
        <v>0</v>
      </c>
      <c r="AW1060" s="4"/>
      <c r="AX1060" t="s">
        <v>75</v>
      </c>
      <c r="AZ1060" t="s">
        <v>124</v>
      </c>
      <c r="BA1060" t="s">
        <v>67</v>
      </c>
      <c r="BB1060" t="s">
        <v>125</v>
      </c>
      <c r="BC1060" t="s">
        <v>126</v>
      </c>
      <c r="BD1060" t="s">
        <v>79</v>
      </c>
      <c r="BE1060" t="s">
        <v>2920</v>
      </c>
      <c r="BF1060" s="5">
        <v>46772</v>
      </c>
      <c r="BG1060" t="s">
        <v>67</v>
      </c>
      <c r="BH1060">
        <v>1</v>
      </c>
      <c r="BI1060" s="6">
        <v>1200000</v>
      </c>
      <c r="BJ1060" s="6">
        <v>0</v>
      </c>
      <c r="BK1060" s="6">
        <v>570000</v>
      </c>
      <c r="BL1060" s="6">
        <v>630000</v>
      </c>
      <c r="BM1060" s="2">
        <v>630000</v>
      </c>
      <c r="BN1060">
        <f>InvoiceTable[[#This Row],[Giảm giá]]*InvoiceTable[[#This Row],[Số lượng]]</f>
        <v>570000</v>
      </c>
    </row>
    <row r="1061" spans="1:66" x14ac:dyDescent="0.25">
      <c r="A1061" t="s">
        <v>65</v>
      </c>
      <c r="B1061" t="s">
        <v>3104</v>
      </c>
      <c r="F1061" s="2"/>
      <c r="G1061" s="3">
        <v>46005.393081863425</v>
      </c>
      <c r="H1061" s="3">
        <v>46005.393000925927</v>
      </c>
      <c r="I1061" s="4" t="s">
        <v>1682</v>
      </c>
      <c r="J1061" t="s">
        <v>3105</v>
      </c>
      <c r="K1061" t="s">
        <v>67</v>
      </c>
      <c r="L1061" t="s">
        <v>2325</v>
      </c>
      <c r="M1061" t="s">
        <v>2326</v>
      </c>
      <c r="N1061" t="s">
        <v>67</v>
      </c>
      <c r="O1061" t="s">
        <v>2327</v>
      </c>
      <c r="P1061" t="s">
        <v>2328</v>
      </c>
      <c r="Q1061" t="s">
        <v>67</v>
      </c>
      <c r="R1061" t="s">
        <v>67</v>
      </c>
      <c r="S1061" s="5"/>
      <c r="T1061" t="s">
        <v>72</v>
      </c>
      <c r="U1061" t="s">
        <v>1031</v>
      </c>
      <c r="V1061" t="s">
        <v>74</v>
      </c>
      <c r="W1061" t="s">
        <v>73</v>
      </c>
      <c r="AE1061" s="2"/>
      <c r="AF1061" s="2"/>
      <c r="AG1061" s="2"/>
      <c r="AH1061" s="2"/>
      <c r="AK1061" t="s">
        <v>67</v>
      </c>
      <c r="AL1061" s="2">
        <v>7430000</v>
      </c>
      <c r="AM1061" s="2">
        <v>0</v>
      </c>
      <c r="AN1061" s="2"/>
      <c r="AO1061" s="2">
        <v>0</v>
      </c>
      <c r="AP1061" s="2">
        <v>7430000</v>
      </c>
      <c r="AQ1061" s="2">
        <v>0</v>
      </c>
      <c r="AR1061" s="2">
        <v>0</v>
      </c>
      <c r="AS1061" s="2">
        <v>0</v>
      </c>
      <c r="AT1061" s="2">
        <v>0</v>
      </c>
      <c r="AU1061" s="2">
        <v>0</v>
      </c>
      <c r="AV1061" s="2">
        <v>0</v>
      </c>
      <c r="AW1061" s="4"/>
      <c r="AX1061" t="s">
        <v>75</v>
      </c>
      <c r="AZ1061" t="s">
        <v>604</v>
      </c>
      <c r="BA1061" t="s">
        <v>67</v>
      </c>
      <c r="BB1061" t="s">
        <v>605</v>
      </c>
      <c r="BC1061" t="s">
        <v>606</v>
      </c>
      <c r="BD1061" t="s">
        <v>79</v>
      </c>
      <c r="BE1061" t="s">
        <v>168</v>
      </c>
      <c r="BF1061" s="5">
        <v>46388</v>
      </c>
      <c r="BG1061" t="s">
        <v>67</v>
      </c>
      <c r="BH1061">
        <v>1</v>
      </c>
      <c r="BI1061" s="6">
        <v>2500000</v>
      </c>
      <c r="BJ1061" s="6">
        <v>0</v>
      </c>
      <c r="BK1061" s="6">
        <v>1500000</v>
      </c>
      <c r="BL1061" s="6">
        <v>1000000</v>
      </c>
      <c r="BM1061" s="2">
        <v>1000000</v>
      </c>
      <c r="BN1061">
        <f>InvoiceTable[[#This Row],[Giảm giá]]*InvoiceTable[[#This Row],[Số lượng]]</f>
        <v>1500000</v>
      </c>
    </row>
    <row r="1062" spans="1:66" x14ac:dyDescent="0.25">
      <c r="A1062" t="s">
        <v>65</v>
      </c>
      <c r="B1062" t="s">
        <v>3104</v>
      </c>
      <c r="F1062" s="2"/>
      <c r="G1062" s="3">
        <v>46005.393081863425</v>
      </c>
      <c r="H1062" s="3">
        <v>46005.393000925927</v>
      </c>
      <c r="I1062" s="4" t="s">
        <v>1682</v>
      </c>
      <c r="J1062" t="s">
        <v>3105</v>
      </c>
      <c r="K1062" t="s">
        <v>67</v>
      </c>
      <c r="L1062" t="s">
        <v>2325</v>
      </c>
      <c r="M1062" t="s">
        <v>2326</v>
      </c>
      <c r="N1062" t="s">
        <v>67</v>
      </c>
      <c r="O1062" t="s">
        <v>2327</v>
      </c>
      <c r="P1062" t="s">
        <v>2328</v>
      </c>
      <c r="Q1062" t="s">
        <v>67</v>
      </c>
      <c r="R1062" t="s">
        <v>67</v>
      </c>
      <c r="S1062" s="5"/>
      <c r="T1062" t="s">
        <v>72</v>
      </c>
      <c r="U1062" t="s">
        <v>1031</v>
      </c>
      <c r="V1062" t="s">
        <v>74</v>
      </c>
      <c r="W1062" t="s">
        <v>73</v>
      </c>
      <c r="AE1062" s="2"/>
      <c r="AF1062" s="2"/>
      <c r="AG1062" s="2"/>
      <c r="AH1062" s="2"/>
      <c r="AK1062" t="s">
        <v>67</v>
      </c>
      <c r="AL1062" s="2">
        <v>7430000</v>
      </c>
      <c r="AM1062" s="2">
        <v>0</v>
      </c>
      <c r="AN1062" s="2"/>
      <c r="AO1062" s="2">
        <v>0</v>
      </c>
      <c r="AP1062" s="2">
        <v>7430000</v>
      </c>
      <c r="AQ1062" s="2">
        <v>0</v>
      </c>
      <c r="AR1062" s="2">
        <v>0</v>
      </c>
      <c r="AS1062" s="2">
        <v>0</v>
      </c>
      <c r="AT1062" s="2">
        <v>0</v>
      </c>
      <c r="AU1062" s="2">
        <v>0</v>
      </c>
      <c r="AV1062" s="2">
        <v>0</v>
      </c>
      <c r="AW1062" s="4"/>
      <c r="AX1062" t="s">
        <v>75</v>
      </c>
      <c r="AZ1062" t="s">
        <v>1560</v>
      </c>
      <c r="BA1062" t="s">
        <v>67</v>
      </c>
      <c r="BB1062" t="s">
        <v>1561</v>
      </c>
      <c r="BC1062" t="s">
        <v>90</v>
      </c>
      <c r="BD1062" t="s">
        <v>79</v>
      </c>
      <c r="BE1062" t="s">
        <v>168</v>
      </c>
      <c r="BF1062" s="5">
        <v>46388</v>
      </c>
      <c r="BG1062" t="s">
        <v>67</v>
      </c>
      <c r="BH1062">
        <v>1</v>
      </c>
      <c r="BI1062" s="6">
        <v>2000000</v>
      </c>
      <c r="BJ1062" s="6">
        <v>0</v>
      </c>
      <c r="BK1062" s="6">
        <v>1500000</v>
      </c>
      <c r="BL1062" s="6">
        <v>500000</v>
      </c>
      <c r="BM1062" s="2">
        <v>500000</v>
      </c>
      <c r="BN1062">
        <f>InvoiceTable[[#This Row],[Giảm giá]]*InvoiceTable[[#This Row],[Số lượng]]</f>
        <v>1500000</v>
      </c>
    </row>
    <row r="1063" spans="1:66" x14ac:dyDescent="0.25">
      <c r="A1063" t="s">
        <v>65</v>
      </c>
      <c r="B1063" t="s">
        <v>3104</v>
      </c>
      <c r="F1063" s="2"/>
      <c r="G1063" s="3">
        <v>46005.393081863425</v>
      </c>
      <c r="H1063" s="3">
        <v>46005.393000925927</v>
      </c>
      <c r="I1063" s="4" t="s">
        <v>1682</v>
      </c>
      <c r="J1063" t="s">
        <v>3105</v>
      </c>
      <c r="K1063" t="s">
        <v>67</v>
      </c>
      <c r="L1063" t="s">
        <v>2325</v>
      </c>
      <c r="M1063" t="s">
        <v>2326</v>
      </c>
      <c r="N1063" t="s">
        <v>67</v>
      </c>
      <c r="O1063" t="s">
        <v>2327</v>
      </c>
      <c r="P1063" t="s">
        <v>2328</v>
      </c>
      <c r="Q1063" t="s">
        <v>67</v>
      </c>
      <c r="R1063" t="s">
        <v>67</v>
      </c>
      <c r="S1063" s="5"/>
      <c r="T1063" t="s">
        <v>72</v>
      </c>
      <c r="U1063" t="s">
        <v>1031</v>
      </c>
      <c r="V1063" t="s">
        <v>74</v>
      </c>
      <c r="W1063" t="s">
        <v>73</v>
      </c>
      <c r="AE1063" s="2"/>
      <c r="AF1063" s="2"/>
      <c r="AG1063" s="2"/>
      <c r="AH1063" s="2"/>
      <c r="AK1063" t="s">
        <v>67</v>
      </c>
      <c r="AL1063" s="2">
        <v>7430000</v>
      </c>
      <c r="AM1063" s="2">
        <v>0</v>
      </c>
      <c r="AN1063" s="2"/>
      <c r="AO1063" s="2">
        <v>0</v>
      </c>
      <c r="AP1063" s="2">
        <v>7430000</v>
      </c>
      <c r="AQ1063" s="2">
        <v>0</v>
      </c>
      <c r="AR1063" s="2">
        <v>0</v>
      </c>
      <c r="AS1063" s="2">
        <v>0</v>
      </c>
      <c r="AT1063" s="2">
        <v>0</v>
      </c>
      <c r="AU1063" s="2">
        <v>0</v>
      </c>
      <c r="AV1063" s="2">
        <v>0</v>
      </c>
      <c r="AW1063" s="4"/>
      <c r="AX1063" t="s">
        <v>75</v>
      </c>
      <c r="AZ1063" t="s">
        <v>447</v>
      </c>
      <c r="BA1063" t="s">
        <v>67</v>
      </c>
      <c r="BB1063" t="s">
        <v>448</v>
      </c>
      <c r="BC1063" t="s">
        <v>449</v>
      </c>
      <c r="BD1063" t="s">
        <v>79</v>
      </c>
      <c r="BE1063" t="s">
        <v>159</v>
      </c>
      <c r="BF1063" s="5">
        <v>46478</v>
      </c>
      <c r="BG1063" t="s">
        <v>67</v>
      </c>
      <c r="BH1063">
        <v>1</v>
      </c>
      <c r="BI1063" s="6">
        <v>4730000</v>
      </c>
      <c r="BJ1063" s="6">
        <v>0</v>
      </c>
      <c r="BK1063" s="6">
        <v>430000</v>
      </c>
      <c r="BL1063" s="6">
        <v>4300000</v>
      </c>
      <c r="BM1063" s="2">
        <v>4300000</v>
      </c>
      <c r="BN1063">
        <f>InvoiceTable[[#This Row],[Giảm giá]]*InvoiceTable[[#This Row],[Số lượng]]</f>
        <v>430000</v>
      </c>
    </row>
    <row r="1064" spans="1:66" x14ac:dyDescent="0.25">
      <c r="A1064" t="s">
        <v>65</v>
      </c>
      <c r="B1064" t="s">
        <v>3104</v>
      </c>
      <c r="F1064" s="2"/>
      <c r="G1064" s="3">
        <v>46005.393081863425</v>
      </c>
      <c r="H1064" s="3">
        <v>46005.393000925927</v>
      </c>
      <c r="I1064" s="4" t="s">
        <v>1682</v>
      </c>
      <c r="J1064" t="s">
        <v>3105</v>
      </c>
      <c r="K1064" t="s">
        <v>67</v>
      </c>
      <c r="L1064" t="s">
        <v>2325</v>
      </c>
      <c r="M1064" t="s">
        <v>2326</v>
      </c>
      <c r="N1064" t="s">
        <v>67</v>
      </c>
      <c r="O1064" t="s">
        <v>2327</v>
      </c>
      <c r="P1064" t="s">
        <v>2328</v>
      </c>
      <c r="Q1064" t="s">
        <v>67</v>
      </c>
      <c r="R1064" t="s">
        <v>67</v>
      </c>
      <c r="S1064" s="5"/>
      <c r="T1064" t="s">
        <v>72</v>
      </c>
      <c r="U1064" t="s">
        <v>1031</v>
      </c>
      <c r="V1064" t="s">
        <v>74</v>
      </c>
      <c r="W1064" t="s">
        <v>73</v>
      </c>
      <c r="AE1064" s="2"/>
      <c r="AF1064" s="2"/>
      <c r="AG1064" s="2"/>
      <c r="AH1064" s="2"/>
      <c r="AK1064" t="s">
        <v>67</v>
      </c>
      <c r="AL1064" s="2">
        <v>7430000</v>
      </c>
      <c r="AM1064" s="2">
        <v>0</v>
      </c>
      <c r="AN1064" s="2"/>
      <c r="AO1064" s="2">
        <v>0</v>
      </c>
      <c r="AP1064" s="2">
        <v>7430000</v>
      </c>
      <c r="AQ1064" s="2">
        <v>0</v>
      </c>
      <c r="AR1064" s="2">
        <v>0</v>
      </c>
      <c r="AS1064" s="2">
        <v>0</v>
      </c>
      <c r="AT1064" s="2">
        <v>0</v>
      </c>
      <c r="AU1064" s="2">
        <v>0</v>
      </c>
      <c r="AV1064" s="2">
        <v>0</v>
      </c>
      <c r="AW1064" s="4"/>
      <c r="AX1064" t="s">
        <v>75</v>
      </c>
      <c r="AZ1064" t="s">
        <v>1539</v>
      </c>
      <c r="BA1064" t="s">
        <v>67</v>
      </c>
      <c r="BB1064" t="s">
        <v>1540</v>
      </c>
      <c r="BC1064" t="s">
        <v>485</v>
      </c>
      <c r="BD1064" t="s">
        <v>79</v>
      </c>
      <c r="BE1064" t="s">
        <v>145</v>
      </c>
      <c r="BF1064" s="5">
        <v>46508</v>
      </c>
      <c r="BG1064" t="s">
        <v>67</v>
      </c>
      <c r="BH1064">
        <v>1</v>
      </c>
      <c r="BI1064" s="6">
        <v>1500000</v>
      </c>
      <c r="BJ1064" s="6">
        <v>0</v>
      </c>
      <c r="BK1064" s="6">
        <v>500000</v>
      </c>
      <c r="BL1064" s="6">
        <v>1000000</v>
      </c>
      <c r="BM1064" s="2">
        <v>1000000</v>
      </c>
      <c r="BN1064">
        <f>InvoiceTable[[#This Row],[Giảm giá]]*InvoiceTable[[#This Row],[Số lượng]]</f>
        <v>500000</v>
      </c>
    </row>
    <row r="1065" spans="1:66" x14ac:dyDescent="0.25">
      <c r="A1065" t="s">
        <v>65</v>
      </c>
      <c r="B1065" t="s">
        <v>3106</v>
      </c>
      <c r="F1065" s="2"/>
      <c r="G1065" s="3">
        <v>46005.391084988427</v>
      </c>
      <c r="H1065" s="3">
        <v>46005.390946296298</v>
      </c>
      <c r="I1065" s="4" t="s">
        <v>96</v>
      </c>
      <c r="J1065" t="s">
        <v>3107</v>
      </c>
      <c r="K1065" t="s">
        <v>67</v>
      </c>
      <c r="L1065" t="s">
        <v>2325</v>
      </c>
      <c r="M1065" t="s">
        <v>2326</v>
      </c>
      <c r="N1065" t="s">
        <v>67</v>
      </c>
      <c r="O1065" t="s">
        <v>2327</v>
      </c>
      <c r="P1065" t="s">
        <v>2328</v>
      </c>
      <c r="Q1065" t="s">
        <v>67</v>
      </c>
      <c r="R1065" t="s">
        <v>67</v>
      </c>
      <c r="S1065" s="5"/>
      <c r="T1065" t="s">
        <v>72</v>
      </c>
      <c r="U1065" t="s">
        <v>1031</v>
      </c>
      <c r="V1065" t="s">
        <v>74</v>
      </c>
      <c r="W1065" t="s">
        <v>73</v>
      </c>
      <c r="AE1065" s="2"/>
      <c r="AF1065" s="2"/>
      <c r="AG1065" s="2"/>
      <c r="AH1065" s="2"/>
      <c r="AK1065" t="s">
        <v>67</v>
      </c>
      <c r="AL1065" s="2">
        <v>16217000</v>
      </c>
      <c r="AM1065" s="2">
        <v>0</v>
      </c>
      <c r="AN1065" s="2"/>
      <c r="AO1065" s="2">
        <v>0</v>
      </c>
      <c r="AP1065" s="2">
        <v>16217000</v>
      </c>
      <c r="AQ1065" s="2">
        <v>0</v>
      </c>
      <c r="AR1065" s="2">
        <v>0</v>
      </c>
      <c r="AS1065" s="2">
        <v>0</v>
      </c>
      <c r="AT1065" s="2">
        <v>0</v>
      </c>
      <c r="AU1065" s="2">
        <v>0</v>
      </c>
      <c r="AV1065" s="2">
        <v>0</v>
      </c>
      <c r="AW1065" s="4"/>
      <c r="AX1065" t="s">
        <v>75</v>
      </c>
      <c r="AZ1065" t="s">
        <v>270</v>
      </c>
      <c r="BA1065" t="s">
        <v>67</v>
      </c>
      <c r="BB1065" t="s">
        <v>271</v>
      </c>
      <c r="BC1065" t="s">
        <v>272</v>
      </c>
      <c r="BD1065" t="s">
        <v>79</v>
      </c>
      <c r="BE1065" t="s">
        <v>273</v>
      </c>
      <c r="BF1065" s="5">
        <v>46266</v>
      </c>
      <c r="BG1065" t="s">
        <v>67</v>
      </c>
      <c r="BH1065">
        <v>1</v>
      </c>
      <c r="BI1065" s="6">
        <v>665000</v>
      </c>
      <c r="BJ1065" s="6">
        <v>40</v>
      </c>
      <c r="BK1065" s="6">
        <v>266000</v>
      </c>
      <c r="BL1065" s="6">
        <v>399000</v>
      </c>
      <c r="BM1065" s="2">
        <v>399000</v>
      </c>
      <c r="BN1065">
        <f>InvoiceTable[[#This Row],[Giảm giá]]*InvoiceTable[[#This Row],[Số lượng]]</f>
        <v>266000</v>
      </c>
    </row>
    <row r="1066" spans="1:66" x14ac:dyDescent="0.25">
      <c r="A1066" t="s">
        <v>65</v>
      </c>
      <c r="B1066" t="s">
        <v>3106</v>
      </c>
      <c r="F1066" s="2"/>
      <c r="G1066" s="3">
        <v>46005.391084988427</v>
      </c>
      <c r="H1066" s="3">
        <v>46005.390946296298</v>
      </c>
      <c r="I1066" s="4" t="s">
        <v>96</v>
      </c>
      <c r="J1066" t="s">
        <v>3107</v>
      </c>
      <c r="K1066" t="s">
        <v>67</v>
      </c>
      <c r="L1066" t="s">
        <v>2325</v>
      </c>
      <c r="M1066" t="s">
        <v>2326</v>
      </c>
      <c r="N1066" t="s">
        <v>67</v>
      </c>
      <c r="O1066" t="s">
        <v>2327</v>
      </c>
      <c r="P1066" t="s">
        <v>2328</v>
      </c>
      <c r="Q1066" t="s">
        <v>67</v>
      </c>
      <c r="R1066" t="s">
        <v>67</v>
      </c>
      <c r="S1066" s="5"/>
      <c r="T1066" t="s">
        <v>72</v>
      </c>
      <c r="U1066" t="s">
        <v>1031</v>
      </c>
      <c r="V1066" t="s">
        <v>74</v>
      </c>
      <c r="W1066" t="s">
        <v>73</v>
      </c>
      <c r="AE1066" s="2"/>
      <c r="AF1066" s="2"/>
      <c r="AG1066" s="2"/>
      <c r="AH1066" s="2"/>
      <c r="AK1066" t="s">
        <v>67</v>
      </c>
      <c r="AL1066" s="2">
        <v>16217000</v>
      </c>
      <c r="AM1066" s="2">
        <v>0</v>
      </c>
      <c r="AN1066" s="2"/>
      <c r="AO1066" s="2">
        <v>0</v>
      </c>
      <c r="AP1066" s="2">
        <v>16217000</v>
      </c>
      <c r="AQ1066" s="2">
        <v>0</v>
      </c>
      <c r="AR1066" s="2">
        <v>0</v>
      </c>
      <c r="AS1066" s="2">
        <v>0</v>
      </c>
      <c r="AT1066" s="2">
        <v>0</v>
      </c>
      <c r="AU1066" s="2">
        <v>0</v>
      </c>
      <c r="AV1066" s="2">
        <v>0</v>
      </c>
      <c r="AW1066" s="4"/>
      <c r="AX1066" t="s">
        <v>75</v>
      </c>
      <c r="AZ1066" t="s">
        <v>604</v>
      </c>
      <c r="BA1066" t="s">
        <v>67</v>
      </c>
      <c r="BB1066" t="s">
        <v>605</v>
      </c>
      <c r="BC1066" t="s">
        <v>606</v>
      </c>
      <c r="BD1066" t="s">
        <v>79</v>
      </c>
      <c r="BE1066" t="s">
        <v>168</v>
      </c>
      <c r="BF1066" s="5">
        <v>46388</v>
      </c>
      <c r="BG1066" t="s">
        <v>67</v>
      </c>
      <c r="BH1066">
        <v>1</v>
      </c>
      <c r="BI1066" s="6">
        <v>2500000</v>
      </c>
      <c r="BJ1066" s="6">
        <v>0</v>
      </c>
      <c r="BK1066" s="6">
        <v>1500000</v>
      </c>
      <c r="BL1066" s="6">
        <v>1000000</v>
      </c>
      <c r="BM1066" s="2">
        <v>1000000</v>
      </c>
      <c r="BN1066">
        <f>InvoiceTable[[#This Row],[Giảm giá]]*InvoiceTable[[#This Row],[Số lượng]]</f>
        <v>1500000</v>
      </c>
    </row>
    <row r="1067" spans="1:66" x14ac:dyDescent="0.25">
      <c r="A1067" t="s">
        <v>65</v>
      </c>
      <c r="B1067" t="s">
        <v>3106</v>
      </c>
      <c r="F1067" s="2"/>
      <c r="G1067" s="3">
        <v>46005.391084988427</v>
      </c>
      <c r="H1067" s="3">
        <v>46005.390946296298</v>
      </c>
      <c r="I1067" s="4" t="s">
        <v>96</v>
      </c>
      <c r="J1067" t="s">
        <v>3107</v>
      </c>
      <c r="K1067" t="s">
        <v>67</v>
      </c>
      <c r="L1067" t="s">
        <v>2325</v>
      </c>
      <c r="M1067" t="s">
        <v>2326</v>
      </c>
      <c r="N1067" t="s">
        <v>67</v>
      </c>
      <c r="O1067" t="s">
        <v>2327</v>
      </c>
      <c r="P1067" t="s">
        <v>2328</v>
      </c>
      <c r="Q1067" t="s">
        <v>67</v>
      </c>
      <c r="R1067" t="s">
        <v>67</v>
      </c>
      <c r="S1067" s="5"/>
      <c r="T1067" t="s">
        <v>72</v>
      </c>
      <c r="U1067" t="s">
        <v>1031</v>
      </c>
      <c r="V1067" t="s">
        <v>74</v>
      </c>
      <c r="W1067" t="s">
        <v>73</v>
      </c>
      <c r="AE1067" s="2"/>
      <c r="AF1067" s="2"/>
      <c r="AG1067" s="2"/>
      <c r="AH1067" s="2"/>
      <c r="AK1067" t="s">
        <v>67</v>
      </c>
      <c r="AL1067" s="2">
        <v>16217000</v>
      </c>
      <c r="AM1067" s="2">
        <v>0</v>
      </c>
      <c r="AN1067" s="2"/>
      <c r="AO1067" s="2">
        <v>0</v>
      </c>
      <c r="AP1067" s="2">
        <v>16217000</v>
      </c>
      <c r="AQ1067" s="2">
        <v>0</v>
      </c>
      <c r="AR1067" s="2">
        <v>0</v>
      </c>
      <c r="AS1067" s="2">
        <v>0</v>
      </c>
      <c r="AT1067" s="2">
        <v>0</v>
      </c>
      <c r="AU1067" s="2">
        <v>0</v>
      </c>
      <c r="AV1067" s="2">
        <v>0</v>
      </c>
      <c r="AW1067" s="4"/>
      <c r="AX1067" t="s">
        <v>75</v>
      </c>
      <c r="AZ1067" t="s">
        <v>3108</v>
      </c>
      <c r="BA1067" t="s">
        <v>67</v>
      </c>
      <c r="BB1067" t="s">
        <v>3109</v>
      </c>
      <c r="BC1067" t="s">
        <v>3110</v>
      </c>
      <c r="BD1067" t="s">
        <v>79</v>
      </c>
      <c r="BE1067" t="s">
        <v>3111</v>
      </c>
      <c r="BF1067" s="5">
        <v>46023</v>
      </c>
      <c r="BG1067" t="s">
        <v>67</v>
      </c>
      <c r="BH1067">
        <v>1</v>
      </c>
      <c r="BI1067" s="6">
        <v>495000</v>
      </c>
      <c r="BJ1067" s="6">
        <v>60</v>
      </c>
      <c r="BK1067" s="6">
        <v>297000</v>
      </c>
      <c r="BL1067" s="6">
        <v>198000</v>
      </c>
      <c r="BM1067" s="2">
        <v>198000</v>
      </c>
      <c r="BN1067">
        <f>InvoiceTable[[#This Row],[Giảm giá]]*InvoiceTable[[#This Row],[Số lượng]]</f>
        <v>297000</v>
      </c>
    </row>
    <row r="1068" spans="1:66" x14ac:dyDescent="0.25">
      <c r="A1068" t="s">
        <v>65</v>
      </c>
      <c r="B1068" t="s">
        <v>3106</v>
      </c>
      <c r="F1068" s="2"/>
      <c r="G1068" s="3">
        <v>46005.391084988427</v>
      </c>
      <c r="H1068" s="3">
        <v>46005.390946296298</v>
      </c>
      <c r="I1068" s="4" t="s">
        <v>96</v>
      </c>
      <c r="J1068" t="s">
        <v>3107</v>
      </c>
      <c r="K1068" t="s">
        <v>67</v>
      </c>
      <c r="L1068" t="s">
        <v>2325</v>
      </c>
      <c r="M1068" t="s">
        <v>2326</v>
      </c>
      <c r="N1068" t="s">
        <v>67</v>
      </c>
      <c r="O1068" t="s">
        <v>2327</v>
      </c>
      <c r="P1068" t="s">
        <v>2328</v>
      </c>
      <c r="Q1068" t="s">
        <v>67</v>
      </c>
      <c r="R1068" t="s">
        <v>67</v>
      </c>
      <c r="S1068" s="5"/>
      <c r="T1068" t="s">
        <v>72</v>
      </c>
      <c r="U1068" t="s">
        <v>1031</v>
      </c>
      <c r="V1068" t="s">
        <v>74</v>
      </c>
      <c r="W1068" t="s">
        <v>73</v>
      </c>
      <c r="AE1068" s="2"/>
      <c r="AF1068" s="2"/>
      <c r="AG1068" s="2"/>
      <c r="AH1068" s="2"/>
      <c r="AK1068" t="s">
        <v>67</v>
      </c>
      <c r="AL1068" s="2">
        <v>16217000</v>
      </c>
      <c r="AM1068" s="2">
        <v>0</v>
      </c>
      <c r="AN1068" s="2"/>
      <c r="AO1068" s="2">
        <v>0</v>
      </c>
      <c r="AP1068" s="2">
        <v>16217000</v>
      </c>
      <c r="AQ1068" s="2">
        <v>0</v>
      </c>
      <c r="AR1068" s="2">
        <v>0</v>
      </c>
      <c r="AS1068" s="2">
        <v>0</v>
      </c>
      <c r="AT1068" s="2">
        <v>0</v>
      </c>
      <c r="AU1068" s="2">
        <v>0</v>
      </c>
      <c r="AV1068" s="2">
        <v>0</v>
      </c>
      <c r="AW1068" s="4"/>
      <c r="AX1068" t="s">
        <v>75</v>
      </c>
      <c r="AZ1068" t="s">
        <v>3112</v>
      </c>
      <c r="BA1068" t="s">
        <v>67</v>
      </c>
      <c r="BB1068" t="s">
        <v>3113</v>
      </c>
      <c r="BC1068" t="s">
        <v>3114</v>
      </c>
      <c r="BD1068" t="s">
        <v>79</v>
      </c>
      <c r="BE1068" t="s">
        <v>715</v>
      </c>
      <c r="BF1068" s="5">
        <v>46631</v>
      </c>
      <c r="BG1068" t="s">
        <v>67</v>
      </c>
      <c r="BH1068">
        <v>1</v>
      </c>
      <c r="BI1068" s="6">
        <v>2800000</v>
      </c>
      <c r="BJ1068" s="6">
        <v>35</v>
      </c>
      <c r="BK1068" s="6">
        <v>980000</v>
      </c>
      <c r="BL1068" s="6">
        <v>1820000</v>
      </c>
      <c r="BM1068" s="2">
        <v>1820000</v>
      </c>
      <c r="BN1068">
        <f>InvoiceTable[[#This Row],[Giảm giá]]*InvoiceTable[[#This Row],[Số lượng]]</f>
        <v>980000</v>
      </c>
    </row>
    <row r="1069" spans="1:66" x14ac:dyDescent="0.25">
      <c r="A1069" t="s">
        <v>65</v>
      </c>
      <c r="B1069" t="s">
        <v>3106</v>
      </c>
      <c r="F1069" s="2"/>
      <c r="G1069" s="3">
        <v>46005.391084988427</v>
      </c>
      <c r="H1069" s="3">
        <v>46005.390946296298</v>
      </c>
      <c r="I1069" s="4" t="s">
        <v>96</v>
      </c>
      <c r="J1069" t="s">
        <v>3107</v>
      </c>
      <c r="K1069" t="s">
        <v>67</v>
      </c>
      <c r="L1069" t="s">
        <v>2325</v>
      </c>
      <c r="M1069" t="s">
        <v>2326</v>
      </c>
      <c r="N1069" t="s">
        <v>67</v>
      </c>
      <c r="O1069" t="s">
        <v>2327</v>
      </c>
      <c r="P1069" t="s">
        <v>2328</v>
      </c>
      <c r="Q1069" t="s">
        <v>67</v>
      </c>
      <c r="R1069" t="s">
        <v>67</v>
      </c>
      <c r="S1069" s="5"/>
      <c r="T1069" t="s">
        <v>72</v>
      </c>
      <c r="U1069" t="s">
        <v>1031</v>
      </c>
      <c r="V1069" t="s">
        <v>74</v>
      </c>
      <c r="W1069" t="s">
        <v>73</v>
      </c>
      <c r="AE1069" s="2"/>
      <c r="AF1069" s="2"/>
      <c r="AG1069" s="2"/>
      <c r="AH1069" s="2"/>
      <c r="AK1069" t="s">
        <v>67</v>
      </c>
      <c r="AL1069" s="2">
        <v>16217000</v>
      </c>
      <c r="AM1069" s="2">
        <v>0</v>
      </c>
      <c r="AN1069" s="2"/>
      <c r="AO1069" s="2">
        <v>0</v>
      </c>
      <c r="AP1069" s="2">
        <v>16217000</v>
      </c>
      <c r="AQ1069" s="2">
        <v>0</v>
      </c>
      <c r="AR1069" s="2">
        <v>0</v>
      </c>
      <c r="AS1069" s="2">
        <v>0</v>
      </c>
      <c r="AT1069" s="2">
        <v>0</v>
      </c>
      <c r="AU1069" s="2">
        <v>0</v>
      </c>
      <c r="AV1069" s="2">
        <v>0</v>
      </c>
      <c r="AW1069" s="4"/>
      <c r="AX1069" t="s">
        <v>75</v>
      </c>
      <c r="AZ1069" t="s">
        <v>1560</v>
      </c>
      <c r="BA1069" t="s">
        <v>67</v>
      </c>
      <c r="BB1069" t="s">
        <v>1561</v>
      </c>
      <c r="BC1069" t="s">
        <v>90</v>
      </c>
      <c r="BD1069" t="s">
        <v>79</v>
      </c>
      <c r="BE1069" t="s">
        <v>168</v>
      </c>
      <c r="BF1069" s="5">
        <v>46388</v>
      </c>
      <c r="BG1069" t="s">
        <v>67</v>
      </c>
      <c r="BH1069">
        <v>1</v>
      </c>
      <c r="BI1069" s="6">
        <v>2000000</v>
      </c>
      <c r="BJ1069" s="6">
        <v>0</v>
      </c>
      <c r="BK1069" s="6">
        <v>1500000</v>
      </c>
      <c r="BL1069" s="6">
        <v>500000</v>
      </c>
      <c r="BM1069" s="2">
        <v>500000</v>
      </c>
      <c r="BN1069">
        <f>InvoiceTable[[#This Row],[Giảm giá]]*InvoiceTable[[#This Row],[Số lượng]]</f>
        <v>1500000</v>
      </c>
    </row>
    <row r="1070" spans="1:66" x14ac:dyDescent="0.25">
      <c r="A1070" t="s">
        <v>65</v>
      </c>
      <c r="B1070" t="s">
        <v>3106</v>
      </c>
      <c r="F1070" s="2"/>
      <c r="G1070" s="3">
        <v>46005.391084988427</v>
      </c>
      <c r="H1070" s="3">
        <v>46005.390946296298</v>
      </c>
      <c r="I1070" s="4" t="s">
        <v>96</v>
      </c>
      <c r="J1070" t="s">
        <v>3107</v>
      </c>
      <c r="K1070" t="s">
        <v>67</v>
      </c>
      <c r="L1070" t="s">
        <v>2325</v>
      </c>
      <c r="M1070" t="s">
        <v>2326</v>
      </c>
      <c r="N1070" t="s">
        <v>67</v>
      </c>
      <c r="O1070" t="s">
        <v>2327</v>
      </c>
      <c r="P1070" t="s">
        <v>2328</v>
      </c>
      <c r="Q1070" t="s">
        <v>67</v>
      </c>
      <c r="R1070" t="s">
        <v>67</v>
      </c>
      <c r="S1070" s="5"/>
      <c r="T1070" t="s">
        <v>72</v>
      </c>
      <c r="U1070" t="s">
        <v>1031</v>
      </c>
      <c r="V1070" t="s">
        <v>74</v>
      </c>
      <c r="W1070" t="s">
        <v>73</v>
      </c>
      <c r="AE1070" s="2"/>
      <c r="AF1070" s="2"/>
      <c r="AG1070" s="2"/>
      <c r="AH1070" s="2"/>
      <c r="AK1070" t="s">
        <v>67</v>
      </c>
      <c r="AL1070" s="2">
        <v>16217000</v>
      </c>
      <c r="AM1070" s="2">
        <v>0</v>
      </c>
      <c r="AN1070" s="2"/>
      <c r="AO1070" s="2">
        <v>0</v>
      </c>
      <c r="AP1070" s="2">
        <v>16217000</v>
      </c>
      <c r="AQ1070" s="2">
        <v>0</v>
      </c>
      <c r="AR1070" s="2">
        <v>0</v>
      </c>
      <c r="AS1070" s="2">
        <v>0</v>
      </c>
      <c r="AT1070" s="2">
        <v>0</v>
      </c>
      <c r="AU1070" s="2">
        <v>0</v>
      </c>
      <c r="AV1070" s="2">
        <v>0</v>
      </c>
      <c r="AW1070" s="4"/>
      <c r="AX1070" t="s">
        <v>75</v>
      </c>
      <c r="AZ1070" t="s">
        <v>447</v>
      </c>
      <c r="BA1070" t="s">
        <v>67</v>
      </c>
      <c r="BB1070" t="s">
        <v>448</v>
      </c>
      <c r="BC1070" t="s">
        <v>449</v>
      </c>
      <c r="BD1070" t="s">
        <v>79</v>
      </c>
      <c r="BE1070" t="s">
        <v>159</v>
      </c>
      <c r="BF1070" s="5">
        <v>46478</v>
      </c>
      <c r="BG1070" t="s">
        <v>67</v>
      </c>
      <c r="BH1070">
        <v>1</v>
      </c>
      <c r="BI1070" s="6">
        <v>4730000</v>
      </c>
      <c r="BJ1070" s="6">
        <v>0</v>
      </c>
      <c r="BK1070" s="6">
        <v>430000</v>
      </c>
      <c r="BL1070" s="6">
        <v>4300000</v>
      </c>
      <c r="BM1070" s="2">
        <v>4300000</v>
      </c>
      <c r="BN1070">
        <f>InvoiceTable[[#This Row],[Giảm giá]]*InvoiceTable[[#This Row],[Số lượng]]</f>
        <v>430000</v>
      </c>
    </row>
    <row r="1071" spans="1:66" x14ac:dyDescent="0.25">
      <c r="A1071" t="s">
        <v>65</v>
      </c>
      <c r="B1071" t="s">
        <v>3106</v>
      </c>
      <c r="F1071" s="2"/>
      <c r="G1071" s="3">
        <v>46005.391084988427</v>
      </c>
      <c r="H1071" s="3">
        <v>46005.390946296298</v>
      </c>
      <c r="I1071" s="4" t="s">
        <v>96</v>
      </c>
      <c r="J1071" t="s">
        <v>3107</v>
      </c>
      <c r="K1071" t="s">
        <v>67</v>
      </c>
      <c r="L1071" t="s">
        <v>2325</v>
      </c>
      <c r="M1071" t="s">
        <v>2326</v>
      </c>
      <c r="N1071" t="s">
        <v>67</v>
      </c>
      <c r="O1071" t="s">
        <v>2327</v>
      </c>
      <c r="P1071" t="s">
        <v>2328</v>
      </c>
      <c r="Q1071" t="s">
        <v>67</v>
      </c>
      <c r="R1071" t="s">
        <v>67</v>
      </c>
      <c r="S1071" s="5"/>
      <c r="T1071" t="s">
        <v>72</v>
      </c>
      <c r="U1071" t="s">
        <v>1031</v>
      </c>
      <c r="V1071" t="s">
        <v>74</v>
      </c>
      <c r="W1071" t="s">
        <v>73</v>
      </c>
      <c r="AE1071" s="2"/>
      <c r="AF1071" s="2"/>
      <c r="AG1071" s="2"/>
      <c r="AH1071" s="2"/>
      <c r="AK1071" t="s">
        <v>67</v>
      </c>
      <c r="AL1071" s="2">
        <v>16217000</v>
      </c>
      <c r="AM1071" s="2">
        <v>0</v>
      </c>
      <c r="AN1071" s="2"/>
      <c r="AO1071" s="2">
        <v>0</v>
      </c>
      <c r="AP1071" s="2">
        <v>16217000</v>
      </c>
      <c r="AQ1071" s="2">
        <v>0</v>
      </c>
      <c r="AR1071" s="2">
        <v>0</v>
      </c>
      <c r="AS1071" s="2">
        <v>0</v>
      </c>
      <c r="AT1071" s="2">
        <v>0</v>
      </c>
      <c r="AU1071" s="2">
        <v>0</v>
      </c>
      <c r="AV1071" s="2">
        <v>0</v>
      </c>
      <c r="AW1071" s="4"/>
      <c r="AX1071" t="s">
        <v>75</v>
      </c>
      <c r="AZ1071" t="s">
        <v>3102</v>
      </c>
      <c r="BA1071" t="s">
        <v>67</v>
      </c>
      <c r="BB1071" t="s">
        <v>3103</v>
      </c>
      <c r="BC1071" t="s">
        <v>90</v>
      </c>
      <c r="BD1071" t="s">
        <v>79</v>
      </c>
      <c r="BE1071" t="s">
        <v>168</v>
      </c>
      <c r="BF1071" s="5">
        <v>46388</v>
      </c>
      <c r="BG1071" t="s">
        <v>67</v>
      </c>
      <c r="BH1071">
        <v>1</v>
      </c>
      <c r="BI1071" s="6">
        <v>15000000</v>
      </c>
      <c r="BJ1071" s="6">
        <v>0</v>
      </c>
      <c r="BK1071" s="6">
        <v>7000000</v>
      </c>
      <c r="BL1071" s="6">
        <v>8000000</v>
      </c>
      <c r="BM1071" s="2">
        <v>8000000</v>
      </c>
      <c r="BN1071">
        <f>InvoiceTable[[#This Row],[Giảm giá]]*InvoiceTable[[#This Row],[Số lượng]]</f>
        <v>7000000</v>
      </c>
    </row>
    <row r="1072" spans="1:66" x14ac:dyDescent="0.25">
      <c r="A1072" t="s">
        <v>65</v>
      </c>
      <c r="B1072" t="s">
        <v>3115</v>
      </c>
      <c r="F1072" s="2"/>
      <c r="G1072" s="3">
        <v>46005.390051817129</v>
      </c>
      <c r="H1072" s="3">
        <v>46005.389913043982</v>
      </c>
      <c r="I1072" s="4" t="s">
        <v>96</v>
      </c>
      <c r="J1072" t="s">
        <v>3116</v>
      </c>
      <c r="K1072" t="s">
        <v>67</v>
      </c>
      <c r="L1072" t="s">
        <v>2491</v>
      </c>
      <c r="M1072" t="s">
        <v>2492</v>
      </c>
      <c r="N1072" t="s">
        <v>2493</v>
      </c>
      <c r="O1072" t="s">
        <v>2494</v>
      </c>
      <c r="P1072" t="s">
        <v>2495</v>
      </c>
      <c r="S1072" s="5"/>
      <c r="T1072" t="s">
        <v>72</v>
      </c>
      <c r="U1072" t="s">
        <v>87</v>
      </c>
      <c r="V1072" t="s">
        <v>74</v>
      </c>
      <c r="W1072" t="s">
        <v>73</v>
      </c>
      <c r="AE1072" s="2"/>
      <c r="AF1072" s="2"/>
      <c r="AG1072" s="2"/>
      <c r="AH1072" s="2"/>
      <c r="AK1072" t="s">
        <v>3117</v>
      </c>
      <c r="AL1072" s="2">
        <v>2630000</v>
      </c>
      <c r="AM1072" s="2">
        <v>0</v>
      </c>
      <c r="AN1072" s="2"/>
      <c r="AO1072" s="2">
        <v>0</v>
      </c>
      <c r="AP1072" s="2">
        <v>2630000</v>
      </c>
      <c r="AQ1072" s="2">
        <v>2630000</v>
      </c>
      <c r="AR1072" s="2">
        <v>0</v>
      </c>
      <c r="AS1072" s="2">
        <v>0</v>
      </c>
      <c r="AT1072" s="2">
        <v>0</v>
      </c>
      <c r="AU1072" s="2">
        <v>2630000</v>
      </c>
      <c r="AV1072" s="2">
        <v>0</v>
      </c>
      <c r="AW1072" s="4"/>
      <c r="AX1072" t="s">
        <v>75</v>
      </c>
      <c r="AZ1072" t="s">
        <v>107</v>
      </c>
      <c r="BA1072" t="s">
        <v>67</v>
      </c>
      <c r="BB1072" t="s">
        <v>108</v>
      </c>
      <c r="BC1072" t="s">
        <v>109</v>
      </c>
      <c r="BD1072" t="s">
        <v>79</v>
      </c>
      <c r="BE1072" t="s">
        <v>94</v>
      </c>
      <c r="BF1072" s="5">
        <v>46692</v>
      </c>
      <c r="BG1072" t="s">
        <v>67</v>
      </c>
      <c r="BH1072">
        <v>1</v>
      </c>
      <c r="BI1072" s="6">
        <v>4500000</v>
      </c>
      <c r="BJ1072" s="6">
        <v>0</v>
      </c>
      <c r="BK1072" s="6">
        <v>2000000</v>
      </c>
      <c r="BL1072" s="6">
        <v>2500000</v>
      </c>
      <c r="BM1072" s="2">
        <v>2500000</v>
      </c>
      <c r="BN1072">
        <f>InvoiceTable[[#This Row],[Giảm giá]]*InvoiceTable[[#This Row],[Số lượng]]</f>
        <v>2000000</v>
      </c>
    </row>
    <row r="1073" spans="1:66" x14ac:dyDescent="0.25">
      <c r="A1073" t="s">
        <v>65</v>
      </c>
      <c r="B1073" t="s">
        <v>3115</v>
      </c>
      <c r="F1073" s="2"/>
      <c r="G1073" s="3">
        <v>46005.390051817129</v>
      </c>
      <c r="H1073" s="3">
        <v>46005.389913043982</v>
      </c>
      <c r="I1073" s="4" t="s">
        <v>96</v>
      </c>
      <c r="J1073" t="s">
        <v>3116</v>
      </c>
      <c r="K1073" t="s">
        <v>67</v>
      </c>
      <c r="L1073" t="s">
        <v>2491</v>
      </c>
      <c r="M1073" t="s">
        <v>2492</v>
      </c>
      <c r="N1073" t="s">
        <v>2493</v>
      </c>
      <c r="O1073" t="s">
        <v>2494</v>
      </c>
      <c r="P1073" t="s">
        <v>2495</v>
      </c>
      <c r="S1073" s="5"/>
      <c r="T1073" t="s">
        <v>72</v>
      </c>
      <c r="U1073" t="s">
        <v>87</v>
      </c>
      <c r="V1073" t="s">
        <v>74</v>
      </c>
      <c r="W1073" t="s">
        <v>73</v>
      </c>
      <c r="AE1073" s="2"/>
      <c r="AF1073" s="2"/>
      <c r="AG1073" s="2"/>
      <c r="AH1073" s="2"/>
      <c r="AK1073" t="s">
        <v>3117</v>
      </c>
      <c r="AL1073" s="2">
        <v>2630000</v>
      </c>
      <c r="AM1073" s="2">
        <v>0</v>
      </c>
      <c r="AN1073" s="2"/>
      <c r="AO1073" s="2">
        <v>0</v>
      </c>
      <c r="AP1073" s="2">
        <v>2630000</v>
      </c>
      <c r="AQ1073" s="2">
        <v>2630000</v>
      </c>
      <c r="AR1073" s="2">
        <v>0</v>
      </c>
      <c r="AS1073" s="2">
        <v>0</v>
      </c>
      <c r="AT1073" s="2">
        <v>0</v>
      </c>
      <c r="AU1073" s="2">
        <v>2630000</v>
      </c>
      <c r="AV1073" s="2">
        <v>0</v>
      </c>
      <c r="AW1073" s="4"/>
      <c r="AX1073" t="s">
        <v>75</v>
      </c>
      <c r="AZ1073" t="s">
        <v>3118</v>
      </c>
      <c r="BA1073" t="s">
        <v>67</v>
      </c>
      <c r="BB1073" t="s">
        <v>3119</v>
      </c>
      <c r="BC1073" t="s">
        <v>126</v>
      </c>
      <c r="BD1073" t="s">
        <v>79</v>
      </c>
      <c r="BE1073" t="s">
        <v>1035</v>
      </c>
      <c r="BF1073" s="5">
        <v>46204</v>
      </c>
      <c r="BG1073" t="s">
        <v>67</v>
      </c>
      <c r="BH1073">
        <v>1</v>
      </c>
      <c r="BI1073" s="6">
        <v>290000</v>
      </c>
      <c r="BJ1073" s="6">
        <v>0</v>
      </c>
      <c r="BK1073" s="6">
        <v>160000</v>
      </c>
      <c r="BL1073" s="6">
        <v>130000</v>
      </c>
      <c r="BM1073" s="2">
        <v>130000</v>
      </c>
      <c r="BN1073">
        <f>InvoiceTable[[#This Row],[Giảm giá]]*InvoiceTable[[#This Row],[Số lượng]]</f>
        <v>160000</v>
      </c>
    </row>
    <row r="1074" spans="1:66" x14ac:dyDescent="0.25">
      <c r="A1074" t="s">
        <v>65</v>
      </c>
      <c r="B1074" t="s">
        <v>3120</v>
      </c>
      <c r="F1074" s="2"/>
      <c r="G1074" s="3">
        <v>46005.389778275465</v>
      </c>
      <c r="H1074" s="3">
        <v>46005.389639502311</v>
      </c>
      <c r="I1074" s="4" t="s">
        <v>96</v>
      </c>
      <c r="J1074" t="s">
        <v>3121</v>
      </c>
      <c r="K1074" t="s">
        <v>67</v>
      </c>
      <c r="L1074" t="s">
        <v>1854</v>
      </c>
      <c r="M1074" t="s">
        <v>1855</v>
      </c>
      <c r="N1074" t="s">
        <v>67</v>
      </c>
      <c r="O1074" t="s">
        <v>1856</v>
      </c>
      <c r="P1074" t="s">
        <v>1857</v>
      </c>
      <c r="Q1074" t="s">
        <v>1858</v>
      </c>
      <c r="R1074" t="s">
        <v>1859</v>
      </c>
      <c r="S1074" s="5"/>
      <c r="T1074" t="s">
        <v>72</v>
      </c>
      <c r="U1074" t="s">
        <v>87</v>
      </c>
      <c r="V1074" t="s">
        <v>74</v>
      </c>
      <c r="W1074" t="s">
        <v>73</v>
      </c>
      <c r="AE1074" s="2"/>
      <c r="AF1074" s="2"/>
      <c r="AG1074" s="2"/>
      <c r="AH1074" s="2"/>
      <c r="AK1074" t="s">
        <v>3122</v>
      </c>
      <c r="AL1074" s="2">
        <v>1565000</v>
      </c>
      <c r="AM1074" s="2">
        <v>0</v>
      </c>
      <c r="AN1074" s="2"/>
      <c r="AO1074" s="2">
        <v>0</v>
      </c>
      <c r="AP1074" s="2">
        <v>1565000</v>
      </c>
      <c r="AQ1074" s="2">
        <v>0</v>
      </c>
      <c r="AR1074" s="2">
        <v>0</v>
      </c>
      <c r="AS1074" s="2">
        <v>0</v>
      </c>
      <c r="AT1074" s="2">
        <v>0</v>
      </c>
      <c r="AU1074" s="2">
        <v>0</v>
      </c>
      <c r="AV1074" s="2">
        <v>0</v>
      </c>
      <c r="AW1074" s="4"/>
      <c r="AX1074" t="s">
        <v>75</v>
      </c>
      <c r="AZ1074" t="s">
        <v>1297</v>
      </c>
      <c r="BA1074" t="s">
        <v>67</v>
      </c>
      <c r="BB1074" t="s">
        <v>1298</v>
      </c>
      <c r="BC1074" t="s">
        <v>1299</v>
      </c>
      <c r="BD1074" t="s">
        <v>79</v>
      </c>
      <c r="BE1074" t="s">
        <v>159</v>
      </c>
      <c r="BF1074" s="5">
        <v>46478</v>
      </c>
      <c r="BH1074">
        <v>1</v>
      </c>
      <c r="BI1074" s="6">
        <v>270000</v>
      </c>
      <c r="BJ1074" s="6">
        <v>0</v>
      </c>
      <c r="BK1074" s="6">
        <v>165000</v>
      </c>
      <c r="BL1074" s="6">
        <v>105000</v>
      </c>
      <c r="BM1074" s="2">
        <v>105000</v>
      </c>
      <c r="BN1074">
        <f>InvoiceTable[[#This Row],[Giảm giá]]*InvoiceTable[[#This Row],[Số lượng]]</f>
        <v>165000</v>
      </c>
    </row>
    <row r="1075" spans="1:66" x14ac:dyDescent="0.25">
      <c r="A1075" t="s">
        <v>65</v>
      </c>
      <c r="B1075" t="s">
        <v>3120</v>
      </c>
      <c r="F1075" s="2"/>
      <c r="G1075" s="3">
        <v>46005.389778275465</v>
      </c>
      <c r="H1075" s="3">
        <v>46005.389639502311</v>
      </c>
      <c r="I1075" s="4" t="s">
        <v>96</v>
      </c>
      <c r="J1075" t="s">
        <v>3121</v>
      </c>
      <c r="K1075" t="s">
        <v>67</v>
      </c>
      <c r="L1075" t="s">
        <v>1854</v>
      </c>
      <c r="M1075" t="s">
        <v>1855</v>
      </c>
      <c r="N1075" t="s">
        <v>67</v>
      </c>
      <c r="O1075" t="s">
        <v>1856</v>
      </c>
      <c r="P1075" t="s">
        <v>1857</v>
      </c>
      <c r="Q1075" t="s">
        <v>1858</v>
      </c>
      <c r="R1075" t="s">
        <v>1859</v>
      </c>
      <c r="S1075" s="5"/>
      <c r="T1075" t="s">
        <v>72</v>
      </c>
      <c r="U1075" t="s">
        <v>87</v>
      </c>
      <c r="V1075" t="s">
        <v>74</v>
      </c>
      <c r="W1075" t="s">
        <v>73</v>
      </c>
      <c r="AE1075" s="2"/>
      <c r="AF1075" s="2"/>
      <c r="AG1075" s="2"/>
      <c r="AH1075" s="2"/>
      <c r="AK1075" t="s">
        <v>3122</v>
      </c>
      <c r="AL1075" s="2">
        <v>1565000</v>
      </c>
      <c r="AM1075" s="2">
        <v>0</v>
      </c>
      <c r="AN1075" s="2"/>
      <c r="AO1075" s="2">
        <v>0</v>
      </c>
      <c r="AP1075" s="2">
        <v>1565000</v>
      </c>
      <c r="AQ1075" s="2">
        <v>0</v>
      </c>
      <c r="AR1075" s="2">
        <v>0</v>
      </c>
      <c r="AS1075" s="2">
        <v>0</v>
      </c>
      <c r="AT1075" s="2">
        <v>0</v>
      </c>
      <c r="AU1075" s="2">
        <v>0</v>
      </c>
      <c r="AV1075" s="2">
        <v>0</v>
      </c>
      <c r="AW1075" s="4"/>
      <c r="AX1075" t="s">
        <v>75</v>
      </c>
      <c r="AZ1075" t="s">
        <v>3123</v>
      </c>
      <c r="BA1075" t="s">
        <v>67</v>
      </c>
      <c r="BB1075" t="s">
        <v>3124</v>
      </c>
      <c r="BC1075" t="s">
        <v>126</v>
      </c>
      <c r="BD1075" t="s">
        <v>79</v>
      </c>
      <c r="BE1075" t="s">
        <v>228</v>
      </c>
      <c r="BF1075" s="5">
        <v>46813</v>
      </c>
      <c r="BH1075">
        <v>1</v>
      </c>
      <c r="BI1075" s="6">
        <v>650000</v>
      </c>
      <c r="BJ1075" s="6">
        <v>0</v>
      </c>
      <c r="BK1075" s="6">
        <v>170000</v>
      </c>
      <c r="BL1075" s="6">
        <v>480000</v>
      </c>
      <c r="BM1075" s="2">
        <v>480000</v>
      </c>
      <c r="BN1075">
        <f>InvoiceTable[[#This Row],[Giảm giá]]*InvoiceTable[[#This Row],[Số lượng]]</f>
        <v>170000</v>
      </c>
    </row>
    <row r="1076" spans="1:66" x14ac:dyDescent="0.25">
      <c r="A1076" t="s">
        <v>65</v>
      </c>
      <c r="B1076" t="s">
        <v>3120</v>
      </c>
      <c r="F1076" s="2"/>
      <c r="G1076" s="3">
        <v>46005.389778275465</v>
      </c>
      <c r="H1076" s="3">
        <v>46005.389639502311</v>
      </c>
      <c r="I1076" s="4" t="s">
        <v>96</v>
      </c>
      <c r="J1076" t="s">
        <v>3121</v>
      </c>
      <c r="K1076" t="s">
        <v>67</v>
      </c>
      <c r="L1076" t="s">
        <v>1854</v>
      </c>
      <c r="M1076" t="s">
        <v>1855</v>
      </c>
      <c r="N1076" t="s">
        <v>67</v>
      </c>
      <c r="O1076" t="s">
        <v>1856</v>
      </c>
      <c r="P1076" t="s">
        <v>1857</v>
      </c>
      <c r="Q1076" t="s">
        <v>1858</v>
      </c>
      <c r="R1076" t="s">
        <v>1859</v>
      </c>
      <c r="S1076" s="5"/>
      <c r="T1076" t="s">
        <v>72</v>
      </c>
      <c r="U1076" t="s">
        <v>87</v>
      </c>
      <c r="V1076" t="s">
        <v>74</v>
      </c>
      <c r="W1076" t="s">
        <v>73</v>
      </c>
      <c r="AE1076" s="2"/>
      <c r="AF1076" s="2"/>
      <c r="AG1076" s="2"/>
      <c r="AH1076" s="2"/>
      <c r="AK1076" t="s">
        <v>3122</v>
      </c>
      <c r="AL1076" s="2">
        <v>1565000</v>
      </c>
      <c r="AM1076" s="2">
        <v>0</v>
      </c>
      <c r="AN1076" s="2"/>
      <c r="AO1076" s="2">
        <v>0</v>
      </c>
      <c r="AP1076" s="2">
        <v>1565000</v>
      </c>
      <c r="AQ1076" s="2">
        <v>0</v>
      </c>
      <c r="AR1076" s="2">
        <v>0</v>
      </c>
      <c r="AS1076" s="2">
        <v>0</v>
      </c>
      <c r="AT1076" s="2">
        <v>0</v>
      </c>
      <c r="AU1076" s="2">
        <v>0</v>
      </c>
      <c r="AV1076" s="2">
        <v>0</v>
      </c>
      <c r="AW1076" s="4"/>
      <c r="AX1076" t="s">
        <v>75</v>
      </c>
      <c r="AZ1076" t="s">
        <v>480</v>
      </c>
      <c r="BA1076" t="s">
        <v>67</v>
      </c>
      <c r="BB1076" t="s">
        <v>481</v>
      </c>
      <c r="BC1076" t="s">
        <v>90</v>
      </c>
      <c r="BD1076" t="s">
        <v>79</v>
      </c>
      <c r="BE1076" t="s">
        <v>482</v>
      </c>
      <c r="BF1076" s="5">
        <v>46773</v>
      </c>
      <c r="BG1076" t="s">
        <v>67</v>
      </c>
      <c r="BH1076">
        <v>1</v>
      </c>
      <c r="BI1076" s="6">
        <v>1800000</v>
      </c>
      <c r="BJ1076" s="6">
        <v>0</v>
      </c>
      <c r="BK1076" s="6">
        <v>820000</v>
      </c>
      <c r="BL1076" s="6">
        <v>980000</v>
      </c>
      <c r="BM1076" s="2">
        <v>980000</v>
      </c>
      <c r="BN1076">
        <f>InvoiceTable[[#This Row],[Giảm giá]]*InvoiceTable[[#This Row],[Số lượng]]</f>
        <v>820000</v>
      </c>
    </row>
    <row r="1077" spans="1:66" x14ac:dyDescent="0.25">
      <c r="A1077" t="s">
        <v>65</v>
      </c>
      <c r="B1077" t="s">
        <v>3125</v>
      </c>
      <c r="F1077" s="2"/>
      <c r="G1077" s="3">
        <v>46004.710325578701</v>
      </c>
      <c r="H1077" s="3">
        <v>46004.710198379631</v>
      </c>
      <c r="I1077" s="4" t="s">
        <v>3126</v>
      </c>
      <c r="J1077" t="s">
        <v>3127</v>
      </c>
      <c r="K1077" t="s">
        <v>67</v>
      </c>
      <c r="L1077" t="s">
        <v>884</v>
      </c>
      <c r="M1077" t="s">
        <v>885</v>
      </c>
      <c r="N1077" t="s">
        <v>67</v>
      </c>
      <c r="O1077" t="s">
        <v>886</v>
      </c>
      <c r="P1077" t="s">
        <v>887</v>
      </c>
      <c r="Q1077" t="s">
        <v>67</v>
      </c>
      <c r="R1077" t="s">
        <v>67</v>
      </c>
      <c r="S1077" s="5"/>
      <c r="T1077" t="s">
        <v>72</v>
      </c>
      <c r="U1077" t="s">
        <v>102</v>
      </c>
      <c r="V1077" t="s">
        <v>74</v>
      </c>
      <c r="W1077" t="s">
        <v>87</v>
      </c>
      <c r="AE1077" s="2"/>
      <c r="AF1077" s="2"/>
      <c r="AG1077" s="2"/>
      <c r="AH1077" s="2"/>
      <c r="AK1077" t="s">
        <v>3128</v>
      </c>
      <c r="AL1077" s="2">
        <v>9600000</v>
      </c>
      <c r="AM1077" s="2">
        <v>0</v>
      </c>
      <c r="AN1077" s="2"/>
      <c r="AO1077" s="2">
        <v>0</v>
      </c>
      <c r="AP1077" s="2">
        <v>9600000</v>
      </c>
      <c r="AQ1077" s="2">
        <v>0</v>
      </c>
      <c r="AR1077" s="2">
        <v>0</v>
      </c>
      <c r="AS1077" s="2">
        <v>0</v>
      </c>
      <c r="AT1077" s="2">
        <v>0</v>
      </c>
      <c r="AU1077" s="2">
        <v>0</v>
      </c>
      <c r="AV1077" s="2">
        <v>0</v>
      </c>
      <c r="AW1077" s="4"/>
      <c r="AX1077" t="s">
        <v>75</v>
      </c>
      <c r="AZ1077" t="s">
        <v>620</v>
      </c>
      <c r="BA1077" t="s">
        <v>67</v>
      </c>
      <c r="BB1077" t="s">
        <v>621</v>
      </c>
      <c r="BC1077" t="s">
        <v>622</v>
      </c>
      <c r="BD1077" t="s">
        <v>79</v>
      </c>
      <c r="BE1077" t="s">
        <v>198</v>
      </c>
      <c r="BF1077" s="5">
        <v>46753</v>
      </c>
      <c r="BG1077" t="s">
        <v>67</v>
      </c>
      <c r="BH1077">
        <v>1</v>
      </c>
      <c r="BI1077" s="6">
        <v>1800000</v>
      </c>
      <c r="BJ1077" s="6">
        <v>100</v>
      </c>
      <c r="BK1077" s="6">
        <v>1800000</v>
      </c>
      <c r="BL1077" s="6">
        <v>0</v>
      </c>
      <c r="BM1077" s="2">
        <v>0</v>
      </c>
      <c r="BN1077">
        <f>InvoiceTable[[#This Row],[Giảm giá]]*InvoiceTable[[#This Row],[Số lượng]]</f>
        <v>1800000</v>
      </c>
    </row>
    <row r="1078" spans="1:66" x14ac:dyDescent="0.25">
      <c r="A1078" t="s">
        <v>65</v>
      </c>
      <c r="B1078" t="s">
        <v>3125</v>
      </c>
      <c r="F1078" s="2"/>
      <c r="G1078" s="3">
        <v>46004.710325578701</v>
      </c>
      <c r="H1078" s="3">
        <v>46004.710198379631</v>
      </c>
      <c r="I1078" s="4" t="s">
        <v>3126</v>
      </c>
      <c r="J1078" t="s">
        <v>3127</v>
      </c>
      <c r="K1078" t="s">
        <v>67</v>
      </c>
      <c r="L1078" t="s">
        <v>884</v>
      </c>
      <c r="M1078" t="s">
        <v>885</v>
      </c>
      <c r="N1078" t="s">
        <v>67</v>
      </c>
      <c r="O1078" t="s">
        <v>886</v>
      </c>
      <c r="P1078" t="s">
        <v>887</v>
      </c>
      <c r="Q1078" t="s">
        <v>67</v>
      </c>
      <c r="R1078" t="s">
        <v>67</v>
      </c>
      <c r="S1078" s="5"/>
      <c r="T1078" t="s">
        <v>72</v>
      </c>
      <c r="U1078" t="s">
        <v>102</v>
      </c>
      <c r="V1078" t="s">
        <v>74</v>
      </c>
      <c r="W1078" t="s">
        <v>87</v>
      </c>
      <c r="AE1078" s="2"/>
      <c r="AF1078" s="2"/>
      <c r="AG1078" s="2"/>
      <c r="AH1078" s="2"/>
      <c r="AK1078" t="s">
        <v>3128</v>
      </c>
      <c r="AL1078" s="2">
        <v>9600000</v>
      </c>
      <c r="AM1078" s="2">
        <v>0</v>
      </c>
      <c r="AN1078" s="2"/>
      <c r="AO1078" s="2">
        <v>0</v>
      </c>
      <c r="AP1078" s="2">
        <v>9600000</v>
      </c>
      <c r="AQ1078" s="2">
        <v>0</v>
      </c>
      <c r="AR1078" s="2">
        <v>0</v>
      </c>
      <c r="AS1078" s="2">
        <v>0</v>
      </c>
      <c r="AT1078" s="2">
        <v>0</v>
      </c>
      <c r="AU1078" s="2">
        <v>0</v>
      </c>
      <c r="AV1078" s="2">
        <v>0</v>
      </c>
      <c r="AW1078" s="4"/>
      <c r="AX1078" t="s">
        <v>75</v>
      </c>
      <c r="AZ1078" t="s">
        <v>623</v>
      </c>
      <c r="BA1078" t="s">
        <v>67</v>
      </c>
      <c r="BB1078" t="s">
        <v>624</v>
      </c>
      <c r="BC1078" t="s">
        <v>622</v>
      </c>
      <c r="BD1078" t="s">
        <v>79</v>
      </c>
      <c r="BE1078" t="s">
        <v>117</v>
      </c>
      <c r="BF1078" s="5">
        <v>46569</v>
      </c>
      <c r="BG1078" t="s">
        <v>67</v>
      </c>
      <c r="BH1078">
        <v>2</v>
      </c>
      <c r="BI1078" s="6">
        <v>6850000</v>
      </c>
      <c r="BJ1078" s="6">
        <v>0</v>
      </c>
      <c r="BK1078" s="6">
        <v>2050000</v>
      </c>
      <c r="BL1078" s="6">
        <v>4800000</v>
      </c>
      <c r="BM1078" s="2">
        <v>9600000</v>
      </c>
      <c r="BN1078">
        <f>InvoiceTable[[#This Row],[Giảm giá]]*InvoiceTable[[#This Row],[Số lượng]]</f>
        <v>4100000</v>
      </c>
    </row>
    <row r="1079" spans="1:66" x14ac:dyDescent="0.25">
      <c r="A1079" t="s">
        <v>65</v>
      </c>
      <c r="B1079" t="s">
        <v>3129</v>
      </c>
      <c r="F1079" s="2"/>
      <c r="G1079" s="3">
        <v>46004.705708020832</v>
      </c>
      <c r="H1079" s="3">
        <v>46004.705708182868</v>
      </c>
      <c r="I1079" s="4" t="s">
        <v>67</v>
      </c>
      <c r="J1079" t="s">
        <v>67</v>
      </c>
      <c r="K1079" t="s">
        <v>67</v>
      </c>
      <c r="L1079" t="s">
        <v>295</v>
      </c>
      <c r="M1079" t="s">
        <v>296</v>
      </c>
      <c r="N1079" t="s">
        <v>67</v>
      </c>
      <c r="O1079" t="s">
        <v>297</v>
      </c>
      <c r="P1079" t="s">
        <v>298</v>
      </c>
      <c r="S1079" s="5"/>
      <c r="T1079" t="s">
        <v>72</v>
      </c>
      <c r="U1079" t="s">
        <v>87</v>
      </c>
      <c r="V1079" t="s">
        <v>74</v>
      </c>
      <c r="W1079" t="s">
        <v>87</v>
      </c>
      <c r="AE1079" s="2"/>
      <c r="AF1079" s="2"/>
      <c r="AG1079" s="2"/>
      <c r="AH1079" s="2"/>
      <c r="AL1079" s="2">
        <v>1575000</v>
      </c>
      <c r="AM1079" s="2">
        <v>0</v>
      </c>
      <c r="AN1079" s="2"/>
      <c r="AO1079" s="2">
        <v>0</v>
      </c>
      <c r="AP1079" s="2">
        <v>1575000</v>
      </c>
      <c r="AQ1079" s="2">
        <v>0</v>
      </c>
      <c r="AR1079" s="2">
        <v>0</v>
      </c>
      <c r="AS1079" s="2">
        <v>0</v>
      </c>
      <c r="AT1079" s="2">
        <v>0</v>
      </c>
      <c r="AU1079" s="2">
        <v>0</v>
      </c>
      <c r="AV1079" s="2">
        <v>0</v>
      </c>
      <c r="AW1079" s="4"/>
      <c r="AX1079" t="s">
        <v>75</v>
      </c>
      <c r="AZ1079" t="s">
        <v>3130</v>
      </c>
      <c r="BA1079" t="s">
        <v>67</v>
      </c>
      <c r="BB1079" t="s">
        <v>3131</v>
      </c>
      <c r="BC1079" t="s">
        <v>367</v>
      </c>
      <c r="BD1079" t="s">
        <v>79</v>
      </c>
      <c r="BE1079" t="s">
        <v>216</v>
      </c>
      <c r="BF1079" s="5">
        <v>46784</v>
      </c>
      <c r="BH1079">
        <v>5</v>
      </c>
      <c r="BI1079" s="6">
        <v>450000</v>
      </c>
      <c r="BJ1079" s="6">
        <v>30</v>
      </c>
      <c r="BK1079" s="6">
        <v>135000</v>
      </c>
      <c r="BL1079" s="6">
        <v>315000</v>
      </c>
      <c r="BM1079" s="2">
        <v>1575000</v>
      </c>
      <c r="BN1079">
        <f>InvoiceTable[[#This Row],[Giảm giá]]*InvoiceTable[[#This Row],[Số lượng]]</f>
        <v>675000</v>
      </c>
    </row>
    <row r="1080" spans="1:66" x14ac:dyDescent="0.25">
      <c r="A1080" t="s">
        <v>65</v>
      </c>
      <c r="B1080" t="s">
        <v>3132</v>
      </c>
      <c r="F1080" s="2"/>
      <c r="G1080" s="3">
        <v>46004.696216284719</v>
      </c>
      <c r="H1080" s="3">
        <v>46004.696123807873</v>
      </c>
      <c r="I1080" s="4" t="s">
        <v>1682</v>
      </c>
      <c r="J1080" t="s">
        <v>67</v>
      </c>
      <c r="K1080" t="s">
        <v>67</v>
      </c>
      <c r="L1080" t="s">
        <v>3133</v>
      </c>
      <c r="M1080" t="s">
        <v>3134</v>
      </c>
      <c r="N1080" t="s">
        <v>67</v>
      </c>
      <c r="O1080" t="s">
        <v>3135</v>
      </c>
      <c r="P1080" t="s">
        <v>3136</v>
      </c>
      <c r="Q1080" t="s">
        <v>67</v>
      </c>
      <c r="R1080" t="s">
        <v>67</v>
      </c>
      <c r="S1080" s="5"/>
      <c r="T1080" t="s">
        <v>72</v>
      </c>
      <c r="U1080" t="s">
        <v>87</v>
      </c>
      <c r="V1080" t="s">
        <v>74</v>
      </c>
      <c r="W1080" t="s">
        <v>87</v>
      </c>
      <c r="AE1080" s="2"/>
      <c r="AF1080" s="2"/>
      <c r="AG1080" s="2"/>
      <c r="AH1080" s="2"/>
      <c r="AL1080" s="2">
        <v>890000</v>
      </c>
      <c r="AM1080" s="2">
        <v>0</v>
      </c>
      <c r="AN1080" s="2"/>
      <c r="AO1080" s="2">
        <v>0</v>
      </c>
      <c r="AP1080" s="2">
        <v>890000</v>
      </c>
      <c r="AQ1080" s="2">
        <v>0</v>
      </c>
      <c r="AR1080" s="2">
        <v>0</v>
      </c>
      <c r="AS1080" s="2">
        <v>0</v>
      </c>
      <c r="AT1080" s="2">
        <v>0</v>
      </c>
      <c r="AU1080" s="2">
        <v>0</v>
      </c>
      <c r="AV1080" s="2">
        <v>0</v>
      </c>
      <c r="AW1080" s="4"/>
      <c r="AX1080" t="s">
        <v>75</v>
      </c>
      <c r="AZ1080" t="s">
        <v>1288</v>
      </c>
      <c r="BB1080" t="s">
        <v>1289</v>
      </c>
      <c r="BC1080" t="s">
        <v>437</v>
      </c>
      <c r="BD1080" t="s">
        <v>79</v>
      </c>
      <c r="BE1080" t="s">
        <v>198</v>
      </c>
      <c r="BF1080" s="5">
        <v>46753</v>
      </c>
      <c r="BH1080">
        <v>1</v>
      </c>
      <c r="BI1080" s="6">
        <v>1250000</v>
      </c>
      <c r="BJ1080" s="6">
        <v>0</v>
      </c>
      <c r="BK1080" s="6">
        <v>360000</v>
      </c>
      <c r="BL1080" s="6">
        <v>890000</v>
      </c>
      <c r="BM1080" s="2">
        <v>890000</v>
      </c>
      <c r="BN1080">
        <f>InvoiceTable[[#This Row],[Giảm giá]]*InvoiceTable[[#This Row],[Số lượng]]</f>
        <v>360000</v>
      </c>
    </row>
    <row r="1081" spans="1:66" x14ac:dyDescent="0.25">
      <c r="A1081" t="s">
        <v>65</v>
      </c>
      <c r="B1081" t="s">
        <v>3137</v>
      </c>
      <c r="F1081" s="2"/>
      <c r="G1081" s="3">
        <v>46004.693038657409</v>
      </c>
      <c r="H1081" s="3">
        <v>46004.693038738427</v>
      </c>
      <c r="I1081" s="4" t="s">
        <v>67</v>
      </c>
      <c r="J1081" t="s">
        <v>67</v>
      </c>
      <c r="K1081" t="s">
        <v>67</v>
      </c>
      <c r="L1081" t="s">
        <v>3133</v>
      </c>
      <c r="M1081" t="s">
        <v>3134</v>
      </c>
      <c r="N1081" t="s">
        <v>67</v>
      </c>
      <c r="O1081" t="s">
        <v>3135</v>
      </c>
      <c r="P1081" t="s">
        <v>3136</v>
      </c>
      <c r="Q1081" t="s">
        <v>67</v>
      </c>
      <c r="R1081" t="s">
        <v>67</v>
      </c>
      <c r="S1081" s="5"/>
      <c r="T1081" t="s">
        <v>72</v>
      </c>
      <c r="U1081" t="s">
        <v>87</v>
      </c>
      <c r="V1081" t="s">
        <v>74</v>
      </c>
      <c r="W1081" t="s">
        <v>87</v>
      </c>
      <c r="AE1081" s="2"/>
      <c r="AF1081" s="2"/>
      <c r="AG1081" s="2"/>
      <c r="AH1081" s="2"/>
      <c r="AL1081" s="2">
        <v>473000</v>
      </c>
      <c r="AM1081" s="2">
        <v>0</v>
      </c>
      <c r="AN1081" s="2"/>
      <c r="AO1081" s="2">
        <v>0</v>
      </c>
      <c r="AP1081" s="2">
        <v>473000</v>
      </c>
      <c r="AQ1081" s="2">
        <v>0</v>
      </c>
      <c r="AR1081" s="2">
        <v>0</v>
      </c>
      <c r="AS1081" s="2">
        <v>0</v>
      </c>
      <c r="AT1081" s="2">
        <v>0</v>
      </c>
      <c r="AU1081" s="2">
        <v>0</v>
      </c>
      <c r="AV1081" s="2">
        <v>0</v>
      </c>
      <c r="AW1081" s="4"/>
      <c r="AX1081" t="s">
        <v>75</v>
      </c>
      <c r="AZ1081" t="s">
        <v>3138</v>
      </c>
      <c r="BA1081" t="s">
        <v>67</v>
      </c>
      <c r="BB1081" t="s">
        <v>3139</v>
      </c>
      <c r="BC1081" t="s">
        <v>285</v>
      </c>
      <c r="BD1081" t="s">
        <v>79</v>
      </c>
      <c r="BE1081" t="s">
        <v>117</v>
      </c>
      <c r="BF1081" s="5">
        <v>46569</v>
      </c>
      <c r="BH1081">
        <v>1</v>
      </c>
      <c r="BI1081" s="6">
        <v>860000</v>
      </c>
      <c r="BJ1081" s="6">
        <v>45</v>
      </c>
      <c r="BK1081" s="6">
        <v>387000</v>
      </c>
      <c r="BL1081" s="6">
        <v>473000</v>
      </c>
      <c r="BM1081" s="2">
        <v>473000</v>
      </c>
      <c r="BN1081">
        <f>InvoiceTable[[#This Row],[Giảm giá]]*InvoiceTable[[#This Row],[Số lượng]]</f>
        <v>387000</v>
      </c>
    </row>
    <row r="1082" spans="1:66" x14ac:dyDescent="0.25">
      <c r="A1082" t="s">
        <v>65</v>
      </c>
      <c r="B1082" t="s">
        <v>3140</v>
      </c>
      <c r="F1082" s="2"/>
      <c r="G1082" s="3">
        <v>46004.692516354167</v>
      </c>
      <c r="H1082" s="3">
        <v>46004.69238915509</v>
      </c>
      <c r="I1082" s="4" t="s">
        <v>844</v>
      </c>
      <c r="J1082" t="s">
        <v>67</v>
      </c>
      <c r="K1082" t="s">
        <v>67</v>
      </c>
      <c r="L1082" t="s">
        <v>3133</v>
      </c>
      <c r="M1082" t="s">
        <v>3134</v>
      </c>
      <c r="N1082" t="s">
        <v>67</v>
      </c>
      <c r="O1082" t="s">
        <v>3135</v>
      </c>
      <c r="P1082" t="s">
        <v>3136</v>
      </c>
      <c r="Q1082" t="s">
        <v>67</v>
      </c>
      <c r="R1082" t="s">
        <v>67</v>
      </c>
      <c r="S1082" s="5"/>
      <c r="T1082" t="s">
        <v>72</v>
      </c>
      <c r="U1082" t="s">
        <v>87</v>
      </c>
      <c r="V1082" t="s">
        <v>74</v>
      </c>
      <c r="W1082" t="s">
        <v>87</v>
      </c>
      <c r="AE1082" s="2"/>
      <c r="AF1082" s="2"/>
      <c r="AG1082" s="2"/>
      <c r="AH1082" s="2"/>
      <c r="AL1082" s="2">
        <v>6138000</v>
      </c>
      <c r="AM1082" s="2">
        <v>0</v>
      </c>
      <c r="AN1082" s="2"/>
      <c r="AO1082" s="2">
        <v>0</v>
      </c>
      <c r="AP1082" s="2">
        <v>6138000</v>
      </c>
      <c r="AQ1082" s="2">
        <v>0</v>
      </c>
      <c r="AR1082" s="2">
        <v>0</v>
      </c>
      <c r="AS1082" s="2">
        <v>0</v>
      </c>
      <c r="AT1082" s="2">
        <v>0</v>
      </c>
      <c r="AU1082" s="2">
        <v>0</v>
      </c>
      <c r="AV1082" s="2">
        <v>0</v>
      </c>
      <c r="AW1082" s="4"/>
      <c r="AX1082" t="s">
        <v>75</v>
      </c>
      <c r="AZ1082" t="s">
        <v>573</v>
      </c>
      <c r="BA1082" t="s">
        <v>67</v>
      </c>
      <c r="BB1082" t="s">
        <v>89</v>
      </c>
      <c r="BC1082" t="s">
        <v>90</v>
      </c>
      <c r="BF1082" s="5"/>
      <c r="BG1082" t="s">
        <v>67</v>
      </c>
      <c r="BH1082">
        <v>1</v>
      </c>
      <c r="BI1082" s="6">
        <v>31000</v>
      </c>
      <c r="BJ1082" s="6">
        <v>0</v>
      </c>
      <c r="BK1082" s="6">
        <v>0</v>
      </c>
      <c r="BL1082" s="6">
        <v>31000</v>
      </c>
      <c r="BM1082" s="2">
        <v>31000</v>
      </c>
      <c r="BN1082">
        <f>InvoiceTable[[#This Row],[Giảm giá]]*InvoiceTable[[#This Row],[Số lượng]]</f>
        <v>0</v>
      </c>
    </row>
    <row r="1083" spans="1:66" x14ac:dyDescent="0.25">
      <c r="A1083" t="s">
        <v>65</v>
      </c>
      <c r="B1083" t="s">
        <v>3140</v>
      </c>
      <c r="F1083" s="2"/>
      <c r="G1083" s="3">
        <v>46004.692516354167</v>
      </c>
      <c r="H1083" s="3">
        <v>46004.69238915509</v>
      </c>
      <c r="I1083" s="4" t="s">
        <v>844</v>
      </c>
      <c r="J1083" t="s">
        <v>67</v>
      </c>
      <c r="K1083" t="s">
        <v>67</v>
      </c>
      <c r="L1083" t="s">
        <v>3133</v>
      </c>
      <c r="M1083" t="s">
        <v>3134</v>
      </c>
      <c r="N1083" t="s">
        <v>67</v>
      </c>
      <c r="O1083" t="s">
        <v>3135</v>
      </c>
      <c r="P1083" t="s">
        <v>3136</v>
      </c>
      <c r="Q1083" t="s">
        <v>67</v>
      </c>
      <c r="R1083" t="s">
        <v>67</v>
      </c>
      <c r="S1083" s="5"/>
      <c r="T1083" t="s">
        <v>72</v>
      </c>
      <c r="U1083" t="s">
        <v>87</v>
      </c>
      <c r="V1083" t="s">
        <v>74</v>
      </c>
      <c r="W1083" t="s">
        <v>87</v>
      </c>
      <c r="AE1083" s="2"/>
      <c r="AF1083" s="2"/>
      <c r="AG1083" s="2"/>
      <c r="AH1083" s="2"/>
      <c r="AL1083" s="2">
        <v>6138000</v>
      </c>
      <c r="AM1083" s="2">
        <v>0</v>
      </c>
      <c r="AN1083" s="2"/>
      <c r="AO1083" s="2">
        <v>0</v>
      </c>
      <c r="AP1083" s="2">
        <v>6138000</v>
      </c>
      <c r="AQ1083" s="2">
        <v>0</v>
      </c>
      <c r="AR1083" s="2">
        <v>0</v>
      </c>
      <c r="AS1083" s="2">
        <v>0</v>
      </c>
      <c r="AT1083" s="2">
        <v>0</v>
      </c>
      <c r="AU1083" s="2">
        <v>0</v>
      </c>
      <c r="AV1083" s="2">
        <v>0</v>
      </c>
      <c r="AW1083" s="4"/>
      <c r="AX1083" t="s">
        <v>75</v>
      </c>
      <c r="AZ1083" t="s">
        <v>667</v>
      </c>
      <c r="BA1083" t="s">
        <v>67</v>
      </c>
      <c r="BB1083" t="s">
        <v>668</v>
      </c>
      <c r="BC1083" t="s">
        <v>285</v>
      </c>
      <c r="BD1083" t="s">
        <v>79</v>
      </c>
      <c r="BE1083" t="s">
        <v>117</v>
      </c>
      <c r="BF1083" s="5">
        <v>46569</v>
      </c>
      <c r="BH1083">
        <v>1</v>
      </c>
      <c r="BI1083" s="6">
        <v>1180000</v>
      </c>
      <c r="BJ1083" s="6">
        <v>45</v>
      </c>
      <c r="BK1083" s="6">
        <v>531000</v>
      </c>
      <c r="BL1083" s="6">
        <v>649000</v>
      </c>
      <c r="BM1083" s="2">
        <v>649000</v>
      </c>
      <c r="BN1083">
        <f>InvoiceTable[[#This Row],[Giảm giá]]*InvoiceTable[[#This Row],[Số lượng]]</f>
        <v>531000</v>
      </c>
    </row>
    <row r="1084" spans="1:66" x14ac:dyDescent="0.25">
      <c r="A1084" t="s">
        <v>65</v>
      </c>
      <c r="B1084" t="s">
        <v>3140</v>
      </c>
      <c r="F1084" s="2"/>
      <c r="G1084" s="3">
        <v>46004.692516354167</v>
      </c>
      <c r="H1084" s="3">
        <v>46004.69238915509</v>
      </c>
      <c r="I1084" s="4" t="s">
        <v>844</v>
      </c>
      <c r="J1084" t="s">
        <v>67</v>
      </c>
      <c r="K1084" t="s">
        <v>67</v>
      </c>
      <c r="L1084" t="s">
        <v>3133</v>
      </c>
      <c r="M1084" t="s">
        <v>3134</v>
      </c>
      <c r="N1084" t="s">
        <v>67</v>
      </c>
      <c r="O1084" t="s">
        <v>3135</v>
      </c>
      <c r="P1084" t="s">
        <v>3136</v>
      </c>
      <c r="Q1084" t="s">
        <v>67</v>
      </c>
      <c r="R1084" t="s">
        <v>67</v>
      </c>
      <c r="S1084" s="5"/>
      <c r="T1084" t="s">
        <v>72</v>
      </c>
      <c r="U1084" t="s">
        <v>87</v>
      </c>
      <c r="V1084" t="s">
        <v>74</v>
      </c>
      <c r="W1084" t="s">
        <v>87</v>
      </c>
      <c r="AE1084" s="2"/>
      <c r="AF1084" s="2"/>
      <c r="AG1084" s="2"/>
      <c r="AH1084" s="2"/>
      <c r="AL1084" s="2">
        <v>6138000</v>
      </c>
      <c r="AM1084" s="2">
        <v>0</v>
      </c>
      <c r="AN1084" s="2"/>
      <c r="AO1084" s="2">
        <v>0</v>
      </c>
      <c r="AP1084" s="2">
        <v>6138000</v>
      </c>
      <c r="AQ1084" s="2">
        <v>0</v>
      </c>
      <c r="AR1084" s="2">
        <v>0</v>
      </c>
      <c r="AS1084" s="2">
        <v>0</v>
      </c>
      <c r="AT1084" s="2">
        <v>0</v>
      </c>
      <c r="AU1084" s="2">
        <v>0</v>
      </c>
      <c r="AV1084" s="2">
        <v>0</v>
      </c>
      <c r="AW1084" s="4"/>
      <c r="AX1084" t="s">
        <v>75</v>
      </c>
      <c r="AZ1084" t="s">
        <v>286</v>
      </c>
      <c r="BA1084" t="s">
        <v>67</v>
      </c>
      <c r="BB1084" t="s">
        <v>287</v>
      </c>
      <c r="BC1084" t="s">
        <v>285</v>
      </c>
      <c r="BD1084" t="s">
        <v>79</v>
      </c>
      <c r="BE1084" t="s">
        <v>288</v>
      </c>
      <c r="BF1084" s="5">
        <v>46588</v>
      </c>
      <c r="BH1084">
        <v>1</v>
      </c>
      <c r="BI1084" s="6">
        <v>960000</v>
      </c>
      <c r="BJ1084" s="6">
        <v>45</v>
      </c>
      <c r="BK1084" s="6">
        <v>432000</v>
      </c>
      <c r="BL1084" s="6">
        <v>528000</v>
      </c>
      <c r="BM1084" s="2">
        <v>528000</v>
      </c>
      <c r="BN1084">
        <f>InvoiceTable[[#This Row],[Giảm giá]]*InvoiceTable[[#This Row],[Số lượng]]</f>
        <v>432000</v>
      </c>
    </row>
    <row r="1085" spans="1:66" x14ac:dyDescent="0.25">
      <c r="A1085" t="s">
        <v>65</v>
      </c>
      <c r="B1085" t="s">
        <v>3140</v>
      </c>
      <c r="F1085" s="2"/>
      <c r="G1085" s="3">
        <v>46004.692516354167</v>
      </c>
      <c r="H1085" s="3">
        <v>46004.69238915509</v>
      </c>
      <c r="I1085" s="4" t="s">
        <v>844</v>
      </c>
      <c r="J1085" t="s">
        <v>67</v>
      </c>
      <c r="K1085" t="s">
        <v>67</v>
      </c>
      <c r="L1085" t="s">
        <v>3133</v>
      </c>
      <c r="M1085" t="s">
        <v>3134</v>
      </c>
      <c r="N1085" t="s">
        <v>67</v>
      </c>
      <c r="O1085" t="s">
        <v>3135</v>
      </c>
      <c r="P1085" t="s">
        <v>3136</v>
      </c>
      <c r="Q1085" t="s">
        <v>67</v>
      </c>
      <c r="R1085" t="s">
        <v>67</v>
      </c>
      <c r="S1085" s="5"/>
      <c r="T1085" t="s">
        <v>72</v>
      </c>
      <c r="U1085" t="s">
        <v>87</v>
      </c>
      <c r="V1085" t="s">
        <v>74</v>
      </c>
      <c r="W1085" t="s">
        <v>87</v>
      </c>
      <c r="AE1085" s="2"/>
      <c r="AF1085" s="2"/>
      <c r="AG1085" s="2"/>
      <c r="AH1085" s="2"/>
      <c r="AL1085" s="2">
        <v>6138000</v>
      </c>
      <c r="AM1085" s="2">
        <v>0</v>
      </c>
      <c r="AN1085" s="2"/>
      <c r="AO1085" s="2">
        <v>0</v>
      </c>
      <c r="AP1085" s="2">
        <v>6138000</v>
      </c>
      <c r="AQ1085" s="2">
        <v>0</v>
      </c>
      <c r="AR1085" s="2">
        <v>0</v>
      </c>
      <c r="AS1085" s="2">
        <v>0</v>
      </c>
      <c r="AT1085" s="2">
        <v>0</v>
      </c>
      <c r="AU1085" s="2">
        <v>0</v>
      </c>
      <c r="AV1085" s="2">
        <v>0</v>
      </c>
      <c r="AW1085" s="4"/>
      <c r="AX1085" t="s">
        <v>75</v>
      </c>
      <c r="AZ1085" t="s">
        <v>124</v>
      </c>
      <c r="BA1085" t="s">
        <v>67</v>
      </c>
      <c r="BB1085" t="s">
        <v>125</v>
      </c>
      <c r="BC1085" t="s">
        <v>126</v>
      </c>
      <c r="BD1085" t="s">
        <v>79</v>
      </c>
      <c r="BE1085" t="s">
        <v>2920</v>
      </c>
      <c r="BF1085" s="5">
        <v>46772</v>
      </c>
      <c r="BH1085">
        <v>5</v>
      </c>
      <c r="BI1085" s="6">
        <v>1200000</v>
      </c>
      <c r="BJ1085" s="6">
        <v>0</v>
      </c>
      <c r="BK1085" s="6">
        <v>570000</v>
      </c>
      <c r="BL1085" s="6">
        <v>630000</v>
      </c>
      <c r="BM1085" s="2">
        <v>3150000</v>
      </c>
      <c r="BN1085">
        <f>InvoiceTable[[#This Row],[Giảm giá]]*InvoiceTable[[#This Row],[Số lượng]]</f>
        <v>2850000</v>
      </c>
    </row>
    <row r="1086" spans="1:66" x14ac:dyDescent="0.25">
      <c r="A1086" t="s">
        <v>65</v>
      </c>
      <c r="B1086" t="s">
        <v>3140</v>
      </c>
      <c r="F1086" s="2"/>
      <c r="G1086" s="3">
        <v>46004.692516354167</v>
      </c>
      <c r="H1086" s="3">
        <v>46004.69238915509</v>
      </c>
      <c r="I1086" s="4" t="s">
        <v>844</v>
      </c>
      <c r="J1086" t="s">
        <v>67</v>
      </c>
      <c r="K1086" t="s">
        <v>67</v>
      </c>
      <c r="L1086" t="s">
        <v>3133</v>
      </c>
      <c r="M1086" t="s">
        <v>3134</v>
      </c>
      <c r="N1086" t="s">
        <v>67</v>
      </c>
      <c r="O1086" t="s">
        <v>3135</v>
      </c>
      <c r="P1086" t="s">
        <v>3136</v>
      </c>
      <c r="Q1086" t="s">
        <v>67</v>
      </c>
      <c r="R1086" t="s">
        <v>67</v>
      </c>
      <c r="S1086" s="5"/>
      <c r="T1086" t="s">
        <v>72</v>
      </c>
      <c r="U1086" t="s">
        <v>87</v>
      </c>
      <c r="V1086" t="s">
        <v>74</v>
      </c>
      <c r="W1086" t="s">
        <v>87</v>
      </c>
      <c r="AE1086" s="2"/>
      <c r="AF1086" s="2"/>
      <c r="AG1086" s="2"/>
      <c r="AH1086" s="2"/>
      <c r="AL1086" s="2">
        <v>6138000</v>
      </c>
      <c r="AM1086" s="2">
        <v>0</v>
      </c>
      <c r="AN1086" s="2"/>
      <c r="AO1086" s="2">
        <v>0</v>
      </c>
      <c r="AP1086" s="2">
        <v>6138000</v>
      </c>
      <c r="AQ1086" s="2">
        <v>0</v>
      </c>
      <c r="AR1086" s="2">
        <v>0</v>
      </c>
      <c r="AS1086" s="2">
        <v>0</v>
      </c>
      <c r="AT1086" s="2">
        <v>0</v>
      </c>
      <c r="AU1086" s="2">
        <v>0</v>
      </c>
      <c r="AV1086" s="2">
        <v>0</v>
      </c>
      <c r="AW1086" s="4"/>
      <c r="AX1086" t="s">
        <v>75</v>
      </c>
      <c r="AZ1086" t="s">
        <v>1288</v>
      </c>
      <c r="BB1086" t="s">
        <v>1289</v>
      </c>
      <c r="BC1086" t="s">
        <v>437</v>
      </c>
      <c r="BD1086" t="s">
        <v>79</v>
      </c>
      <c r="BE1086" t="s">
        <v>198</v>
      </c>
      <c r="BF1086" s="5">
        <v>46753</v>
      </c>
      <c r="BH1086">
        <v>2</v>
      </c>
      <c r="BI1086" s="6">
        <v>1250000</v>
      </c>
      <c r="BJ1086" s="6">
        <v>0</v>
      </c>
      <c r="BK1086" s="6">
        <v>360000</v>
      </c>
      <c r="BL1086" s="6">
        <v>890000</v>
      </c>
      <c r="BM1086" s="2">
        <v>1780000</v>
      </c>
      <c r="BN1086">
        <f>InvoiceTable[[#This Row],[Giảm giá]]*InvoiceTable[[#This Row],[Số lượng]]</f>
        <v>720000</v>
      </c>
    </row>
    <row r="1087" spans="1:66" x14ac:dyDescent="0.25">
      <c r="A1087" t="s">
        <v>65</v>
      </c>
      <c r="B1087" t="s">
        <v>3141</v>
      </c>
      <c r="F1087" s="2"/>
      <c r="G1087" s="3">
        <v>46004.688633449077</v>
      </c>
      <c r="H1087" s="3">
        <v>46004.688587268516</v>
      </c>
      <c r="I1087" s="4" t="s">
        <v>2908</v>
      </c>
      <c r="J1087" t="s">
        <v>67</v>
      </c>
      <c r="K1087" t="s">
        <v>67</v>
      </c>
      <c r="L1087" t="s">
        <v>814</v>
      </c>
      <c r="M1087" t="s">
        <v>815</v>
      </c>
      <c r="N1087" t="s">
        <v>67</v>
      </c>
      <c r="O1087" t="s">
        <v>816</v>
      </c>
      <c r="Q1087" t="s">
        <v>67</v>
      </c>
      <c r="R1087" t="s">
        <v>67</v>
      </c>
      <c r="S1087" s="5"/>
      <c r="T1087" t="s">
        <v>72</v>
      </c>
      <c r="U1087" t="s">
        <v>87</v>
      </c>
      <c r="V1087" t="s">
        <v>74</v>
      </c>
      <c r="W1087" t="s">
        <v>87</v>
      </c>
      <c r="AE1087" s="2"/>
      <c r="AF1087" s="2"/>
      <c r="AG1087" s="2"/>
      <c r="AH1087" s="2"/>
      <c r="AL1087" s="2">
        <v>636000</v>
      </c>
      <c r="AM1087" s="2">
        <v>0</v>
      </c>
      <c r="AN1087" s="2"/>
      <c r="AO1087" s="2">
        <v>0</v>
      </c>
      <c r="AP1087" s="2">
        <v>636000</v>
      </c>
      <c r="AQ1087" s="2">
        <v>0</v>
      </c>
      <c r="AR1087" s="2">
        <v>0</v>
      </c>
      <c r="AS1087" s="2">
        <v>0</v>
      </c>
      <c r="AT1087" s="2">
        <v>0</v>
      </c>
      <c r="AU1087" s="2">
        <v>0</v>
      </c>
      <c r="AV1087" s="2">
        <v>0</v>
      </c>
      <c r="AW1087" s="4"/>
      <c r="AX1087" t="s">
        <v>75</v>
      </c>
      <c r="AZ1087" t="s">
        <v>483</v>
      </c>
      <c r="BA1087" t="s">
        <v>67</v>
      </c>
      <c r="BB1087" t="s">
        <v>484</v>
      </c>
      <c r="BC1087" t="s">
        <v>485</v>
      </c>
      <c r="BD1087" t="s">
        <v>79</v>
      </c>
      <c r="BE1087" t="s">
        <v>117</v>
      </c>
      <c r="BF1087" s="5">
        <v>46569</v>
      </c>
      <c r="BH1087">
        <v>2</v>
      </c>
      <c r="BI1087" s="6">
        <v>600000</v>
      </c>
      <c r="BJ1087" s="6">
        <v>47</v>
      </c>
      <c r="BK1087" s="6">
        <v>282000</v>
      </c>
      <c r="BL1087" s="6">
        <v>318000</v>
      </c>
      <c r="BM1087" s="2">
        <v>636000</v>
      </c>
      <c r="BN1087">
        <f>InvoiceTable[[#This Row],[Giảm giá]]*InvoiceTable[[#This Row],[Số lượng]]</f>
        <v>564000</v>
      </c>
    </row>
    <row r="1088" spans="1:66" x14ac:dyDescent="0.25">
      <c r="A1088" t="s">
        <v>65</v>
      </c>
      <c r="B1088" t="s">
        <v>3142</v>
      </c>
      <c r="F1088" s="2"/>
      <c r="G1088" s="3">
        <v>46004.687834259261</v>
      </c>
      <c r="H1088" s="3">
        <v>46004.687834340279</v>
      </c>
      <c r="I1088" s="4" t="s">
        <v>67</v>
      </c>
      <c r="J1088" t="s">
        <v>67</v>
      </c>
      <c r="K1088" t="s">
        <v>67</v>
      </c>
      <c r="L1088" t="s">
        <v>1393</v>
      </c>
      <c r="M1088" t="s">
        <v>1394</v>
      </c>
      <c r="N1088" t="s">
        <v>67</v>
      </c>
      <c r="O1088" t="s">
        <v>1395</v>
      </c>
      <c r="P1088" t="s">
        <v>1396</v>
      </c>
      <c r="S1088" s="5"/>
      <c r="T1088" t="s">
        <v>72</v>
      </c>
      <c r="U1088" t="s">
        <v>87</v>
      </c>
      <c r="V1088" t="s">
        <v>74</v>
      </c>
      <c r="W1088" t="s">
        <v>87</v>
      </c>
      <c r="AE1088" s="2"/>
      <c r="AF1088" s="2"/>
      <c r="AG1088" s="2"/>
      <c r="AH1088" s="2"/>
      <c r="AL1088" s="2">
        <v>893200</v>
      </c>
      <c r="AM1088" s="2">
        <v>0</v>
      </c>
      <c r="AN1088" s="2"/>
      <c r="AO1088" s="2">
        <v>0</v>
      </c>
      <c r="AP1088" s="2">
        <v>893200</v>
      </c>
      <c r="AQ1088" s="2">
        <v>0</v>
      </c>
      <c r="AR1088" s="2">
        <v>0</v>
      </c>
      <c r="AS1088" s="2">
        <v>0</v>
      </c>
      <c r="AT1088" s="2">
        <v>0</v>
      </c>
      <c r="AU1088" s="2">
        <v>0</v>
      </c>
      <c r="AV1088" s="2">
        <v>0</v>
      </c>
      <c r="AW1088" s="4"/>
      <c r="AX1088" t="s">
        <v>75</v>
      </c>
      <c r="AZ1088" t="s">
        <v>3143</v>
      </c>
      <c r="BA1088" t="s">
        <v>67</v>
      </c>
      <c r="BB1088" t="s">
        <v>3144</v>
      </c>
      <c r="BC1088" t="s">
        <v>1189</v>
      </c>
      <c r="BD1088" t="s">
        <v>79</v>
      </c>
      <c r="BE1088" t="s">
        <v>3145</v>
      </c>
      <c r="BF1088" s="5">
        <v>46901</v>
      </c>
      <c r="BG1088" t="s">
        <v>67</v>
      </c>
      <c r="BH1088">
        <v>1</v>
      </c>
      <c r="BI1088" s="6">
        <v>1540000</v>
      </c>
      <c r="BJ1088" s="6">
        <v>42</v>
      </c>
      <c r="BK1088" s="6">
        <v>646800</v>
      </c>
      <c r="BL1088" s="6">
        <v>893200</v>
      </c>
      <c r="BM1088" s="2">
        <v>893200</v>
      </c>
      <c r="BN1088">
        <f>InvoiceTable[[#This Row],[Giảm giá]]*InvoiceTable[[#This Row],[Số lượng]]</f>
        <v>646800</v>
      </c>
    </row>
    <row r="1089" spans="1:66" x14ac:dyDescent="0.25">
      <c r="A1089" t="s">
        <v>65</v>
      </c>
      <c r="B1089" t="s">
        <v>3146</v>
      </c>
      <c r="F1089" s="2"/>
      <c r="G1089" s="3">
        <v>46004.687572650466</v>
      </c>
      <c r="H1089" s="3">
        <v>46004.68757303241</v>
      </c>
      <c r="I1089" s="4" t="s">
        <v>67</v>
      </c>
      <c r="J1089" t="s">
        <v>3147</v>
      </c>
      <c r="K1089" t="s">
        <v>67</v>
      </c>
      <c r="L1089" t="s">
        <v>884</v>
      </c>
      <c r="M1089" t="s">
        <v>885</v>
      </c>
      <c r="N1089" t="s">
        <v>67</v>
      </c>
      <c r="O1089" t="s">
        <v>886</v>
      </c>
      <c r="P1089" t="s">
        <v>887</v>
      </c>
      <c r="Q1089" t="s">
        <v>67</v>
      </c>
      <c r="R1089" t="s">
        <v>67</v>
      </c>
      <c r="S1089" s="5"/>
      <c r="T1089" t="s">
        <v>72</v>
      </c>
      <c r="U1089" t="s">
        <v>102</v>
      </c>
      <c r="V1089" t="s">
        <v>74</v>
      </c>
      <c r="W1089" t="s">
        <v>87</v>
      </c>
      <c r="AE1089" s="2"/>
      <c r="AF1089" s="2"/>
      <c r="AG1089" s="2"/>
      <c r="AH1089" s="2"/>
      <c r="AK1089" t="s">
        <v>1390</v>
      </c>
      <c r="AL1089" s="2">
        <v>507000</v>
      </c>
      <c r="AM1089" s="2">
        <v>0</v>
      </c>
      <c r="AN1089" s="2"/>
      <c r="AO1089" s="2">
        <v>0</v>
      </c>
      <c r="AP1089" s="2">
        <v>507000</v>
      </c>
      <c r="AQ1089" s="2">
        <v>0</v>
      </c>
      <c r="AR1089" s="2">
        <v>0</v>
      </c>
      <c r="AS1089" s="2">
        <v>0</v>
      </c>
      <c r="AT1089" s="2">
        <v>0</v>
      </c>
      <c r="AU1089" s="2">
        <v>0</v>
      </c>
      <c r="AV1089" s="2">
        <v>0</v>
      </c>
      <c r="AW1089" s="4"/>
      <c r="AX1089" t="s">
        <v>75</v>
      </c>
      <c r="AZ1089" t="s">
        <v>2768</v>
      </c>
      <c r="BA1089" t="s">
        <v>67</v>
      </c>
      <c r="BB1089" t="s">
        <v>2769</v>
      </c>
      <c r="BC1089" t="s">
        <v>347</v>
      </c>
      <c r="BD1089" t="s">
        <v>79</v>
      </c>
      <c r="BE1089" t="s">
        <v>517</v>
      </c>
      <c r="BF1089" s="5">
        <v>47665</v>
      </c>
      <c r="BH1089">
        <v>2</v>
      </c>
      <c r="BI1089" s="6">
        <v>390000</v>
      </c>
      <c r="BJ1089" s="6">
        <v>35</v>
      </c>
      <c r="BK1089" s="6">
        <v>136500</v>
      </c>
      <c r="BL1089" s="6">
        <v>253500</v>
      </c>
      <c r="BM1089" s="2">
        <v>507000</v>
      </c>
      <c r="BN1089">
        <f>InvoiceTable[[#This Row],[Giảm giá]]*InvoiceTable[[#This Row],[Số lượng]]</f>
        <v>273000</v>
      </c>
    </row>
    <row r="1090" spans="1:66" x14ac:dyDescent="0.25">
      <c r="A1090" t="s">
        <v>65</v>
      </c>
      <c r="B1090" t="s">
        <v>3148</v>
      </c>
      <c r="F1090" s="2"/>
      <c r="G1090" s="3">
        <v>46004.680890081021</v>
      </c>
      <c r="H1090" s="3">
        <v>46004.68089019676</v>
      </c>
      <c r="I1090" s="4" t="s">
        <v>67</v>
      </c>
      <c r="J1090" t="s">
        <v>3149</v>
      </c>
      <c r="K1090" t="s">
        <v>67</v>
      </c>
      <c r="L1090" t="s">
        <v>963</v>
      </c>
      <c r="M1090" t="s">
        <v>964</v>
      </c>
      <c r="N1090" t="s">
        <v>67</v>
      </c>
      <c r="O1090" t="s">
        <v>965</v>
      </c>
      <c r="P1090" t="s">
        <v>966</v>
      </c>
      <c r="Q1090" t="s">
        <v>67</v>
      </c>
      <c r="R1090" t="s">
        <v>67</v>
      </c>
      <c r="S1090" s="5"/>
      <c r="T1090" t="s">
        <v>72</v>
      </c>
      <c r="U1090" t="s">
        <v>102</v>
      </c>
      <c r="V1090" t="s">
        <v>74</v>
      </c>
      <c r="W1090" t="s">
        <v>87</v>
      </c>
      <c r="AE1090" s="2"/>
      <c r="AF1090" s="2"/>
      <c r="AG1090" s="2"/>
      <c r="AH1090" s="2"/>
      <c r="AK1090" t="s">
        <v>1003</v>
      </c>
      <c r="AL1090" s="2">
        <v>3547500</v>
      </c>
      <c r="AM1090" s="2">
        <v>0</v>
      </c>
      <c r="AN1090" s="2"/>
      <c r="AO1090" s="2">
        <v>0</v>
      </c>
      <c r="AP1090" s="2">
        <v>3547500</v>
      </c>
      <c r="AQ1090" s="2">
        <v>3547500</v>
      </c>
      <c r="AR1090" s="2">
        <v>3547500</v>
      </c>
      <c r="AS1090" s="2">
        <v>0</v>
      </c>
      <c r="AT1090" s="2">
        <v>0</v>
      </c>
      <c r="AU1090" s="2">
        <v>0</v>
      </c>
      <c r="AV1090" s="2">
        <v>0</v>
      </c>
      <c r="AW1090" s="4"/>
      <c r="AX1090" t="s">
        <v>75</v>
      </c>
      <c r="AZ1090" t="s">
        <v>3150</v>
      </c>
      <c r="BA1090" t="s">
        <v>67</v>
      </c>
      <c r="BB1090" t="s">
        <v>3151</v>
      </c>
      <c r="BC1090" t="s">
        <v>3152</v>
      </c>
      <c r="BD1090" t="s">
        <v>79</v>
      </c>
      <c r="BE1090" t="s">
        <v>434</v>
      </c>
      <c r="BF1090" s="5">
        <v>46661</v>
      </c>
      <c r="BG1090" t="s">
        <v>67</v>
      </c>
      <c r="BH1090">
        <v>1</v>
      </c>
      <c r="BI1090" s="6">
        <v>6450000</v>
      </c>
      <c r="BJ1090" s="6">
        <v>45</v>
      </c>
      <c r="BK1090" s="6">
        <v>2902500</v>
      </c>
      <c r="BL1090" s="6">
        <v>3547500</v>
      </c>
      <c r="BM1090" s="2">
        <v>3547500</v>
      </c>
      <c r="BN1090">
        <f>InvoiceTable[[#This Row],[Giảm giá]]*InvoiceTable[[#This Row],[Số lượng]]</f>
        <v>2902500</v>
      </c>
    </row>
    <row r="1091" spans="1:66" x14ac:dyDescent="0.25">
      <c r="A1091" t="s">
        <v>65</v>
      </c>
      <c r="B1091" t="s">
        <v>3153</v>
      </c>
      <c r="F1091" s="2"/>
      <c r="G1091" s="3">
        <v>46004.67997931713</v>
      </c>
      <c r="H1091" s="3">
        <v>46004.679944756943</v>
      </c>
      <c r="I1091" s="4" t="s">
        <v>2803</v>
      </c>
      <c r="J1091" t="s">
        <v>3154</v>
      </c>
      <c r="K1091" t="s">
        <v>67</v>
      </c>
      <c r="L1091" t="s">
        <v>884</v>
      </c>
      <c r="M1091" t="s">
        <v>885</v>
      </c>
      <c r="N1091" t="s">
        <v>67</v>
      </c>
      <c r="O1091" t="s">
        <v>886</v>
      </c>
      <c r="P1091" t="s">
        <v>887</v>
      </c>
      <c r="Q1091" t="s">
        <v>67</v>
      </c>
      <c r="R1091" t="s">
        <v>67</v>
      </c>
      <c r="S1091" s="5"/>
      <c r="T1091" t="s">
        <v>72</v>
      </c>
      <c r="U1091" t="s">
        <v>102</v>
      </c>
      <c r="V1091" t="s">
        <v>74</v>
      </c>
      <c r="W1091" t="s">
        <v>87</v>
      </c>
      <c r="AE1091" s="2"/>
      <c r="AF1091" s="2"/>
      <c r="AG1091" s="2"/>
      <c r="AH1091" s="2"/>
      <c r="AL1091" s="2">
        <v>2150000</v>
      </c>
      <c r="AM1091" s="2">
        <v>0</v>
      </c>
      <c r="AN1091" s="2"/>
      <c r="AO1091" s="2">
        <v>0</v>
      </c>
      <c r="AP1091" s="2">
        <v>2150000</v>
      </c>
      <c r="AQ1091" s="2">
        <v>0</v>
      </c>
      <c r="AR1091" s="2">
        <v>0</v>
      </c>
      <c r="AS1091" s="2">
        <v>0</v>
      </c>
      <c r="AT1091" s="2">
        <v>0</v>
      </c>
      <c r="AU1091" s="2">
        <v>0</v>
      </c>
      <c r="AV1091" s="2">
        <v>0</v>
      </c>
      <c r="AW1091" s="4"/>
      <c r="AX1091" t="s">
        <v>75</v>
      </c>
      <c r="AZ1091" t="s">
        <v>480</v>
      </c>
      <c r="BA1091" t="s">
        <v>67</v>
      </c>
      <c r="BB1091" t="s">
        <v>481</v>
      </c>
      <c r="BC1091" t="s">
        <v>90</v>
      </c>
      <c r="BD1091" t="s">
        <v>79</v>
      </c>
      <c r="BE1091" t="s">
        <v>482</v>
      </c>
      <c r="BF1091" s="5">
        <v>46773</v>
      </c>
      <c r="BG1091" t="s">
        <v>67</v>
      </c>
      <c r="BH1091">
        <v>1</v>
      </c>
      <c r="BI1091" s="6">
        <v>1800000</v>
      </c>
      <c r="BJ1091" s="6">
        <v>0</v>
      </c>
      <c r="BK1091" s="6">
        <v>850000</v>
      </c>
      <c r="BL1091" s="6">
        <v>950000</v>
      </c>
      <c r="BM1091" s="2">
        <v>950000</v>
      </c>
      <c r="BN1091">
        <f>InvoiceTable[[#This Row],[Giảm giá]]*InvoiceTable[[#This Row],[Số lượng]]</f>
        <v>850000</v>
      </c>
    </row>
    <row r="1092" spans="1:66" x14ac:dyDescent="0.25">
      <c r="A1092" t="s">
        <v>65</v>
      </c>
      <c r="B1092" t="s">
        <v>3153</v>
      </c>
      <c r="F1092" s="2"/>
      <c r="G1092" s="3">
        <v>46004.67997931713</v>
      </c>
      <c r="H1092" s="3">
        <v>46004.679944756943</v>
      </c>
      <c r="I1092" s="4" t="s">
        <v>2803</v>
      </c>
      <c r="J1092" t="s">
        <v>3154</v>
      </c>
      <c r="K1092" t="s">
        <v>67</v>
      </c>
      <c r="L1092" t="s">
        <v>884</v>
      </c>
      <c r="M1092" t="s">
        <v>885</v>
      </c>
      <c r="N1092" t="s">
        <v>67</v>
      </c>
      <c r="O1092" t="s">
        <v>886</v>
      </c>
      <c r="P1092" t="s">
        <v>887</v>
      </c>
      <c r="Q1092" t="s">
        <v>67</v>
      </c>
      <c r="R1092" t="s">
        <v>67</v>
      </c>
      <c r="S1092" s="5"/>
      <c r="T1092" t="s">
        <v>72</v>
      </c>
      <c r="U1092" t="s">
        <v>102</v>
      </c>
      <c r="V1092" t="s">
        <v>74</v>
      </c>
      <c r="W1092" t="s">
        <v>87</v>
      </c>
      <c r="AE1092" s="2"/>
      <c r="AF1092" s="2"/>
      <c r="AG1092" s="2"/>
      <c r="AH1092" s="2"/>
      <c r="AL1092" s="2">
        <v>2150000</v>
      </c>
      <c r="AM1092" s="2">
        <v>0</v>
      </c>
      <c r="AN1092" s="2"/>
      <c r="AO1092" s="2">
        <v>0</v>
      </c>
      <c r="AP1092" s="2">
        <v>2150000</v>
      </c>
      <c r="AQ1092" s="2">
        <v>0</v>
      </c>
      <c r="AR1092" s="2">
        <v>0</v>
      </c>
      <c r="AS1092" s="2">
        <v>0</v>
      </c>
      <c r="AT1092" s="2">
        <v>0</v>
      </c>
      <c r="AU1092" s="2">
        <v>0</v>
      </c>
      <c r="AV1092" s="2">
        <v>0</v>
      </c>
      <c r="AW1092" s="4"/>
      <c r="AX1092" t="s">
        <v>75</v>
      </c>
      <c r="AZ1092" t="s">
        <v>2676</v>
      </c>
      <c r="BA1092" t="s">
        <v>67</v>
      </c>
      <c r="BB1092" t="s">
        <v>2677</v>
      </c>
      <c r="BC1092" t="s">
        <v>2678</v>
      </c>
      <c r="BD1092" t="s">
        <v>79</v>
      </c>
      <c r="BE1092" t="s">
        <v>168</v>
      </c>
      <c r="BF1092" s="5">
        <v>46388</v>
      </c>
      <c r="BH1092">
        <v>30</v>
      </c>
      <c r="BI1092" s="6">
        <v>25000</v>
      </c>
      <c r="BJ1092" s="6">
        <v>0</v>
      </c>
      <c r="BK1092" s="6">
        <v>13000</v>
      </c>
      <c r="BL1092" s="6">
        <v>12000</v>
      </c>
      <c r="BM1092" s="2">
        <v>360000</v>
      </c>
      <c r="BN1092">
        <f>InvoiceTable[[#This Row],[Giảm giá]]*InvoiceTable[[#This Row],[Số lượng]]</f>
        <v>390000</v>
      </c>
    </row>
    <row r="1093" spans="1:66" x14ac:dyDescent="0.25">
      <c r="A1093" t="s">
        <v>65</v>
      </c>
      <c r="B1093" t="s">
        <v>3153</v>
      </c>
      <c r="F1093" s="2"/>
      <c r="G1093" s="3">
        <v>46004.67997931713</v>
      </c>
      <c r="H1093" s="3">
        <v>46004.679944756943</v>
      </c>
      <c r="I1093" s="4" t="s">
        <v>2803</v>
      </c>
      <c r="J1093" t="s">
        <v>3154</v>
      </c>
      <c r="K1093" t="s">
        <v>67</v>
      </c>
      <c r="L1093" t="s">
        <v>884</v>
      </c>
      <c r="M1093" t="s">
        <v>885</v>
      </c>
      <c r="N1093" t="s">
        <v>67</v>
      </c>
      <c r="O1093" t="s">
        <v>886</v>
      </c>
      <c r="P1093" t="s">
        <v>887</v>
      </c>
      <c r="Q1093" t="s">
        <v>67</v>
      </c>
      <c r="R1093" t="s">
        <v>67</v>
      </c>
      <c r="S1093" s="5"/>
      <c r="T1093" t="s">
        <v>72</v>
      </c>
      <c r="U1093" t="s">
        <v>102</v>
      </c>
      <c r="V1093" t="s">
        <v>74</v>
      </c>
      <c r="W1093" t="s">
        <v>87</v>
      </c>
      <c r="AE1093" s="2"/>
      <c r="AF1093" s="2"/>
      <c r="AG1093" s="2"/>
      <c r="AH1093" s="2"/>
      <c r="AL1093" s="2">
        <v>2150000</v>
      </c>
      <c r="AM1093" s="2">
        <v>0</v>
      </c>
      <c r="AN1093" s="2"/>
      <c r="AO1093" s="2">
        <v>0</v>
      </c>
      <c r="AP1093" s="2">
        <v>2150000</v>
      </c>
      <c r="AQ1093" s="2">
        <v>0</v>
      </c>
      <c r="AR1093" s="2">
        <v>0</v>
      </c>
      <c r="AS1093" s="2">
        <v>0</v>
      </c>
      <c r="AT1093" s="2">
        <v>0</v>
      </c>
      <c r="AU1093" s="2">
        <v>0</v>
      </c>
      <c r="AV1093" s="2">
        <v>0</v>
      </c>
      <c r="AW1093" s="4"/>
      <c r="AX1093" t="s">
        <v>75</v>
      </c>
      <c r="AZ1093" t="s">
        <v>828</v>
      </c>
      <c r="BA1093" t="s">
        <v>67</v>
      </c>
      <c r="BB1093" t="s">
        <v>829</v>
      </c>
      <c r="BC1093" t="s">
        <v>830</v>
      </c>
      <c r="BD1093" t="s">
        <v>79</v>
      </c>
      <c r="BE1093" t="s">
        <v>117</v>
      </c>
      <c r="BF1093" s="5">
        <v>46569</v>
      </c>
      <c r="BH1093">
        <v>2</v>
      </c>
      <c r="BI1093" s="6">
        <v>550000</v>
      </c>
      <c r="BJ1093" s="6">
        <v>0</v>
      </c>
      <c r="BK1093" s="6">
        <v>130000</v>
      </c>
      <c r="BL1093" s="6">
        <v>420000</v>
      </c>
      <c r="BM1093" s="2">
        <v>840000</v>
      </c>
      <c r="BN1093">
        <f>InvoiceTable[[#This Row],[Giảm giá]]*InvoiceTable[[#This Row],[Số lượng]]</f>
        <v>260000</v>
      </c>
    </row>
    <row r="1094" spans="1:66" x14ac:dyDescent="0.25">
      <c r="A1094" t="s">
        <v>65</v>
      </c>
      <c r="B1094" t="s">
        <v>3155</v>
      </c>
      <c r="F1094" s="2"/>
      <c r="G1094" s="3">
        <v>46004.66688996528</v>
      </c>
      <c r="H1094" s="3">
        <v>46004.666890081018</v>
      </c>
      <c r="I1094" s="4" t="s">
        <v>67</v>
      </c>
      <c r="J1094" t="s">
        <v>3156</v>
      </c>
      <c r="K1094" t="s">
        <v>67</v>
      </c>
      <c r="L1094" t="s">
        <v>3157</v>
      </c>
      <c r="M1094" t="s">
        <v>3158</v>
      </c>
      <c r="N1094" t="s">
        <v>67</v>
      </c>
      <c r="O1094" t="s">
        <v>3159</v>
      </c>
      <c r="P1094" t="s">
        <v>3160</v>
      </c>
      <c r="S1094" s="5"/>
      <c r="T1094" t="s">
        <v>72</v>
      </c>
      <c r="U1094" t="s">
        <v>102</v>
      </c>
      <c r="V1094" t="s">
        <v>74</v>
      </c>
      <c r="W1094" t="s">
        <v>87</v>
      </c>
      <c r="AE1094" s="2"/>
      <c r="AF1094" s="2"/>
      <c r="AG1094" s="2"/>
      <c r="AH1094" s="2"/>
      <c r="AK1094" t="s">
        <v>3161</v>
      </c>
      <c r="AL1094" s="2">
        <v>2850000</v>
      </c>
      <c r="AM1094" s="2">
        <v>0</v>
      </c>
      <c r="AN1094" s="2"/>
      <c r="AO1094" s="2">
        <v>0</v>
      </c>
      <c r="AP1094" s="2">
        <v>2850000</v>
      </c>
      <c r="AQ1094" s="2">
        <v>2850000</v>
      </c>
      <c r="AR1094" s="2">
        <v>0</v>
      </c>
      <c r="AS1094" s="2">
        <v>0</v>
      </c>
      <c r="AT1094" s="2">
        <v>0</v>
      </c>
      <c r="AU1094" s="2">
        <v>2850000</v>
      </c>
      <c r="AV1094" s="2">
        <v>0</v>
      </c>
      <c r="AW1094" s="4"/>
      <c r="AX1094" t="s">
        <v>75</v>
      </c>
      <c r="AZ1094" t="s">
        <v>782</v>
      </c>
      <c r="BA1094" t="s">
        <v>67</v>
      </c>
      <c r="BB1094" t="s">
        <v>783</v>
      </c>
      <c r="BC1094" t="s">
        <v>784</v>
      </c>
      <c r="BD1094" t="s">
        <v>79</v>
      </c>
      <c r="BE1094" t="s">
        <v>785</v>
      </c>
      <c r="BF1094" s="5">
        <v>46507</v>
      </c>
      <c r="BH1094">
        <v>1</v>
      </c>
      <c r="BI1094" s="6">
        <v>3550000</v>
      </c>
      <c r="BJ1094" s="6">
        <v>0</v>
      </c>
      <c r="BK1094" s="6">
        <v>700000</v>
      </c>
      <c r="BL1094" s="6">
        <v>2850000</v>
      </c>
      <c r="BM1094" s="2">
        <v>2850000</v>
      </c>
      <c r="BN1094">
        <f>InvoiceTable[[#This Row],[Giảm giá]]*InvoiceTable[[#This Row],[Số lượng]]</f>
        <v>700000</v>
      </c>
    </row>
    <row r="1095" spans="1:66" x14ac:dyDescent="0.25">
      <c r="A1095" t="s">
        <v>65</v>
      </c>
      <c r="B1095" t="s">
        <v>3162</v>
      </c>
      <c r="F1095" s="2"/>
      <c r="G1095" s="3">
        <v>46004.666569131943</v>
      </c>
      <c r="H1095" s="3">
        <v>46004.666476620368</v>
      </c>
      <c r="I1095" s="4" t="s">
        <v>1682</v>
      </c>
      <c r="J1095" t="s">
        <v>3163</v>
      </c>
      <c r="K1095" t="s">
        <v>67</v>
      </c>
      <c r="L1095" t="s">
        <v>1393</v>
      </c>
      <c r="M1095" t="s">
        <v>1394</v>
      </c>
      <c r="N1095" t="s">
        <v>67</v>
      </c>
      <c r="O1095" t="s">
        <v>1395</v>
      </c>
      <c r="P1095" t="s">
        <v>1396</v>
      </c>
      <c r="S1095" s="5"/>
      <c r="T1095" t="s">
        <v>72</v>
      </c>
      <c r="U1095" t="s">
        <v>87</v>
      </c>
      <c r="V1095" t="s">
        <v>74</v>
      </c>
      <c r="W1095" t="s">
        <v>87</v>
      </c>
      <c r="AE1095" s="2"/>
      <c r="AF1095" s="2"/>
      <c r="AG1095" s="2"/>
      <c r="AH1095" s="2"/>
      <c r="AL1095" s="2">
        <v>15570000</v>
      </c>
      <c r="AM1095" s="2">
        <v>0</v>
      </c>
      <c r="AN1095" s="2"/>
      <c r="AO1095" s="2">
        <v>0</v>
      </c>
      <c r="AP1095" s="2">
        <v>15570000</v>
      </c>
      <c r="AQ1095" s="2">
        <v>0</v>
      </c>
      <c r="AR1095" s="2">
        <v>0</v>
      </c>
      <c r="AS1095" s="2">
        <v>0</v>
      </c>
      <c r="AT1095" s="2">
        <v>0</v>
      </c>
      <c r="AU1095" s="2">
        <v>0</v>
      </c>
      <c r="AV1095" s="2">
        <v>0</v>
      </c>
      <c r="AW1095" s="4"/>
      <c r="AX1095" t="s">
        <v>75</v>
      </c>
      <c r="AZ1095" t="s">
        <v>3164</v>
      </c>
      <c r="BA1095" t="s">
        <v>67</v>
      </c>
      <c r="BB1095" t="s">
        <v>3165</v>
      </c>
      <c r="BC1095" t="s">
        <v>126</v>
      </c>
      <c r="BD1095" t="s">
        <v>79</v>
      </c>
      <c r="BE1095" t="s">
        <v>155</v>
      </c>
      <c r="BF1095" s="5">
        <v>46600</v>
      </c>
      <c r="BG1095" t="s">
        <v>67</v>
      </c>
      <c r="BH1095">
        <v>30</v>
      </c>
      <c r="BI1095" s="6">
        <v>170000</v>
      </c>
      <c r="BJ1095" s="6">
        <v>0</v>
      </c>
      <c r="BK1095" s="6">
        <v>110000</v>
      </c>
      <c r="BL1095" s="6">
        <v>60000</v>
      </c>
      <c r="BM1095" s="2">
        <v>1800000</v>
      </c>
      <c r="BN1095">
        <f>InvoiceTable[[#This Row],[Giảm giá]]*InvoiceTable[[#This Row],[Số lượng]]</f>
        <v>3300000</v>
      </c>
    </row>
    <row r="1096" spans="1:66" x14ac:dyDescent="0.25">
      <c r="A1096" t="s">
        <v>65</v>
      </c>
      <c r="B1096" t="s">
        <v>3162</v>
      </c>
      <c r="F1096" s="2"/>
      <c r="G1096" s="3">
        <v>46004.666569131943</v>
      </c>
      <c r="H1096" s="3">
        <v>46004.666476620368</v>
      </c>
      <c r="I1096" s="4" t="s">
        <v>1682</v>
      </c>
      <c r="J1096" t="s">
        <v>3163</v>
      </c>
      <c r="K1096" t="s">
        <v>67</v>
      </c>
      <c r="L1096" t="s">
        <v>1393</v>
      </c>
      <c r="M1096" t="s">
        <v>1394</v>
      </c>
      <c r="N1096" t="s">
        <v>67</v>
      </c>
      <c r="O1096" t="s">
        <v>1395</v>
      </c>
      <c r="P1096" t="s">
        <v>1396</v>
      </c>
      <c r="S1096" s="5"/>
      <c r="T1096" t="s">
        <v>72</v>
      </c>
      <c r="U1096" t="s">
        <v>87</v>
      </c>
      <c r="V1096" t="s">
        <v>74</v>
      </c>
      <c r="W1096" t="s">
        <v>87</v>
      </c>
      <c r="AE1096" s="2"/>
      <c r="AF1096" s="2"/>
      <c r="AG1096" s="2"/>
      <c r="AH1096" s="2"/>
      <c r="AL1096" s="2">
        <v>15570000</v>
      </c>
      <c r="AM1096" s="2">
        <v>0</v>
      </c>
      <c r="AN1096" s="2"/>
      <c r="AO1096" s="2">
        <v>0</v>
      </c>
      <c r="AP1096" s="2">
        <v>15570000</v>
      </c>
      <c r="AQ1096" s="2">
        <v>0</v>
      </c>
      <c r="AR1096" s="2">
        <v>0</v>
      </c>
      <c r="AS1096" s="2">
        <v>0</v>
      </c>
      <c r="AT1096" s="2">
        <v>0</v>
      </c>
      <c r="AU1096" s="2">
        <v>0</v>
      </c>
      <c r="AV1096" s="2">
        <v>0</v>
      </c>
      <c r="AW1096" s="4"/>
      <c r="AX1096" t="s">
        <v>75</v>
      </c>
      <c r="AZ1096" t="s">
        <v>1537</v>
      </c>
      <c r="BA1096" t="s">
        <v>67</v>
      </c>
      <c r="BB1096" t="s">
        <v>1538</v>
      </c>
      <c r="BC1096" t="s">
        <v>126</v>
      </c>
      <c r="BD1096" t="s">
        <v>79</v>
      </c>
      <c r="BE1096" t="s">
        <v>195</v>
      </c>
      <c r="BF1096" s="5">
        <v>46419</v>
      </c>
      <c r="BG1096" t="s">
        <v>67</v>
      </c>
      <c r="BH1096">
        <v>20</v>
      </c>
      <c r="BI1096" s="6">
        <v>180000</v>
      </c>
      <c r="BJ1096" s="6">
        <v>0</v>
      </c>
      <c r="BK1096" s="6">
        <v>120000</v>
      </c>
      <c r="BL1096" s="6">
        <v>60000</v>
      </c>
      <c r="BM1096" s="2">
        <v>1200000</v>
      </c>
      <c r="BN1096">
        <f>InvoiceTable[[#This Row],[Giảm giá]]*InvoiceTable[[#This Row],[Số lượng]]</f>
        <v>2400000</v>
      </c>
    </row>
    <row r="1097" spans="1:66" x14ac:dyDescent="0.25">
      <c r="A1097" t="s">
        <v>65</v>
      </c>
      <c r="B1097" t="s">
        <v>3162</v>
      </c>
      <c r="F1097" s="2"/>
      <c r="G1097" s="3">
        <v>46004.666569131943</v>
      </c>
      <c r="H1097" s="3">
        <v>46004.666476620368</v>
      </c>
      <c r="I1097" s="4" t="s">
        <v>1682</v>
      </c>
      <c r="J1097" t="s">
        <v>3163</v>
      </c>
      <c r="K1097" t="s">
        <v>67</v>
      </c>
      <c r="L1097" t="s">
        <v>1393</v>
      </c>
      <c r="M1097" t="s">
        <v>1394</v>
      </c>
      <c r="N1097" t="s">
        <v>67</v>
      </c>
      <c r="O1097" t="s">
        <v>1395</v>
      </c>
      <c r="P1097" t="s">
        <v>1396</v>
      </c>
      <c r="S1097" s="5"/>
      <c r="T1097" t="s">
        <v>72</v>
      </c>
      <c r="U1097" t="s">
        <v>87</v>
      </c>
      <c r="V1097" t="s">
        <v>74</v>
      </c>
      <c r="W1097" t="s">
        <v>87</v>
      </c>
      <c r="AE1097" s="2"/>
      <c r="AF1097" s="2"/>
      <c r="AG1097" s="2"/>
      <c r="AH1097" s="2"/>
      <c r="AL1097" s="2">
        <v>15570000</v>
      </c>
      <c r="AM1097" s="2">
        <v>0</v>
      </c>
      <c r="AN1097" s="2"/>
      <c r="AO1097" s="2">
        <v>0</v>
      </c>
      <c r="AP1097" s="2">
        <v>15570000</v>
      </c>
      <c r="AQ1097" s="2">
        <v>0</v>
      </c>
      <c r="AR1097" s="2">
        <v>0</v>
      </c>
      <c r="AS1097" s="2">
        <v>0</v>
      </c>
      <c r="AT1097" s="2">
        <v>0</v>
      </c>
      <c r="AU1097" s="2">
        <v>0</v>
      </c>
      <c r="AV1097" s="2">
        <v>0</v>
      </c>
      <c r="AW1097" s="4"/>
      <c r="AX1097" t="s">
        <v>75</v>
      </c>
      <c r="AZ1097" t="s">
        <v>1019</v>
      </c>
      <c r="BA1097" t="s">
        <v>67</v>
      </c>
      <c r="BB1097" t="s">
        <v>1020</v>
      </c>
      <c r="BC1097" t="s">
        <v>676</v>
      </c>
      <c r="BD1097" t="s">
        <v>79</v>
      </c>
      <c r="BE1097" t="s">
        <v>131</v>
      </c>
      <c r="BF1097" s="5">
        <v>46874</v>
      </c>
      <c r="BH1097">
        <v>2</v>
      </c>
      <c r="BI1097" s="6">
        <v>1690000</v>
      </c>
      <c r="BJ1097" s="6">
        <v>0</v>
      </c>
      <c r="BK1097" s="6">
        <v>520000</v>
      </c>
      <c r="BL1097" s="6">
        <v>1170000</v>
      </c>
      <c r="BM1097" s="2">
        <v>2340000</v>
      </c>
      <c r="BN1097">
        <f>InvoiceTable[[#This Row],[Giảm giá]]*InvoiceTable[[#This Row],[Số lượng]]</f>
        <v>1040000</v>
      </c>
    </row>
    <row r="1098" spans="1:66" x14ac:dyDescent="0.25">
      <c r="A1098" t="s">
        <v>65</v>
      </c>
      <c r="B1098" t="s">
        <v>3162</v>
      </c>
      <c r="F1098" s="2"/>
      <c r="G1098" s="3">
        <v>46004.666569131943</v>
      </c>
      <c r="H1098" s="3">
        <v>46004.666476620368</v>
      </c>
      <c r="I1098" s="4" t="s">
        <v>1682</v>
      </c>
      <c r="J1098" t="s">
        <v>3163</v>
      </c>
      <c r="K1098" t="s">
        <v>67</v>
      </c>
      <c r="L1098" t="s">
        <v>1393</v>
      </c>
      <c r="M1098" t="s">
        <v>1394</v>
      </c>
      <c r="N1098" t="s">
        <v>67</v>
      </c>
      <c r="O1098" t="s">
        <v>1395</v>
      </c>
      <c r="P1098" t="s">
        <v>1396</v>
      </c>
      <c r="S1098" s="5"/>
      <c r="T1098" t="s">
        <v>72</v>
      </c>
      <c r="U1098" t="s">
        <v>87</v>
      </c>
      <c r="V1098" t="s">
        <v>74</v>
      </c>
      <c r="W1098" t="s">
        <v>87</v>
      </c>
      <c r="AE1098" s="2"/>
      <c r="AF1098" s="2"/>
      <c r="AG1098" s="2"/>
      <c r="AH1098" s="2"/>
      <c r="AL1098" s="2">
        <v>15570000</v>
      </c>
      <c r="AM1098" s="2">
        <v>0</v>
      </c>
      <c r="AN1098" s="2"/>
      <c r="AO1098" s="2">
        <v>0</v>
      </c>
      <c r="AP1098" s="2">
        <v>15570000</v>
      </c>
      <c r="AQ1098" s="2">
        <v>0</v>
      </c>
      <c r="AR1098" s="2">
        <v>0</v>
      </c>
      <c r="AS1098" s="2">
        <v>0</v>
      </c>
      <c r="AT1098" s="2">
        <v>0</v>
      </c>
      <c r="AU1098" s="2">
        <v>0</v>
      </c>
      <c r="AV1098" s="2">
        <v>0</v>
      </c>
      <c r="AW1098" s="4"/>
      <c r="AX1098" t="s">
        <v>75</v>
      </c>
      <c r="AZ1098" t="s">
        <v>435</v>
      </c>
      <c r="BA1098" t="s">
        <v>67</v>
      </c>
      <c r="BB1098" t="s">
        <v>436</v>
      </c>
      <c r="BC1098" t="s">
        <v>437</v>
      </c>
      <c r="BD1098" t="s">
        <v>79</v>
      </c>
      <c r="BE1098" t="s">
        <v>142</v>
      </c>
      <c r="BF1098" s="5">
        <v>46844</v>
      </c>
      <c r="BH1098">
        <v>3</v>
      </c>
      <c r="BI1098" s="6">
        <v>1200000</v>
      </c>
      <c r="BJ1098" s="6">
        <v>0</v>
      </c>
      <c r="BK1098" s="6">
        <v>550000</v>
      </c>
      <c r="BL1098" s="6">
        <v>650000</v>
      </c>
      <c r="BM1098" s="2">
        <v>1950000</v>
      </c>
      <c r="BN1098">
        <f>InvoiceTable[[#This Row],[Giảm giá]]*InvoiceTable[[#This Row],[Số lượng]]</f>
        <v>1650000</v>
      </c>
    </row>
    <row r="1099" spans="1:66" x14ac:dyDescent="0.25">
      <c r="A1099" t="s">
        <v>65</v>
      </c>
      <c r="B1099" t="s">
        <v>3162</v>
      </c>
      <c r="F1099" s="2"/>
      <c r="G1099" s="3">
        <v>46004.666569131943</v>
      </c>
      <c r="H1099" s="3">
        <v>46004.666476620368</v>
      </c>
      <c r="I1099" s="4" t="s">
        <v>1682</v>
      </c>
      <c r="J1099" t="s">
        <v>3163</v>
      </c>
      <c r="K1099" t="s">
        <v>67</v>
      </c>
      <c r="L1099" t="s">
        <v>1393</v>
      </c>
      <c r="M1099" t="s">
        <v>1394</v>
      </c>
      <c r="N1099" t="s">
        <v>67</v>
      </c>
      <c r="O1099" t="s">
        <v>1395</v>
      </c>
      <c r="P1099" t="s">
        <v>1396</v>
      </c>
      <c r="S1099" s="5"/>
      <c r="T1099" t="s">
        <v>72</v>
      </c>
      <c r="U1099" t="s">
        <v>87</v>
      </c>
      <c r="V1099" t="s">
        <v>74</v>
      </c>
      <c r="W1099" t="s">
        <v>87</v>
      </c>
      <c r="AE1099" s="2"/>
      <c r="AF1099" s="2"/>
      <c r="AG1099" s="2"/>
      <c r="AH1099" s="2"/>
      <c r="AL1099" s="2">
        <v>15570000</v>
      </c>
      <c r="AM1099" s="2">
        <v>0</v>
      </c>
      <c r="AN1099" s="2"/>
      <c r="AO1099" s="2">
        <v>0</v>
      </c>
      <c r="AP1099" s="2">
        <v>15570000</v>
      </c>
      <c r="AQ1099" s="2">
        <v>0</v>
      </c>
      <c r="AR1099" s="2">
        <v>0</v>
      </c>
      <c r="AS1099" s="2">
        <v>0</v>
      </c>
      <c r="AT1099" s="2">
        <v>0</v>
      </c>
      <c r="AU1099" s="2">
        <v>0</v>
      </c>
      <c r="AV1099" s="2">
        <v>0</v>
      </c>
      <c r="AW1099" s="4"/>
      <c r="AX1099" t="s">
        <v>75</v>
      </c>
      <c r="AZ1099" t="s">
        <v>3166</v>
      </c>
      <c r="BA1099" t="s">
        <v>67</v>
      </c>
      <c r="BB1099" t="s">
        <v>3167</v>
      </c>
      <c r="BC1099" t="s">
        <v>391</v>
      </c>
      <c r="BD1099" t="s">
        <v>79</v>
      </c>
      <c r="BE1099" t="s">
        <v>3168</v>
      </c>
      <c r="BF1099" s="5">
        <v>46452</v>
      </c>
      <c r="BG1099" t="s">
        <v>67</v>
      </c>
      <c r="BH1099">
        <v>1</v>
      </c>
      <c r="BI1099" s="6">
        <v>3700000</v>
      </c>
      <c r="BJ1099" s="6">
        <v>0</v>
      </c>
      <c r="BK1099" s="6">
        <v>1720000</v>
      </c>
      <c r="BL1099" s="6">
        <v>1980000</v>
      </c>
      <c r="BM1099" s="2">
        <v>1980000</v>
      </c>
      <c r="BN1099">
        <f>InvoiceTable[[#This Row],[Giảm giá]]*InvoiceTable[[#This Row],[Số lượng]]</f>
        <v>1720000</v>
      </c>
    </row>
    <row r="1100" spans="1:66" x14ac:dyDescent="0.25">
      <c r="A1100" t="s">
        <v>65</v>
      </c>
      <c r="B1100" t="s">
        <v>3162</v>
      </c>
      <c r="F1100" s="2"/>
      <c r="G1100" s="3">
        <v>46004.666569131943</v>
      </c>
      <c r="H1100" s="3">
        <v>46004.666476620368</v>
      </c>
      <c r="I1100" s="4" t="s">
        <v>1682</v>
      </c>
      <c r="J1100" t="s">
        <v>3163</v>
      </c>
      <c r="K1100" t="s">
        <v>67</v>
      </c>
      <c r="L1100" t="s">
        <v>1393</v>
      </c>
      <c r="M1100" t="s">
        <v>1394</v>
      </c>
      <c r="N1100" t="s">
        <v>67</v>
      </c>
      <c r="O1100" t="s">
        <v>1395</v>
      </c>
      <c r="P1100" t="s">
        <v>1396</v>
      </c>
      <c r="S1100" s="5"/>
      <c r="T1100" t="s">
        <v>72</v>
      </c>
      <c r="U1100" t="s">
        <v>87</v>
      </c>
      <c r="V1100" t="s">
        <v>74</v>
      </c>
      <c r="W1100" t="s">
        <v>87</v>
      </c>
      <c r="AE1100" s="2"/>
      <c r="AF1100" s="2"/>
      <c r="AG1100" s="2"/>
      <c r="AH1100" s="2"/>
      <c r="AL1100" s="2">
        <v>15570000</v>
      </c>
      <c r="AM1100" s="2">
        <v>0</v>
      </c>
      <c r="AN1100" s="2"/>
      <c r="AO1100" s="2">
        <v>0</v>
      </c>
      <c r="AP1100" s="2">
        <v>15570000</v>
      </c>
      <c r="AQ1100" s="2">
        <v>0</v>
      </c>
      <c r="AR1100" s="2">
        <v>0</v>
      </c>
      <c r="AS1100" s="2">
        <v>0</v>
      </c>
      <c r="AT1100" s="2">
        <v>0</v>
      </c>
      <c r="AU1100" s="2">
        <v>0</v>
      </c>
      <c r="AV1100" s="2">
        <v>0</v>
      </c>
      <c r="AW1100" s="4"/>
      <c r="AX1100" t="s">
        <v>75</v>
      </c>
      <c r="AZ1100" t="s">
        <v>1678</v>
      </c>
      <c r="BB1100" t="s">
        <v>1679</v>
      </c>
      <c r="BC1100" t="s">
        <v>590</v>
      </c>
      <c r="BD1100" t="s">
        <v>79</v>
      </c>
      <c r="BE1100" t="s">
        <v>1231</v>
      </c>
      <c r="BF1100" s="5">
        <v>47239</v>
      </c>
      <c r="BH1100">
        <v>1</v>
      </c>
      <c r="BI1100" s="6">
        <v>7490000</v>
      </c>
      <c r="BJ1100" s="6">
        <v>0</v>
      </c>
      <c r="BK1100" s="6">
        <v>1190000</v>
      </c>
      <c r="BL1100" s="6">
        <v>6300000</v>
      </c>
      <c r="BM1100" s="2">
        <v>6300000</v>
      </c>
      <c r="BN1100">
        <f>InvoiceTable[[#This Row],[Giảm giá]]*InvoiceTable[[#This Row],[Số lượng]]</f>
        <v>1190000</v>
      </c>
    </row>
    <row r="1101" spans="1:66" x14ac:dyDescent="0.25">
      <c r="A1101" t="s">
        <v>65</v>
      </c>
      <c r="B1101" t="s">
        <v>3169</v>
      </c>
      <c r="F1101" s="2"/>
      <c r="G1101" s="3">
        <v>46004.665862997688</v>
      </c>
      <c r="H1101" s="3">
        <v>46004.665863275462</v>
      </c>
      <c r="I1101" s="4" t="s">
        <v>67</v>
      </c>
      <c r="J1101" t="s">
        <v>3170</v>
      </c>
      <c r="K1101" t="s">
        <v>67</v>
      </c>
      <c r="L1101" t="s">
        <v>1393</v>
      </c>
      <c r="M1101" t="s">
        <v>1394</v>
      </c>
      <c r="N1101" t="s">
        <v>67</v>
      </c>
      <c r="O1101" t="s">
        <v>1395</v>
      </c>
      <c r="P1101" t="s">
        <v>1396</v>
      </c>
      <c r="S1101" s="5"/>
      <c r="T1101" t="s">
        <v>72</v>
      </c>
      <c r="U1101" t="s">
        <v>87</v>
      </c>
      <c r="V1101" t="s">
        <v>74</v>
      </c>
      <c r="W1101" t="s">
        <v>87</v>
      </c>
      <c r="AE1101" s="2"/>
      <c r="AF1101" s="2"/>
      <c r="AG1101" s="2"/>
      <c r="AH1101" s="2"/>
      <c r="AK1101" t="s">
        <v>67</v>
      </c>
      <c r="AL1101" s="2">
        <v>4929000</v>
      </c>
      <c r="AM1101" s="2">
        <v>0</v>
      </c>
      <c r="AN1101" s="2"/>
      <c r="AO1101" s="2">
        <v>0</v>
      </c>
      <c r="AP1101" s="2">
        <v>4929000</v>
      </c>
      <c r="AQ1101" s="2">
        <v>0</v>
      </c>
      <c r="AR1101" s="2">
        <v>0</v>
      </c>
      <c r="AS1101" s="2">
        <v>0</v>
      </c>
      <c r="AT1101" s="2">
        <v>0</v>
      </c>
      <c r="AU1101" s="2">
        <v>0</v>
      </c>
      <c r="AV1101" s="2">
        <v>0</v>
      </c>
      <c r="AW1101" s="4"/>
      <c r="AX1101" t="s">
        <v>75</v>
      </c>
      <c r="AZ1101" t="s">
        <v>3171</v>
      </c>
      <c r="BA1101" t="s">
        <v>67</v>
      </c>
      <c r="BB1101" t="s">
        <v>3172</v>
      </c>
      <c r="BC1101" t="s">
        <v>176</v>
      </c>
      <c r="BD1101" t="s">
        <v>79</v>
      </c>
      <c r="BE1101" t="s">
        <v>117</v>
      </c>
      <c r="BF1101" s="5">
        <v>46569</v>
      </c>
      <c r="BG1101" t="s">
        <v>67</v>
      </c>
      <c r="BH1101">
        <v>4</v>
      </c>
      <c r="BI1101" s="6">
        <v>1050000</v>
      </c>
      <c r="BJ1101" s="6">
        <v>47</v>
      </c>
      <c r="BK1101" s="6">
        <v>493500</v>
      </c>
      <c r="BL1101" s="6">
        <v>556500</v>
      </c>
      <c r="BM1101" s="2">
        <v>2226000</v>
      </c>
      <c r="BN1101">
        <f>InvoiceTable[[#This Row],[Giảm giá]]*InvoiceTable[[#This Row],[Số lượng]]</f>
        <v>1974000</v>
      </c>
    </row>
    <row r="1102" spans="1:66" x14ac:dyDescent="0.25">
      <c r="A1102" t="s">
        <v>65</v>
      </c>
      <c r="B1102" t="s">
        <v>3169</v>
      </c>
      <c r="F1102" s="2"/>
      <c r="G1102" s="3">
        <v>46004.665862997688</v>
      </c>
      <c r="H1102" s="3">
        <v>46004.665863275462</v>
      </c>
      <c r="I1102" s="4" t="s">
        <v>67</v>
      </c>
      <c r="J1102" t="s">
        <v>3170</v>
      </c>
      <c r="K1102" t="s">
        <v>67</v>
      </c>
      <c r="L1102" t="s">
        <v>1393</v>
      </c>
      <c r="M1102" t="s">
        <v>1394</v>
      </c>
      <c r="N1102" t="s">
        <v>67</v>
      </c>
      <c r="O1102" t="s">
        <v>1395</v>
      </c>
      <c r="P1102" t="s">
        <v>1396</v>
      </c>
      <c r="S1102" s="5"/>
      <c r="T1102" t="s">
        <v>72</v>
      </c>
      <c r="U1102" t="s">
        <v>87</v>
      </c>
      <c r="V1102" t="s">
        <v>74</v>
      </c>
      <c r="W1102" t="s">
        <v>87</v>
      </c>
      <c r="AE1102" s="2"/>
      <c r="AF1102" s="2"/>
      <c r="AG1102" s="2"/>
      <c r="AH1102" s="2"/>
      <c r="AK1102" t="s">
        <v>67</v>
      </c>
      <c r="AL1102" s="2">
        <v>4929000</v>
      </c>
      <c r="AM1102" s="2">
        <v>0</v>
      </c>
      <c r="AN1102" s="2"/>
      <c r="AO1102" s="2">
        <v>0</v>
      </c>
      <c r="AP1102" s="2">
        <v>4929000</v>
      </c>
      <c r="AQ1102" s="2">
        <v>0</v>
      </c>
      <c r="AR1102" s="2">
        <v>0</v>
      </c>
      <c r="AS1102" s="2">
        <v>0</v>
      </c>
      <c r="AT1102" s="2">
        <v>0</v>
      </c>
      <c r="AU1102" s="2">
        <v>0</v>
      </c>
      <c r="AV1102" s="2">
        <v>0</v>
      </c>
      <c r="AW1102" s="4"/>
      <c r="AX1102" t="s">
        <v>75</v>
      </c>
      <c r="AZ1102" t="s">
        <v>560</v>
      </c>
      <c r="BB1102" t="s">
        <v>561</v>
      </c>
      <c r="BC1102" t="s">
        <v>138</v>
      </c>
      <c r="BD1102" t="s">
        <v>79</v>
      </c>
      <c r="BE1102" t="s">
        <v>131</v>
      </c>
      <c r="BF1102" s="5">
        <v>46874</v>
      </c>
      <c r="BG1102" t="s">
        <v>67</v>
      </c>
      <c r="BH1102">
        <v>2</v>
      </c>
      <c r="BI1102" s="6">
        <v>2650000</v>
      </c>
      <c r="BJ1102" s="6">
        <v>49</v>
      </c>
      <c r="BK1102" s="6">
        <v>1298500</v>
      </c>
      <c r="BL1102" s="6">
        <v>1351500</v>
      </c>
      <c r="BM1102" s="2">
        <v>2703000</v>
      </c>
      <c r="BN1102">
        <f>InvoiceTable[[#This Row],[Giảm giá]]*InvoiceTable[[#This Row],[Số lượng]]</f>
        <v>2597000</v>
      </c>
    </row>
    <row r="1103" spans="1:66" x14ac:dyDescent="0.25">
      <c r="A1103" t="s">
        <v>65</v>
      </c>
      <c r="B1103" t="s">
        <v>3173</v>
      </c>
      <c r="F1103" s="2"/>
      <c r="G1103" s="3">
        <v>46004.659964317128</v>
      </c>
      <c r="H1103" s="3">
        <v>46004.659964814811</v>
      </c>
      <c r="I1103" s="4" t="s">
        <v>67</v>
      </c>
      <c r="J1103" t="s">
        <v>67</v>
      </c>
      <c r="K1103" t="s">
        <v>67</v>
      </c>
      <c r="L1103" t="s">
        <v>3174</v>
      </c>
      <c r="M1103" t="s">
        <v>3175</v>
      </c>
      <c r="N1103" t="s">
        <v>67</v>
      </c>
      <c r="O1103" t="s">
        <v>3176</v>
      </c>
      <c r="P1103" t="s">
        <v>3177</v>
      </c>
      <c r="S1103" s="5"/>
      <c r="T1103" t="s">
        <v>72</v>
      </c>
      <c r="U1103" t="s">
        <v>87</v>
      </c>
      <c r="V1103" t="s">
        <v>74</v>
      </c>
      <c r="W1103" t="s">
        <v>87</v>
      </c>
      <c r="AE1103" s="2"/>
      <c r="AF1103" s="2"/>
      <c r="AG1103" s="2"/>
      <c r="AH1103" s="2"/>
      <c r="AK1103" t="s">
        <v>3178</v>
      </c>
      <c r="AL1103" s="2">
        <v>2599000</v>
      </c>
      <c r="AM1103" s="2">
        <v>0</v>
      </c>
      <c r="AN1103" s="2"/>
      <c r="AO1103" s="2">
        <v>0</v>
      </c>
      <c r="AP1103" s="2">
        <v>2599000</v>
      </c>
      <c r="AQ1103" s="2">
        <v>0</v>
      </c>
      <c r="AR1103" s="2">
        <v>0</v>
      </c>
      <c r="AS1103" s="2">
        <v>0</v>
      </c>
      <c r="AT1103" s="2">
        <v>0</v>
      </c>
      <c r="AU1103" s="2">
        <v>0</v>
      </c>
      <c r="AV1103" s="2">
        <v>0</v>
      </c>
      <c r="AW1103" s="4"/>
      <c r="AX1103" t="s">
        <v>75</v>
      </c>
      <c r="AZ1103" t="s">
        <v>88</v>
      </c>
      <c r="BB1103" t="s">
        <v>89</v>
      </c>
      <c r="BC1103" t="s">
        <v>90</v>
      </c>
      <c r="BF1103" s="5"/>
      <c r="BG1103" t="s">
        <v>67</v>
      </c>
      <c r="BH1103">
        <v>1</v>
      </c>
      <c r="BI1103" s="6">
        <v>25000</v>
      </c>
      <c r="BJ1103" s="6">
        <v>0</v>
      </c>
      <c r="BK1103" s="6">
        <v>0</v>
      </c>
      <c r="BL1103" s="6">
        <v>25000</v>
      </c>
      <c r="BM1103" s="2">
        <v>25000</v>
      </c>
      <c r="BN1103">
        <f>InvoiceTable[[#This Row],[Giảm giá]]*InvoiceTable[[#This Row],[Số lượng]]</f>
        <v>0</v>
      </c>
    </row>
    <row r="1104" spans="1:66" x14ac:dyDescent="0.25">
      <c r="A1104" t="s">
        <v>65</v>
      </c>
      <c r="B1104" t="s">
        <v>3173</v>
      </c>
      <c r="F1104" s="2"/>
      <c r="G1104" s="3">
        <v>46004.659964317128</v>
      </c>
      <c r="H1104" s="3">
        <v>46004.659964814811</v>
      </c>
      <c r="I1104" s="4" t="s">
        <v>67</v>
      </c>
      <c r="J1104" t="s">
        <v>67</v>
      </c>
      <c r="K1104" t="s">
        <v>67</v>
      </c>
      <c r="L1104" t="s">
        <v>3174</v>
      </c>
      <c r="M1104" t="s">
        <v>3175</v>
      </c>
      <c r="N1104" t="s">
        <v>67</v>
      </c>
      <c r="O1104" t="s">
        <v>3176</v>
      </c>
      <c r="P1104" t="s">
        <v>3177</v>
      </c>
      <c r="S1104" s="5"/>
      <c r="T1104" t="s">
        <v>72</v>
      </c>
      <c r="U1104" t="s">
        <v>87</v>
      </c>
      <c r="V1104" t="s">
        <v>74</v>
      </c>
      <c r="W1104" t="s">
        <v>87</v>
      </c>
      <c r="AE1104" s="2"/>
      <c r="AF1104" s="2"/>
      <c r="AG1104" s="2"/>
      <c r="AH1104" s="2"/>
      <c r="AK1104" t="s">
        <v>3178</v>
      </c>
      <c r="AL1104" s="2">
        <v>2599000</v>
      </c>
      <c r="AM1104" s="2">
        <v>0</v>
      </c>
      <c r="AN1104" s="2"/>
      <c r="AO1104" s="2">
        <v>0</v>
      </c>
      <c r="AP1104" s="2">
        <v>2599000</v>
      </c>
      <c r="AQ1104" s="2">
        <v>0</v>
      </c>
      <c r="AR1104" s="2">
        <v>0</v>
      </c>
      <c r="AS1104" s="2">
        <v>0</v>
      </c>
      <c r="AT1104" s="2">
        <v>0</v>
      </c>
      <c r="AU1104" s="2">
        <v>0</v>
      </c>
      <c r="AV1104" s="2">
        <v>0</v>
      </c>
      <c r="AW1104" s="4"/>
      <c r="AX1104" t="s">
        <v>75</v>
      </c>
      <c r="AZ1104" t="s">
        <v>1578</v>
      </c>
      <c r="BA1104" t="s">
        <v>67</v>
      </c>
      <c r="BB1104" t="s">
        <v>1579</v>
      </c>
      <c r="BC1104" t="s">
        <v>1580</v>
      </c>
      <c r="BD1104" t="s">
        <v>79</v>
      </c>
      <c r="BE1104" t="s">
        <v>131</v>
      </c>
      <c r="BF1104" s="5">
        <v>46874</v>
      </c>
      <c r="BH1104">
        <v>1</v>
      </c>
      <c r="BI1104" s="6">
        <v>3960000</v>
      </c>
      <c r="BJ1104" s="6">
        <v>35</v>
      </c>
      <c r="BK1104" s="6">
        <v>1386000</v>
      </c>
      <c r="BL1104" s="6">
        <v>2574000</v>
      </c>
      <c r="BM1104" s="2">
        <v>2574000</v>
      </c>
      <c r="BN1104">
        <f>InvoiceTable[[#This Row],[Giảm giá]]*InvoiceTable[[#This Row],[Số lượng]]</f>
        <v>1386000</v>
      </c>
    </row>
    <row r="1105" spans="1:66" x14ac:dyDescent="0.25">
      <c r="A1105" t="s">
        <v>65</v>
      </c>
      <c r="B1105" t="s">
        <v>3179</v>
      </c>
      <c r="F1105" s="2"/>
      <c r="G1105" s="3">
        <v>46004.636261111111</v>
      </c>
      <c r="H1105" s="3">
        <v>46004.636261226849</v>
      </c>
      <c r="I1105" s="4" t="s">
        <v>67</v>
      </c>
      <c r="J1105" t="s">
        <v>67</v>
      </c>
      <c r="K1105" t="s">
        <v>67</v>
      </c>
      <c r="L1105" t="s">
        <v>914</v>
      </c>
      <c r="M1105" t="s">
        <v>915</v>
      </c>
      <c r="N1105" t="s">
        <v>916</v>
      </c>
      <c r="O1105" t="s">
        <v>917</v>
      </c>
      <c r="P1105" t="s">
        <v>918</v>
      </c>
      <c r="S1105" s="5"/>
      <c r="T1105" t="s">
        <v>72</v>
      </c>
      <c r="U1105" t="s">
        <v>87</v>
      </c>
      <c r="V1105" t="s">
        <v>74</v>
      </c>
      <c r="W1105" t="s">
        <v>87</v>
      </c>
      <c r="AE1105" s="2"/>
      <c r="AF1105" s="2"/>
      <c r="AG1105" s="2"/>
      <c r="AH1105" s="2"/>
      <c r="AL1105" s="2">
        <v>374500</v>
      </c>
      <c r="AM1105" s="2">
        <v>0</v>
      </c>
      <c r="AN1105" s="2"/>
      <c r="AO1105" s="2">
        <v>0</v>
      </c>
      <c r="AP1105" s="2">
        <v>374500</v>
      </c>
      <c r="AQ1105" s="2">
        <v>0</v>
      </c>
      <c r="AR1105" s="2">
        <v>0</v>
      </c>
      <c r="AS1105" s="2">
        <v>0</v>
      </c>
      <c r="AT1105" s="2">
        <v>0</v>
      </c>
      <c r="AU1105" s="2">
        <v>0</v>
      </c>
      <c r="AV1105" s="2">
        <v>0</v>
      </c>
      <c r="AW1105" s="4"/>
      <c r="AX1105" t="s">
        <v>75</v>
      </c>
      <c r="AZ1105" t="s">
        <v>1665</v>
      </c>
      <c r="BA1105" t="s">
        <v>67</v>
      </c>
      <c r="BB1105" t="s">
        <v>1666</v>
      </c>
      <c r="BC1105" t="s">
        <v>367</v>
      </c>
      <c r="BD1105" t="s">
        <v>79</v>
      </c>
      <c r="BE1105" t="s">
        <v>228</v>
      </c>
      <c r="BF1105" s="5">
        <v>46813</v>
      </c>
      <c r="BH1105">
        <v>1</v>
      </c>
      <c r="BI1105" s="6">
        <v>535000</v>
      </c>
      <c r="BJ1105" s="6">
        <v>30</v>
      </c>
      <c r="BK1105" s="6">
        <v>160500</v>
      </c>
      <c r="BL1105" s="6">
        <v>374500</v>
      </c>
      <c r="BM1105" s="2">
        <v>374500</v>
      </c>
      <c r="BN1105">
        <f>InvoiceTable[[#This Row],[Giảm giá]]*InvoiceTable[[#This Row],[Số lượng]]</f>
        <v>160500</v>
      </c>
    </row>
    <row r="1106" spans="1:66" x14ac:dyDescent="0.25">
      <c r="A1106" t="s">
        <v>65</v>
      </c>
      <c r="B1106" t="s">
        <v>3180</v>
      </c>
      <c r="F1106" s="2"/>
      <c r="G1106" s="3">
        <v>46004.623818668981</v>
      </c>
      <c r="H1106" s="3">
        <v>46004.623818784719</v>
      </c>
      <c r="I1106" s="4" t="s">
        <v>67</v>
      </c>
      <c r="J1106" t="s">
        <v>67</v>
      </c>
      <c r="K1106" t="s">
        <v>67</v>
      </c>
      <c r="L1106" t="s">
        <v>3181</v>
      </c>
      <c r="M1106" t="s">
        <v>3182</v>
      </c>
      <c r="N1106" t="s">
        <v>67</v>
      </c>
      <c r="O1106" t="s">
        <v>3183</v>
      </c>
      <c r="P1106" t="s">
        <v>3184</v>
      </c>
      <c r="S1106" s="5"/>
      <c r="T1106" t="s">
        <v>72</v>
      </c>
      <c r="U1106" t="s">
        <v>87</v>
      </c>
      <c r="V1106" t="s">
        <v>74</v>
      </c>
      <c r="W1106" t="s">
        <v>87</v>
      </c>
      <c r="AE1106" s="2"/>
      <c r="AF1106" s="2"/>
      <c r="AG1106" s="2"/>
      <c r="AH1106" s="2"/>
      <c r="AL1106" s="2">
        <v>2375100</v>
      </c>
      <c r="AM1106" s="2">
        <v>0</v>
      </c>
      <c r="AN1106" s="2"/>
      <c r="AO1106" s="2">
        <v>0</v>
      </c>
      <c r="AP1106" s="2">
        <v>2375100</v>
      </c>
      <c r="AQ1106" s="2">
        <v>0</v>
      </c>
      <c r="AR1106" s="2">
        <v>0</v>
      </c>
      <c r="AS1106" s="2">
        <v>0</v>
      </c>
      <c r="AT1106" s="2">
        <v>0</v>
      </c>
      <c r="AU1106" s="2">
        <v>0</v>
      </c>
      <c r="AV1106" s="2">
        <v>0</v>
      </c>
      <c r="AW1106" s="4"/>
      <c r="AX1106" t="s">
        <v>75</v>
      </c>
      <c r="AZ1106" t="s">
        <v>1435</v>
      </c>
      <c r="BA1106" t="s">
        <v>67</v>
      </c>
      <c r="BB1106" t="s">
        <v>1436</v>
      </c>
      <c r="BC1106" t="s">
        <v>377</v>
      </c>
      <c r="BD1106" t="s">
        <v>79</v>
      </c>
      <c r="BE1106" t="s">
        <v>188</v>
      </c>
      <c r="BF1106" s="5">
        <v>46905</v>
      </c>
      <c r="BH1106">
        <v>2</v>
      </c>
      <c r="BI1106" s="6">
        <v>1885000</v>
      </c>
      <c r="BJ1106" s="6">
        <v>37</v>
      </c>
      <c r="BK1106" s="6">
        <v>697450</v>
      </c>
      <c r="BL1106" s="6">
        <v>1187550</v>
      </c>
      <c r="BM1106" s="2">
        <v>2375100</v>
      </c>
      <c r="BN1106">
        <f>InvoiceTable[[#This Row],[Giảm giá]]*InvoiceTable[[#This Row],[Số lượng]]</f>
        <v>1394900</v>
      </c>
    </row>
    <row r="1107" spans="1:66" x14ac:dyDescent="0.25">
      <c r="A1107" t="s">
        <v>65</v>
      </c>
      <c r="B1107" t="s">
        <v>3185</v>
      </c>
      <c r="F1107" s="2"/>
      <c r="G1107" s="3">
        <v>46004.622288506944</v>
      </c>
      <c r="H1107" s="3">
        <v>46004.622288622682</v>
      </c>
      <c r="I1107" s="4" t="s">
        <v>67</v>
      </c>
      <c r="J1107" t="s">
        <v>3186</v>
      </c>
      <c r="K1107" t="s">
        <v>67</v>
      </c>
      <c r="L1107" t="s">
        <v>1273</v>
      </c>
      <c r="M1107" t="s">
        <v>1274</v>
      </c>
      <c r="N1107" t="s">
        <v>67</v>
      </c>
      <c r="O1107" t="s">
        <v>1275</v>
      </c>
      <c r="P1107" t="s">
        <v>1276</v>
      </c>
      <c r="S1107" s="5"/>
      <c r="T1107" t="s">
        <v>72</v>
      </c>
      <c r="U1107" t="s">
        <v>73</v>
      </c>
      <c r="V1107" t="s">
        <v>74</v>
      </c>
      <c r="W1107" t="s">
        <v>87</v>
      </c>
      <c r="AE1107" s="2"/>
      <c r="AF1107" s="2"/>
      <c r="AG1107" s="2"/>
      <c r="AH1107" s="2"/>
      <c r="AK1107" t="s">
        <v>258</v>
      </c>
      <c r="AL1107" s="2">
        <v>6350000</v>
      </c>
      <c r="AM1107" s="2">
        <v>0</v>
      </c>
      <c r="AN1107" s="2"/>
      <c r="AO1107" s="2">
        <v>0</v>
      </c>
      <c r="AP1107" s="2">
        <v>6350000</v>
      </c>
      <c r="AQ1107" s="2">
        <v>6350000</v>
      </c>
      <c r="AR1107" s="2">
        <v>0</v>
      </c>
      <c r="AS1107" s="2">
        <v>0</v>
      </c>
      <c r="AT1107" s="2">
        <v>0</v>
      </c>
      <c r="AU1107" s="2">
        <v>6350000</v>
      </c>
      <c r="AV1107" s="2">
        <v>0</v>
      </c>
      <c r="AW1107" s="4"/>
      <c r="AX1107" t="s">
        <v>75</v>
      </c>
      <c r="AZ1107" t="s">
        <v>1678</v>
      </c>
      <c r="BB1107" t="s">
        <v>1679</v>
      </c>
      <c r="BC1107" t="s">
        <v>590</v>
      </c>
      <c r="BD1107" t="s">
        <v>79</v>
      </c>
      <c r="BE1107" t="s">
        <v>1231</v>
      </c>
      <c r="BF1107" s="5">
        <v>47239</v>
      </c>
      <c r="BH1107">
        <v>1</v>
      </c>
      <c r="BI1107" s="6">
        <v>7490000</v>
      </c>
      <c r="BJ1107" s="6">
        <v>0</v>
      </c>
      <c r="BK1107" s="6">
        <v>1140000</v>
      </c>
      <c r="BL1107" s="6">
        <v>6350000</v>
      </c>
      <c r="BM1107" s="2">
        <v>6350000</v>
      </c>
      <c r="BN1107">
        <f>InvoiceTable[[#This Row],[Giảm giá]]*InvoiceTable[[#This Row],[Số lượng]]</f>
        <v>1140000</v>
      </c>
    </row>
    <row r="1108" spans="1:66" x14ac:dyDescent="0.25">
      <c r="A1108" t="s">
        <v>65</v>
      </c>
      <c r="B1108" t="s">
        <v>3187</v>
      </c>
      <c r="F1108" s="2"/>
      <c r="G1108" s="3">
        <v>46004.62215447917</v>
      </c>
      <c r="H1108" s="3">
        <v>46004.622131446762</v>
      </c>
      <c r="I1108" s="4" t="s">
        <v>3066</v>
      </c>
      <c r="J1108" t="s">
        <v>3188</v>
      </c>
      <c r="K1108" t="s">
        <v>67</v>
      </c>
      <c r="L1108" t="s">
        <v>398</v>
      </c>
      <c r="M1108" t="s">
        <v>399</v>
      </c>
      <c r="N1108" t="s">
        <v>400</v>
      </c>
      <c r="O1108" t="s">
        <v>401</v>
      </c>
      <c r="P1108" t="s">
        <v>402</v>
      </c>
      <c r="S1108" s="5"/>
      <c r="T1108" t="s">
        <v>72</v>
      </c>
      <c r="U1108" t="s">
        <v>102</v>
      </c>
      <c r="V1108" t="s">
        <v>74</v>
      </c>
      <c r="W1108" t="s">
        <v>87</v>
      </c>
      <c r="AE1108" s="2"/>
      <c r="AF1108" s="2"/>
      <c r="AG1108" s="2"/>
      <c r="AH1108" s="2"/>
      <c r="AL1108" s="2">
        <v>1368000</v>
      </c>
      <c r="AM1108" s="2">
        <v>0</v>
      </c>
      <c r="AN1108" s="2"/>
      <c r="AO1108" s="2">
        <v>0</v>
      </c>
      <c r="AP1108" s="2">
        <v>1368000</v>
      </c>
      <c r="AQ1108" s="2">
        <v>0</v>
      </c>
      <c r="AR1108" s="2">
        <v>0</v>
      </c>
      <c r="AS1108" s="2">
        <v>0</v>
      </c>
      <c r="AT1108" s="2">
        <v>0</v>
      </c>
      <c r="AU1108" s="2">
        <v>0</v>
      </c>
      <c r="AV1108" s="2">
        <v>0</v>
      </c>
      <c r="AW1108" s="4"/>
      <c r="AX1108" t="s">
        <v>75</v>
      </c>
      <c r="AZ1108" t="s">
        <v>723</v>
      </c>
      <c r="BA1108" t="s">
        <v>67</v>
      </c>
      <c r="BB1108" t="s">
        <v>724</v>
      </c>
      <c r="BC1108" t="s">
        <v>285</v>
      </c>
      <c r="BD1108" t="s">
        <v>79</v>
      </c>
      <c r="BE1108" t="s">
        <v>117</v>
      </c>
      <c r="BF1108" s="5">
        <v>46569</v>
      </c>
      <c r="BH1108">
        <v>2</v>
      </c>
      <c r="BI1108" s="6">
        <v>1200000</v>
      </c>
      <c r="BJ1108" s="6">
        <v>43</v>
      </c>
      <c r="BK1108" s="6">
        <v>516000</v>
      </c>
      <c r="BL1108" s="6">
        <v>684000</v>
      </c>
      <c r="BM1108" s="2">
        <v>1368000</v>
      </c>
      <c r="BN1108">
        <f>InvoiceTable[[#This Row],[Giảm giá]]*InvoiceTable[[#This Row],[Số lượng]]</f>
        <v>1032000</v>
      </c>
    </row>
    <row r="1109" spans="1:66" x14ac:dyDescent="0.25">
      <c r="A1109" t="s">
        <v>65</v>
      </c>
      <c r="B1109" t="s">
        <v>3189</v>
      </c>
      <c r="F1109" s="2"/>
      <c r="G1109" s="3">
        <v>46004.619709953702</v>
      </c>
      <c r="H1109" s="3">
        <v>46004.619710069448</v>
      </c>
      <c r="I1109" s="4" t="s">
        <v>67</v>
      </c>
      <c r="J1109" t="s">
        <v>67</v>
      </c>
      <c r="K1109" t="s">
        <v>67</v>
      </c>
      <c r="L1109" t="s">
        <v>119</v>
      </c>
      <c r="M1109" t="s">
        <v>120</v>
      </c>
      <c r="N1109" t="s">
        <v>67</v>
      </c>
      <c r="O1109" t="s">
        <v>121</v>
      </c>
      <c r="Q1109" t="s">
        <v>122</v>
      </c>
      <c r="R1109" t="s">
        <v>123</v>
      </c>
      <c r="S1109" s="5"/>
      <c r="T1109" t="s">
        <v>72</v>
      </c>
      <c r="U1109" t="s">
        <v>102</v>
      </c>
      <c r="V1109" t="s">
        <v>74</v>
      </c>
      <c r="W1109" t="s">
        <v>102</v>
      </c>
      <c r="AE1109" s="2"/>
      <c r="AF1109" s="2"/>
      <c r="AG1109" s="2"/>
      <c r="AH1109" s="2"/>
      <c r="AL1109" s="2">
        <v>390000</v>
      </c>
      <c r="AM1109" s="2">
        <v>0</v>
      </c>
      <c r="AN1109" s="2"/>
      <c r="AO1109" s="2">
        <v>0</v>
      </c>
      <c r="AP1109" s="2">
        <v>390000</v>
      </c>
      <c r="AQ1109" s="2">
        <v>0</v>
      </c>
      <c r="AR1109" s="2">
        <v>0</v>
      </c>
      <c r="AS1109" s="2">
        <v>0</v>
      </c>
      <c r="AT1109" s="2">
        <v>0</v>
      </c>
      <c r="AU1109" s="2">
        <v>0</v>
      </c>
      <c r="AV1109" s="2">
        <v>0</v>
      </c>
      <c r="AW1109" s="4"/>
      <c r="AX1109" t="s">
        <v>75</v>
      </c>
      <c r="AZ1109" t="s">
        <v>3190</v>
      </c>
      <c r="BA1109" t="s">
        <v>67</v>
      </c>
      <c r="BB1109" t="s">
        <v>3191</v>
      </c>
      <c r="BC1109" t="s">
        <v>327</v>
      </c>
      <c r="BD1109" t="s">
        <v>79</v>
      </c>
      <c r="BE1109" t="s">
        <v>201</v>
      </c>
      <c r="BF1109" s="5">
        <v>46966</v>
      </c>
      <c r="BH1109">
        <v>1</v>
      </c>
      <c r="BI1109" s="6">
        <v>1200000</v>
      </c>
      <c r="BJ1109" s="6">
        <v>0</v>
      </c>
      <c r="BK1109" s="6">
        <v>810000</v>
      </c>
      <c r="BL1109" s="6">
        <v>390000</v>
      </c>
      <c r="BM1109" s="2">
        <v>390000</v>
      </c>
      <c r="BN1109">
        <f>InvoiceTable[[#This Row],[Giảm giá]]*InvoiceTable[[#This Row],[Số lượng]]</f>
        <v>810000</v>
      </c>
    </row>
    <row r="1110" spans="1:66" x14ac:dyDescent="0.25">
      <c r="A1110" t="s">
        <v>65</v>
      </c>
      <c r="B1110" t="s">
        <v>3192</v>
      </c>
      <c r="F1110" s="2"/>
      <c r="G1110" s="3">
        <v>46004.61314390046</v>
      </c>
      <c r="H1110" s="3">
        <v>46004.613144016206</v>
      </c>
      <c r="I1110" s="4" t="s">
        <v>67</v>
      </c>
      <c r="J1110" t="s">
        <v>67</v>
      </c>
      <c r="K1110" t="s">
        <v>67</v>
      </c>
      <c r="L1110" t="s">
        <v>654</v>
      </c>
      <c r="M1110" t="s">
        <v>655</v>
      </c>
      <c r="N1110" t="s">
        <v>67</v>
      </c>
      <c r="O1110" t="s">
        <v>656</v>
      </c>
      <c r="P1110" t="s">
        <v>657</v>
      </c>
      <c r="Q1110" t="s">
        <v>658</v>
      </c>
      <c r="R1110" t="s">
        <v>67</v>
      </c>
      <c r="S1110" s="5"/>
      <c r="T1110" t="s">
        <v>72</v>
      </c>
      <c r="U1110" t="s">
        <v>87</v>
      </c>
      <c r="V1110" t="s">
        <v>74</v>
      </c>
      <c r="W1110" t="s">
        <v>87</v>
      </c>
      <c r="AE1110" s="2"/>
      <c r="AF1110" s="2"/>
      <c r="AG1110" s="2"/>
      <c r="AH1110" s="2"/>
      <c r="AL1110" s="2">
        <v>2054000</v>
      </c>
      <c r="AM1110" s="2">
        <v>0</v>
      </c>
      <c r="AN1110" s="2"/>
      <c r="AO1110" s="2">
        <v>0</v>
      </c>
      <c r="AP1110" s="2">
        <v>2054000</v>
      </c>
      <c r="AQ1110" s="2">
        <v>0</v>
      </c>
      <c r="AR1110" s="2">
        <v>0</v>
      </c>
      <c r="AS1110" s="2">
        <v>0</v>
      </c>
      <c r="AT1110" s="2">
        <v>0</v>
      </c>
      <c r="AU1110" s="2">
        <v>0</v>
      </c>
      <c r="AV1110" s="2">
        <v>0</v>
      </c>
      <c r="AW1110" s="4"/>
      <c r="AX1110" t="s">
        <v>75</v>
      </c>
      <c r="AZ1110" t="s">
        <v>905</v>
      </c>
      <c r="BA1110" t="s">
        <v>67</v>
      </c>
      <c r="BB1110" t="s">
        <v>906</v>
      </c>
      <c r="BC1110" t="s">
        <v>285</v>
      </c>
      <c r="BD1110" t="s">
        <v>79</v>
      </c>
      <c r="BE1110" t="s">
        <v>117</v>
      </c>
      <c r="BF1110" s="5">
        <v>46569</v>
      </c>
      <c r="BH1110">
        <v>1</v>
      </c>
      <c r="BI1110" s="6">
        <v>3950000</v>
      </c>
      <c r="BJ1110" s="6">
        <v>48</v>
      </c>
      <c r="BK1110" s="6">
        <v>1896000</v>
      </c>
      <c r="BL1110" s="6">
        <v>2054000</v>
      </c>
      <c r="BM1110" s="2">
        <v>2054000</v>
      </c>
      <c r="BN1110">
        <f>InvoiceTable[[#This Row],[Giảm giá]]*InvoiceTable[[#This Row],[Số lượng]]</f>
        <v>1896000</v>
      </c>
    </row>
    <row r="1111" spans="1:66" x14ac:dyDescent="0.25">
      <c r="A1111" t="s">
        <v>65</v>
      </c>
      <c r="B1111" t="s">
        <v>3193</v>
      </c>
      <c r="F1111" s="2"/>
      <c r="G1111" s="3">
        <v>46004.612794675922</v>
      </c>
      <c r="H1111" s="3">
        <v>46004.612794756948</v>
      </c>
      <c r="I1111" s="4" t="s">
        <v>67</v>
      </c>
      <c r="J1111" t="s">
        <v>67</v>
      </c>
      <c r="K1111" t="s">
        <v>67</v>
      </c>
      <c r="L1111" t="s">
        <v>654</v>
      </c>
      <c r="M1111" t="s">
        <v>655</v>
      </c>
      <c r="N1111" t="s">
        <v>67</v>
      </c>
      <c r="O1111" t="s">
        <v>656</v>
      </c>
      <c r="P1111" t="s">
        <v>657</v>
      </c>
      <c r="Q1111" t="s">
        <v>658</v>
      </c>
      <c r="R1111" t="s">
        <v>67</v>
      </c>
      <c r="S1111" s="5"/>
      <c r="T1111" t="s">
        <v>72</v>
      </c>
      <c r="U1111" t="s">
        <v>87</v>
      </c>
      <c r="V1111" t="s">
        <v>74</v>
      </c>
      <c r="W1111" t="s">
        <v>87</v>
      </c>
      <c r="AE1111" s="2"/>
      <c r="AF1111" s="2"/>
      <c r="AG1111" s="2"/>
      <c r="AH1111" s="2"/>
      <c r="AL1111" s="2">
        <v>998400</v>
      </c>
      <c r="AM1111" s="2">
        <v>0</v>
      </c>
      <c r="AN1111" s="2"/>
      <c r="AO1111" s="2">
        <v>0</v>
      </c>
      <c r="AP1111" s="2">
        <v>998400</v>
      </c>
      <c r="AQ1111" s="2">
        <v>0</v>
      </c>
      <c r="AR1111" s="2">
        <v>0</v>
      </c>
      <c r="AS1111" s="2">
        <v>0</v>
      </c>
      <c r="AT1111" s="2">
        <v>0</v>
      </c>
      <c r="AU1111" s="2">
        <v>0</v>
      </c>
      <c r="AV1111" s="2">
        <v>0</v>
      </c>
      <c r="AW1111" s="4"/>
      <c r="AX1111" t="s">
        <v>75</v>
      </c>
      <c r="AZ1111" t="s">
        <v>286</v>
      </c>
      <c r="BA1111" t="s">
        <v>67</v>
      </c>
      <c r="BB1111" t="s">
        <v>287</v>
      </c>
      <c r="BC1111" t="s">
        <v>285</v>
      </c>
      <c r="BD1111" t="s">
        <v>79</v>
      </c>
      <c r="BE1111" t="s">
        <v>288</v>
      </c>
      <c r="BF1111" s="5">
        <v>46588</v>
      </c>
      <c r="BH1111">
        <v>2</v>
      </c>
      <c r="BI1111" s="6">
        <v>960000</v>
      </c>
      <c r="BJ1111" s="6">
        <v>48</v>
      </c>
      <c r="BK1111" s="6">
        <v>460800</v>
      </c>
      <c r="BL1111" s="6">
        <v>499200</v>
      </c>
      <c r="BM1111" s="2">
        <v>998400</v>
      </c>
      <c r="BN1111">
        <f>InvoiceTable[[#This Row],[Giảm giá]]*InvoiceTable[[#This Row],[Số lượng]]</f>
        <v>921600</v>
      </c>
    </row>
    <row r="1112" spans="1:66" x14ac:dyDescent="0.25">
      <c r="A1112" t="s">
        <v>65</v>
      </c>
      <c r="B1112" t="s">
        <v>3194</v>
      </c>
      <c r="F1112" s="2"/>
      <c r="G1112" s="3">
        <v>46004.61196678241</v>
      </c>
      <c r="H1112" s="3">
        <v>46004.611966863427</v>
      </c>
      <c r="I1112" s="4" t="s">
        <v>67</v>
      </c>
      <c r="J1112" t="s">
        <v>67</v>
      </c>
      <c r="K1112" t="s">
        <v>67</v>
      </c>
      <c r="L1112" t="s">
        <v>654</v>
      </c>
      <c r="M1112" t="s">
        <v>655</v>
      </c>
      <c r="N1112" t="s">
        <v>67</v>
      </c>
      <c r="O1112" t="s">
        <v>656</v>
      </c>
      <c r="P1112" t="s">
        <v>657</v>
      </c>
      <c r="Q1112" t="s">
        <v>658</v>
      </c>
      <c r="R1112" t="s">
        <v>67</v>
      </c>
      <c r="S1112" s="5"/>
      <c r="T1112" t="s">
        <v>72</v>
      </c>
      <c r="U1112" t="s">
        <v>87</v>
      </c>
      <c r="V1112" t="s">
        <v>74</v>
      </c>
      <c r="W1112" t="s">
        <v>87</v>
      </c>
      <c r="AE1112" s="2"/>
      <c r="AF1112" s="2"/>
      <c r="AG1112" s="2"/>
      <c r="AH1112" s="2"/>
      <c r="AL1112" s="2">
        <v>900000</v>
      </c>
      <c r="AM1112" s="2">
        <v>0</v>
      </c>
      <c r="AN1112" s="2"/>
      <c r="AO1112" s="2">
        <v>0</v>
      </c>
      <c r="AP1112" s="2">
        <v>900000</v>
      </c>
      <c r="AQ1112" s="2">
        <v>0</v>
      </c>
      <c r="AR1112" s="2">
        <v>0</v>
      </c>
      <c r="AS1112" s="2">
        <v>0</v>
      </c>
      <c r="AT1112" s="2">
        <v>0</v>
      </c>
      <c r="AU1112" s="2">
        <v>0</v>
      </c>
      <c r="AV1112" s="2">
        <v>0</v>
      </c>
      <c r="AW1112" s="4"/>
      <c r="AX1112" t="s">
        <v>75</v>
      </c>
      <c r="AZ1112" t="s">
        <v>1456</v>
      </c>
      <c r="BA1112" t="s">
        <v>67</v>
      </c>
      <c r="BB1112" t="s">
        <v>1457</v>
      </c>
      <c r="BC1112" t="s">
        <v>187</v>
      </c>
      <c r="BD1112" t="s">
        <v>79</v>
      </c>
      <c r="BE1112" t="s">
        <v>324</v>
      </c>
      <c r="BF1112" s="5">
        <v>47058</v>
      </c>
      <c r="BH1112">
        <v>5</v>
      </c>
      <c r="BI1112" s="6">
        <v>450000</v>
      </c>
      <c r="BJ1112" s="6">
        <v>60</v>
      </c>
      <c r="BK1112" s="6">
        <v>270000</v>
      </c>
      <c r="BL1112" s="6">
        <v>180000</v>
      </c>
      <c r="BM1112" s="2">
        <v>900000</v>
      </c>
      <c r="BN1112">
        <f>InvoiceTable[[#This Row],[Giảm giá]]*InvoiceTable[[#This Row],[Số lượng]]</f>
        <v>1350000</v>
      </c>
    </row>
    <row r="1113" spans="1:66" x14ac:dyDescent="0.25">
      <c r="A1113" t="s">
        <v>65</v>
      </c>
      <c r="B1113" t="s">
        <v>3195</v>
      </c>
      <c r="F1113" s="2"/>
      <c r="G1113" s="3">
        <v>46004.608486076388</v>
      </c>
      <c r="H1113" s="3">
        <v>46004.608486192126</v>
      </c>
      <c r="I1113" s="4" t="s">
        <v>67</v>
      </c>
      <c r="J1113" t="s">
        <v>3196</v>
      </c>
      <c r="K1113" t="s">
        <v>67</v>
      </c>
      <c r="L1113" t="s">
        <v>914</v>
      </c>
      <c r="M1113" t="s">
        <v>915</v>
      </c>
      <c r="N1113" t="s">
        <v>916</v>
      </c>
      <c r="O1113" t="s">
        <v>917</v>
      </c>
      <c r="P1113" t="s">
        <v>918</v>
      </c>
      <c r="S1113" s="5"/>
      <c r="T1113" t="s">
        <v>72</v>
      </c>
      <c r="U1113" t="s">
        <v>87</v>
      </c>
      <c r="V1113" t="s">
        <v>74</v>
      </c>
      <c r="W1113" t="s">
        <v>87</v>
      </c>
      <c r="AE1113" s="2"/>
      <c r="AF1113" s="2"/>
      <c r="AG1113" s="2"/>
      <c r="AH1113" s="2"/>
      <c r="AK1113" t="s">
        <v>67</v>
      </c>
      <c r="AL1113" s="2">
        <v>2166600</v>
      </c>
      <c r="AM1113" s="2">
        <v>0</v>
      </c>
      <c r="AN1113" s="2"/>
      <c r="AO1113" s="2">
        <v>0</v>
      </c>
      <c r="AP1113" s="2">
        <v>2166600</v>
      </c>
      <c r="AQ1113" s="2">
        <v>0</v>
      </c>
      <c r="AR1113" s="2">
        <v>0</v>
      </c>
      <c r="AS1113" s="2">
        <v>0</v>
      </c>
      <c r="AT1113" s="2">
        <v>0</v>
      </c>
      <c r="AU1113" s="2">
        <v>0</v>
      </c>
      <c r="AV1113" s="2">
        <v>0</v>
      </c>
      <c r="AW1113" s="4"/>
      <c r="AX1113" t="s">
        <v>75</v>
      </c>
      <c r="AZ1113" t="s">
        <v>659</v>
      </c>
      <c r="BA1113" t="s">
        <v>67</v>
      </c>
      <c r="BB1113" t="s">
        <v>660</v>
      </c>
      <c r="BC1113" t="s">
        <v>223</v>
      </c>
      <c r="BD1113" t="s">
        <v>79</v>
      </c>
      <c r="BE1113" t="s">
        <v>661</v>
      </c>
      <c r="BF1113" s="5">
        <v>47025</v>
      </c>
      <c r="BG1113" t="s">
        <v>67</v>
      </c>
      <c r="BH1113">
        <v>1</v>
      </c>
      <c r="BI1113" s="6">
        <v>1250000</v>
      </c>
      <c r="BJ1113" s="6">
        <v>47</v>
      </c>
      <c r="BK1113" s="6">
        <v>587500</v>
      </c>
      <c r="BL1113" s="6">
        <v>662500</v>
      </c>
      <c r="BM1113" s="2">
        <v>662500</v>
      </c>
      <c r="BN1113">
        <f>InvoiceTable[[#This Row],[Giảm giá]]*InvoiceTable[[#This Row],[Số lượng]]</f>
        <v>587500</v>
      </c>
    </row>
    <row r="1114" spans="1:66" x14ac:dyDescent="0.25">
      <c r="A1114" t="s">
        <v>65</v>
      </c>
      <c r="B1114" t="s">
        <v>3195</v>
      </c>
      <c r="F1114" s="2"/>
      <c r="G1114" s="3">
        <v>46004.608486076388</v>
      </c>
      <c r="H1114" s="3">
        <v>46004.608486192126</v>
      </c>
      <c r="I1114" s="4" t="s">
        <v>67</v>
      </c>
      <c r="J1114" t="s">
        <v>3196</v>
      </c>
      <c r="K1114" t="s">
        <v>67</v>
      </c>
      <c r="L1114" t="s">
        <v>914</v>
      </c>
      <c r="M1114" t="s">
        <v>915</v>
      </c>
      <c r="N1114" t="s">
        <v>916</v>
      </c>
      <c r="O1114" t="s">
        <v>917</v>
      </c>
      <c r="P1114" t="s">
        <v>918</v>
      </c>
      <c r="S1114" s="5"/>
      <c r="T1114" t="s">
        <v>72</v>
      </c>
      <c r="U1114" t="s">
        <v>87</v>
      </c>
      <c r="V1114" t="s">
        <v>74</v>
      </c>
      <c r="W1114" t="s">
        <v>87</v>
      </c>
      <c r="AE1114" s="2"/>
      <c r="AF1114" s="2"/>
      <c r="AG1114" s="2"/>
      <c r="AH1114" s="2"/>
      <c r="AK1114" t="s">
        <v>67</v>
      </c>
      <c r="AL1114" s="2">
        <v>2166600</v>
      </c>
      <c r="AM1114" s="2">
        <v>0</v>
      </c>
      <c r="AN1114" s="2"/>
      <c r="AO1114" s="2">
        <v>0</v>
      </c>
      <c r="AP1114" s="2">
        <v>2166600</v>
      </c>
      <c r="AQ1114" s="2">
        <v>0</v>
      </c>
      <c r="AR1114" s="2">
        <v>0</v>
      </c>
      <c r="AS1114" s="2">
        <v>0</v>
      </c>
      <c r="AT1114" s="2">
        <v>0</v>
      </c>
      <c r="AU1114" s="2">
        <v>0</v>
      </c>
      <c r="AV1114" s="2">
        <v>0</v>
      </c>
      <c r="AW1114" s="4"/>
      <c r="AX1114" t="s">
        <v>75</v>
      </c>
      <c r="AZ1114" t="s">
        <v>2818</v>
      </c>
      <c r="BA1114" t="s">
        <v>67</v>
      </c>
      <c r="BB1114" t="s">
        <v>2819</v>
      </c>
      <c r="BC1114" t="s">
        <v>204</v>
      </c>
      <c r="BD1114" t="s">
        <v>79</v>
      </c>
      <c r="BE1114" t="s">
        <v>205</v>
      </c>
      <c r="BF1114" s="5">
        <v>47453</v>
      </c>
      <c r="BG1114" t="s">
        <v>67</v>
      </c>
      <c r="BH1114">
        <v>2</v>
      </c>
      <c r="BI1114" s="6">
        <v>385000</v>
      </c>
      <c r="BJ1114" s="6">
        <v>38</v>
      </c>
      <c r="BK1114" s="6">
        <v>146300</v>
      </c>
      <c r="BL1114" s="6">
        <v>238700</v>
      </c>
      <c r="BM1114" s="2">
        <v>477400</v>
      </c>
      <c r="BN1114">
        <f>InvoiceTable[[#This Row],[Giảm giá]]*InvoiceTable[[#This Row],[Số lượng]]</f>
        <v>292600</v>
      </c>
    </row>
    <row r="1115" spans="1:66" x14ac:dyDescent="0.25">
      <c r="A1115" t="s">
        <v>65</v>
      </c>
      <c r="B1115" t="s">
        <v>3195</v>
      </c>
      <c r="F1115" s="2"/>
      <c r="G1115" s="3">
        <v>46004.608486076388</v>
      </c>
      <c r="H1115" s="3">
        <v>46004.608486192126</v>
      </c>
      <c r="I1115" s="4" t="s">
        <v>67</v>
      </c>
      <c r="J1115" t="s">
        <v>3196</v>
      </c>
      <c r="K1115" t="s">
        <v>67</v>
      </c>
      <c r="L1115" t="s">
        <v>914</v>
      </c>
      <c r="M1115" t="s">
        <v>915</v>
      </c>
      <c r="N1115" t="s">
        <v>916</v>
      </c>
      <c r="O1115" t="s">
        <v>917</v>
      </c>
      <c r="P1115" t="s">
        <v>918</v>
      </c>
      <c r="S1115" s="5"/>
      <c r="T1115" t="s">
        <v>72</v>
      </c>
      <c r="U1115" t="s">
        <v>87</v>
      </c>
      <c r="V1115" t="s">
        <v>74</v>
      </c>
      <c r="W1115" t="s">
        <v>87</v>
      </c>
      <c r="AE1115" s="2"/>
      <c r="AF1115" s="2"/>
      <c r="AG1115" s="2"/>
      <c r="AH1115" s="2"/>
      <c r="AK1115" t="s">
        <v>67</v>
      </c>
      <c r="AL1115" s="2">
        <v>2166600</v>
      </c>
      <c r="AM1115" s="2">
        <v>0</v>
      </c>
      <c r="AN1115" s="2"/>
      <c r="AO1115" s="2">
        <v>0</v>
      </c>
      <c r="AP1115" s="2">
        <v>2166600</v>
      </c>
      <c r="AQ1115" s="2">
        <v>0</v>
      </c>
      <c r="AR1115" s="2">
        <v>0</v>
      </c>
      <c r="AS1115" s="2">
        <v>0</v>
      </c>
      <c r="AT1115" s="2">
        <v>0</v>
      </c>
      <c r="AU1115" s="2">
        <v>0</v>
      </c>
      <c r="AV1115" s="2">
        <v>0</v>
      </c>
      <c r="AW1115" s="4"/>
      <c r="AX1115" t="s">
        <v>75</v>
      </c>
      <c r="AZ1115" t="s">
        <v>1072</v>
      </c>
      <c r="BA1115" t="s">
        <v>67</v>
      </c>
      <c r="BB1115" t="s">
        <v>1073</v>
      </c>
      <c r="BC1115" t="s">
        <v>204</v>
      </c>
      <c r="BD1115" t="s">
        <v>79</v>
      </c>
      <c r="BE1115" t="s">
        <v>1074</v>
      </c>
      <c r="BF1115" s="5">
        <v>47423</v>
      </c>
      <c r="BG1115" t="s">
        <v>67</v>
      </c>
      <c r="BH1115">
        <v>2</v>
      </c>
      <c r="BI1115" s="6">
        <v>545000</v>
      </c>
      <c r="BJ1115" s="6">
        <v>38</v>
      </c>
      <c r="BK1115" s="6">
        <v>207100</v>
      </c>
      <c r="BL1115" s="6">
        <v>337900</v>
      </c>
      <c r="BM1115" s="2">
        <v>675800</v>
      </c>
      <c r="BN1115">
        <f>InvoiceTable[[#This Row],[Giảm giá]]*InvoiceTable[[#This Row],[Số lượng]]</f>
        <v>414200</v>
      </c>
    </row>
    <row r="1116" spans="1:66" x14ac:dyDescent="0.25">
      <c r="A1116" t="s">
        <v>65</v>
      </c>
      <c r="B1116" t="s">
        <v>3195</v>
      </c>
      <c r="F1116" s="2"/>
      <c r="G1116" s="3">
        <v>46004.608486076388</v>
      </c>
      <c r="H1116" s="3">
        <v>46004.608486192126</v>
      </c>
      <c r="I1116" s="4" t="s">
        <v>67</v>
      </c>
      <c r="J1116" t="s">
        <v>3196</v>
      </c>
      <c r="K1116" t="s">
        <v>67</v>
      </c>
      <c r="L1116" t="s">
        <v>914</v>
      </c>
      <c r="M1116" t="s">
        <v>915</v>
      </c>
      <c r="N1116" t="s">
        <v>916</v>
      </c>
      <c r="O1116" t="s">
        <v>917</v>
      </c>
      <c r="P1116" t="s">
        <v>918</v>
      </c>
      <c r="S1116" s="5"/>
      <c r="T1116" t="s">
        <v>72</v>
      </c>
      <c r="U1116" t="s">
        <v>87</v>
      </c>
      <c r="V1116" t="s">
        <v>74</v>
      </c>
      <c r="W1116" t="s">
        <v>87</v>
      </c>
      <c r="AE1116" s="2"/>
      <c r="AF1116" s="2"/>
      <c r="AG1116" s="2"/>
      <c r="AH1116" s="2"/>
      <c r="AK1116" t="s">
        <v>67</v>
      </c>
      <c r="AL1116" s="2">
        <v>2166600</v>
      </c>
      <c r="AM1116" s="2">
        <v>0</v>
      </c>
      <c r="AN1116" s="2"/>
      <c r="AO1116" s="2">
        <v>0</v>
      </c>
      <c r="AP1116" s="2">
        <v>2166600</v>
      </c>
      <c r="AQ1116" s="2">
        <v>0</v>
      </c>
      <c r="AR1116" s="2">
        <v>0</v>
      </c>
      <c r="AS1116" s="2">
        <v>0</v>
      </c>
      <c r="AT1116" s="2">
        <v>0</v>
      </c>
      <c r="AU1116" s="2">
        <v>0</v>
      </c>
      <c r="AV1116" s="2">
        <v>0</v>
      </c>
      <c r="AW1116" s="4"/>
      <c r="AX1116" t="s">
        <v>75</v>
      </c>
      <c r="AZ1116" t="s">
        <v>3197</v>
      </c>
      <c r="BA1116" t="s">
        <v>67</v>
      </c>
      <c r="BB1116" t="s">
        <v>3198</v>
      </c>
      <c r="BC1116" t="s">
        <v>1189</v>
      </c>
      <c r="BD1116" t="s">
        <v>79</v>
      </c>
      <c r="BE1116" t="s">
        <v>3199</v>
      </c>
      <c r="BF1116" s="5">
        <v>47003</v>
      </c>
      <c r="BG1116" t="s">
        <v>67</v>
      </c>
      <c r="BH1116">
        <v>1</v>
      </c>
      <c r="BI1116" s="6">
        <v>605000</v>
      </c>
      <c r="BJ1116" s="6">
        <v>42</v>
      </c>
      <c r="BK1116" s="6">
        <v>254100</v>
      </c>
      <c r="BL1116" s="6">
        <v>350900</v>
      </c>
      <c r="BM1116" s="2">
        <v>350900</v>
      </c>
      <c r="BN1116">
        <f>InvoiceTable[[#This Row],[Giảm giá]]*InvoiceTable[[#This Row],[Số lượng]]</f>
        <v>254100</v>
      </c>
    </row>
    <row r="1117" spans="1:66" x14ac:dyDescent="0.25">
      <c r="A1117" t="s">
        <v>65</v>
      </c>
      <c r="B1117" t="s">
        <v>3200</v>
      </c>
      <c r="F1117" s="2"/>
      <c r="G1117" s="3">
        <v>46004.608285532406</v>
      </c>
      <c r="H1117" s="3">
        <v>46004.608227777775</v>
      </c>
      <c r="I1117" s="4" t="s">
        <v>2983</v>
      </c>
      <c r="J1117" t="s">
        <v>3201</v>
      </c>
      <c r="K1117" t="s">
        <v>67</v>
      </c>
      <c r="L1117" t="s">
        <v>3202</v>
      </c>
      <c r="M1117" t="s">
        <v>3203</v>
      </c>
      <c r="N1117" t="s">
        <v>67</v>
      </c>
      <c r="O1117" t="s">
        <v>3204</v>
      </c>
      <c r="P1117" t="s">
        <v>3205</v>
      </c>
      <c r="Q1117" t="s">
        <v>67</v>
      </c>
      <c r="R1117" t="s">
        <v>67</v>
      </c>
      <c r="S1117" s="5"/>
      <c r="T1117" t="s">
        <v>72</v>
      </c>
      <c r="U1117" t="s">
        <v>87</v>
      </c>
      <c r="V1117" t="s">
        <v>74</v>
      </c>
      <c r="W1117" t="s">
        <v>87</v>
      </c>
      <c r="AE1117" s="2"/>
      <c r="AF1117" s="2"/>
      <c r="AG1117" s="2"/>
      <c r="AH1117" s="2"/>
      <c r="AK1117" t="s">
        <v>3206</v>
      </c>
      <c r="AL1117" s="2">
        <v>2006600</v>
      </c>
      <c r="AM1117" s="2">
        <v>0</v>
      </c>
      <c r="AN1117" s="2"/>
      <c r="AO1117" s="2">
        <v>0</v>
      </c>
      <c r="AP1117" s="2">
        <v>2006600</v>
      </c>
      <c r="AQ1117" s="2">
        <v>2006600</v>
      </c>
      <c r="AR1117" s="2">
        <v>2006600</v>
      </c>
      <c r="AS1117" s="2">
        <v>0</v>
      </c>
      <c r="AT1117" s="2">
        <v>0</v>
      </c>
      <c r="AU1117" s="2">
        <v>0</v>
      </c>
      <c r="AV1117" s="2">
        <v>0</v>
      </c>
      <c r="AW1117" s="4"/>
      <c r="AX1117" t="s">
        <v>75</v>
      </c>
      <c r="AZ1117" t="s">
        <v>2144</v>
      </c>
      <c r="BA1117" t="s">
        <v>67</v>
      </c>
      <c r="BB1117" t="s">
        <v>2145</v>
      </c>
      <c r="BC1117" t="s">
        <v>154</v>
      </c>
      <c r="BD1117" t="s">
        <v>79</v>
      </c>
      <c r="BE1117" t="s">
        <v>177</v>
      </c>
      <c r="BF1117" s="5">
        <v>47027</v>
      </c>
      <c r="BH1117">
        <v>1</v>
      </c>
      <c r="BI1117" s="6">
        <v>1770000</v>
      </c>
      <c r="BJ1117" s="6">
        <v>42</v>
      </c>
      <c r="BK1117" s="6">
        <v>743400</v>
      </c>
      <c r="BL1117" s="6">
        <v>1026600</v>
      </c>
      <c r="BM1117" s="2">
        <v>1026600</v>
      </c>
      <c r="BN1117">
        <f>InvoiceTable[[#This Row],[Giảm giá]]*InvoiceTable[[#This Row],[Số lượng]]</f>
        <v>743400</v>
      </c>
    </row>
    <row r="1118" spans="1:66" x14ac:dyDescent="0.25">
      <c r="A1118" t="s">
        <v>65</v>
      </c>
      <c r="B1118" t="s">
        <v>3200</v>
      </c>
      <c r="F1118" s="2"/>
      <c r="G1118" s="3">
        <v>46004.608285532406</v>
      </c>
      <c r="H1118" s="3">
        <v>46004.608227777775</v>
      </c>
      <c r="I1118" s="4" t="s">
        <v>2983</v>
      </c>
      <c r="J1118" t="s">
        <v>3201</v>
      </c>
      <c r="K1118" t="s">
        <v>67</v>
      </c>
      <c r="L1118" t="s">
        <v>3202</v>
      </c>
      <c r="M1118" t="s">
        <v>3203</v>
      </c>
      <c r="N1118" t="s">
        <v>67</v>
      </c>
      <c r="O1118" t="s">
        <v>3204</v>
      </c>
      <c r="P1118" t="s">
        <v>3205</v>
      </c>
      <c r="Q1118" t="s">
        <v>67</v>
      </c>
      <c r="R1118" t="s">
        <v>67</v>
      </c>
      <c r="S1118" s="5"/>
      <c r="T1118" t="s">
        <v>72</v>
      </c>
      <c r="U1118" t="s">
        <v>87</v>
      </c>
      <c r="V1118" t="s">
        <v>74</v>
      </c>
      <c r="W1118" t="s">
        <v>87</v>
      </c>
      <c r="AE1118" s="2"/>
      <c r="AF1118" s="2"/>
      <c r="AG1118" s="2"/>
      <c r="AH1118" s="2"/>
      <c r="AK1118" t="s">
        <v>3206</v>
      </c>
      <c r="AL1118" s="2">
        <v>2006600</v>
      </c>
      <c r="AM1118" s="2">
        <v>0</v>
      </c>
      <c r="AN1118" s="2"/>
      <c r="AO1118" s="2">
        <v>0</v>
      </c>
      <c r="AP1118" s="2">
        <v>2006600</v>
      </c>
      <c r="AQ1118" s="2">
        <v>2006600</v>
      </c>
      <c r="AR1118" s="2">
        <v>2006600</v>
      </c>
      <c r="AS1118" s="2">
        <v>0</v>
      </c>
      <c r="AT1118" s="2">
        <v>0</v>
      </c>
      <c r="AU1118" s="2">
        <v>0</v>
      </c>
      <c r="AV1118" s="2">
        <v>0</v>
      </c>
      <c r="AW1118" s="4"/>
      <c r="AX1118" t="s">
        <v>75</v>
      </c>
      <c r="AZ1118" t="s">
        <v>480</v>
      </c>
      <c r="BA1118" t="s">
        <v>67</v>
      </c>
      <c r="BB1118" t="s">
        <v>481</v>
      </c>
      <c r="BC1118" t="s">
        <v>90</v>
      </c>
      <c r="BD1118" t="s">
        <v>79</v>
      </c>
      <c r="BE1118" t="s">
        <v>482</v>
      </c>
      <c r="BF1118" s="5">
        <v>46773</v>
      </c>
      <c r="BG1118" t="s">
        <v>67</v>
      </c>
      <c r="BH1118">
        <v>1</v>
      </c>
      <c r="BI1118" s="6">
        <v>1800000</v>
      </c>
      <c r="BJ1118" s="6">
        <v>0</v>
      </c>
      <c r="BK1118" s="6">
        <v>820000</v>
      </c>
      <c r="BL1118" s="6">
        <v>980000</v>
      </c>
      <c r="BM1118" s="2">
        <v>980000</v>
      </c>
      <c r="BN1118">
        <f>InvoiceTable[[#This Row],[Giảm giá]]*InvoiceTable[[#This Row],[Số lượng]]</f>
        <v>820000</v>
      </c>
    </row>
    <row r="1119" spans="1:66" x14ac:dyDescent="0.25">
      <c r="A1119" t="s">
        <v>65</v>
      </c>
      <c r="B1119" t="s">
        <v>3207</v>
      </c>
      <c r="F1119" s="2"/>
      <c r="G1119" s="3">
        <v>46004.607851076391</v>
      </c>
      <c r="H1119" s="3">
        <v>46004.607828043983</v>
      </c>
      <c r="I1119" s="4" t="s">
        <v>3066</v>
      </c>
      <c r="J1119" t="s">
        <v>3208</v>
      </c>
      <c r="K1119" t="s">
        <v>67</v>
      </c>
      <c r="L1119" t="s">
        <v>914</v>
      </c>
      <c r="M1119" t="s">
        <v>915</v>
      </c>
      <c r="N1119" t="s">
        <v>916</v>
      </c>
      <c r="O1119" t="s">
        <v>917</v>
      </c>
      <c r="P1119" t="s">
        <v>918</v>
      </c>
      <c r="S1119" s="5"/>
      <c r="T1119" t="s">
        <v>72</v>
      </c>
      <c r="U1119" t="s">
        <v>87</v>
      </c>
      <c r="V1119" t="s">
        <v>74</v>
      </c>
      <c r="W1119" t="s">
        <v>87</v>
      </c>
      <c r="AE1119" s="2"/>
      <c r="AF1119" s="2"/>
      <c r="AG1119" s="2"/>
      <c r="AH1119" s="2"/>
      <c r="AL1119" s="2">
        <v>1696000</v>
      </c>
      <c r="AM1119" s="2">
        <v>0</v>
      </c>
      <c r="AN1119" s="2"/>
      <c r="AO1119" s="2">
        <v>0</v>
      </c>
      <c r="AP1119" s="2">
        <v>1696000</v>
      </c>
      <c r="AQ1119" s="2">
        <v>0</v>
      </c>
      <c r="AR1119" s="2">
        <v>0</v>
      </c>
      <c r="AS1119" s="2">
        <v>0</v>
      </c>
      <c r="AT1119" s="2">
        <v>0</v>
      </c>
      <c r="AU1119" s="2">
        <v>0</v>
      </c>
      <c r="AV1119" s="2">
        <v>0</v>
      </c>
      <c r="AW1119" s="4"/>
      <c r="AX1119" t="s">
        <v>75</v>
      </c>
      <c r="AZ1119" t="s">
        <v>958</v>
      </c>
      <c r="BA1119" t="s">
        <v>67</v>
      </c>
      <c r="BB1119" t="s">
        <v>959</v>
      </c>
      <c r="BC1119" t="s">
        <v>960</v>
      </c>
      <c r="BD1119" t="s">
        <v>79</v>
      </c>
      <c r="BE1119" t="s">
        <v>324</v>
      </c>
      <c r="BF1119" s="5">
        <v>47058</v>
      </c>
      <c r="BH1119">
        <v>2</v>
      </c>
      <c r="BI1119" s="6">
        <v>1600000</v>
      </c>
      <c r="BJ1119" s="6">
        <v>47</v>
      </c>
      <c r="BK1119" s="6">
        <v>752000</v>
      </c>
      <c r="BL1119" s="6">
        <v>848000</v>
      </c>
      <c r="BM1119" s="2">
        <v>1696000</v>
      </c>
      <c r="BN1119">
        <f>InvoiceTable[[#This Row],[Giảm giá]]*InvoiceTable[[#This Row],[Số lượng]]</f>
        <v>1504000</v>
      </c>
    </row>
    <row r="1120" spans="1:66" x14ac:dyDescent="0.25">
      <c r="A1120" t="s">
        <v>65</v>
      </c>
      <c r="B1120" t="s">
        <v>3209</v>
      </c>
      <c r="F1120" s="2"/>
      <c r="G1120" s="3">
        <v>46004.604463888892</v>
      </c>
      <c r="H1120" s="3">
        <v>46004.604429282408</v>
      </c>
      <c r="I1120" s="4" t="s">
        <v>2803</v>
      </c>
      <c r="J1120" t="s">
        <v>67</v>
      </c>
      <c r="K1120" t="s">
        <v>67</v>
      </c>
      <c r="L1120" t="s">
        <v>2346</v>
      </c>
      <c r="M1120" t="s">
        <v>2347</v>
      </c>
      <c r="N1120" t="s">
        <v>2348</v>
      </c>
      <c r="O1120" t="s">
        <v>2349</v>
      </c>
      <c r="P1120" t="s">
        <v>2350</v>
      </c>
      <c r="S1120" s="5"/>
      <c r="T1120" t="s">
        <v>72</v>
      </c>
      <c r="U1120" t="s">
        <v>87</v>
      </c>
      <c r="V1120" t="s">
        <v>74</v>
      </c>
      <c r="W1120" t="s">
        <v>87</v>
      </c>
      <c r="AE1120" s="2"/>
      <c r="AF1120" s="2"/>
      <c r="AG1120" s="2"/>
      <c r="AH1120" s="2"/>
      <c r="AL1120" s="2">
        <v>540820</v>
      </c>
      <c r="AM1120" s="2">
        <v>0</v>
      </c>
      <c r="AN1120" s="2"/>
      <c r="AO1120" s="2">
        <v>0</v>
      </c>
      <c r="AP1120" s="2">
        <v>540820</v>
      </c>
      <c r="AQ1120" s="2">
        <v>540820</v>
      </c>
      <c r="AR1120" s="2">
        <v>0</v>
      </c>
      <c r="AS1120" s="2">
        <v>0</v>
      </c>
      <c r="AT1120" s="2">
        <v>0</v>
      </c>
      <c r="AU1120" s="2">
        <v>540820</v>
      </c>
      <c r="AV1120" s="2">
        <v>0</v>
      </c>
      <c r="AW1120" s="4"/>
      <c r="AX1120" t="s">
        <v>75</v>
      </c>
      <c r="AZ1120" t="s">
        <v>2352</v>
      </c>
      <c r="BA1120" t="s">
        <v>67</v>
      </c>
      <c r="BB1120" t="s">
        <v>2353</v>
      </c>
      <c r="BC1120" t="s">
        <v>1616</v>
      </c>
      <c r="BD1120" t="s">
        <v>79</v>
      </c>
      <c r="BE1120" t="s">
        <v>139</v>
      </c>
      <c r="BF1120" s="5">
        <v>46447</v>
      </c>
      <c r="BH1120">
        <v>1</v>
      </c>
      <c r="BI1120" s="6">
        <v>501000</v>
      </c>
      <c r="BJ1120" s="6">
        <v>18</v>
      </c>
      <c r="BK1120" s="6">
        <v>90180</v>
      </c>
      <c r="BL1120" s="6">
        <v>410820</v>
      </c>
      <c r="BM1120" s="2">
        <v>410820</v>
      </c>
      <c r="BN1120">
        <f>InvoiceTable[[#This Row],[Giảm giá]]*InvoiceTable[[#This Row],[Số lượng]]</f>
        <v>90180</v>
      </c>
    </row>
    <row r="1121" spans="1:66" x14ac:dyDescent="0.25">
      <c r="A1121" t="s">
        <v>65</v>
      </c>
      <c r="B1121" t="s">
        <v>3209</v>
      </c>
      <c r="F1121" s="2"/>
      <c r="G1121" s="3">
        <v>46004.604463888892</v>
      </c>
      <c r="H1121" s="3">
        <v>46004.604429282408</v>
      </c>
      <c r="I1121" s="4" t="s">
        <v>2803</v>
      </c>
      <c r="J1121" t="s">
        <v>67</v>
      </c>
      <c r="K1121" t="s">
        <v>67</v>
      </c>
      <c r="L1121" t="s">
        <v>2346</v>
      </c>
      <c r="M1121" t="s">
        <v>2347</v>
      </c>
      <c r="N1121" t="s">
        <v>2348</v>
      </c>
      <c r="O1121" t="s">
        <v>2349</v>
      </c>
      <c r="P1121" t="s">
        <v>2350</v>
      </c>
      <c r="S1121" s="5"/>
      <c r="T1121" t="s">
        <v>72</v>
      </c>
      <c r="U1121" t="s">
        <v>87</v>
      </c>
      <c r="V1121" t="s">
        <v>74</v>
      </c>
      <c r="W1121" t="s">
        <v>87</v>
      </c>
      <c r="AE1121" s="2"/>
      <c r="AF1121" s="2"/>
      <c r="AG1121" s="2"/>
      <c r="AH1121" s="2"/>
      <c r="AL1121" s="2">
        <v>540820</v>
      </c>
      <c r="AM1121" s="2">
        <v>0</v>
      </c>
      <c r="AN1121" s="2"/>
      <c r="AO1121" s="2">
        <v>0</v>
      </c>
      <c r="AP1121" s="2">
        <v>540820</v>
      </c>
      <c r="AQ1121" s="2">
        <v>540820</v>
      </c>
      <c r="AR1121" s="2">
        <v>0</v>
      </c>
      <c r="AS1121" s="2">
        <v>0</v>
      </c>
      <c r="AT1121" s="2">
        <v>0</v>
      </c>
      <c r="AU1121" s="2">
        <v>540820</v>
      </c>
      <c r="AV1121" s="2">
        <v>0</v>
      </c>
      <c r="AW1121" s="4"/>
      <c r="AX1121" t="s">
        <v>75</v>
      </c>
      <c r="AZ1121" t="s">
        <v>1397</v>
      </c>
      <c r="BA1121" t="s">
        <v>67</v>
      </c>
      <c r="BB1121" t="s">
        <v>1398</v>
      </c>
      <c r="BC1121" t="s">
        <v>126</v>
      </c>
      <c r="BD1121" t="s">
        <v>79</v>
      </c>
      <c r="BE1121" t="s">
        <v>131</v>
      </c>
      <c r="BF1121" s="5">
        <v>46874</v>
      </c>
      <c r="BG1121" t="s">
        <v>67</v>
      </c>
      <c r="BH1121">
        <v>1</v>
      </c>
      <c r="BI1121" s="6">
        <v>350000</v>
      </c>
      <c r="BJ1121" s="6">
        <v>0</v>
      </c>
      <c r="BK1121" s="6">
        <v>220000</v>
      </c>
      <c r="BL1121" s="6">
        <v>130000</v>
      </c>
      <c r="BM1121" s="2">
        <v>130000</v>
      </c>
      <c r="BN1121">
        <f>InvoiceTable[[#This Row],[Giảm giá]]*InvoiceTable[[#This Row],[Số lượng]]</f>
        <v>220000</v>
      </c>
    </row>
    <row r="1122" spans="1:66" x14ac:dyDescent="0.25">
      <c r="A1122" t="s">
        <v>65</v>
      </c>
      <c r="B1122" t="s">
        <v>3210</v>
      </c>
      <c r="F1122" s="2"/>
      <c r="G1122" s="3">
        <v>46004.603763854167</v>
      </c>
      <c r="H1122" s="3">
        <v>46004.603764004627</v>
      </c>
      <c r="I1122" s="4" t="s">
        <v>67</v>
      </c>
      <c r="J1122" t="s">
        <v>67</v>
      </c>
      <c r="K1122" t="s">
        <v>67</v>
      </c>
      <c r="L1122" t="s">
        <v>2346</v>
      </c>
      <c r="M1122" t="s">
        <v>2347</v>
      </c>
      <c r="N1122" t="s">
        <v>2348</v>
      </c>
      <c r="O1122" t="s">
        <v>2349</v>
      </c>
      <c r="P1122" t="s">
        <v>2350</v>
      </c>
      <c r="S1122" s="5"/>
      <c r="T1122" t="s">
        <v>72</v>
      </c>
      <c r="U1122" t="s">
        <v>87</v>
      </c>
      <c r="V1122" t="s">
        <v>74</v>
      </c>
      <c r="W1122" t="s">
        <v>87</v>
      </c>
      <c r="AE1122" s="2"/>
      <c r="AF1122" s="2"/>
      <c r="AG1122" s="2"/>
      <c r="AH1122" s="2"/>
      <c r="AK1122" t="s">
        <v>3211</v>
      </c>
      <c r="AL1122" s="2">
        <v>1235800</v>
      </c>
      <c r="AM1122" s="2">
        <v>0</v>
      </c>
      <c r="AN1122" s="2"/>
      <c r="AO1122" s="2">
        <v>0</v>
      </c>
      <c r="AP1122" s="2">
        <v>1235800</v>
      </c>
      <c r="AQ1122" s="2">
        <v>1235800</v>
      </c>
      <c r="AR1122" s="2">
        <v>0</v>
      </c>
      <c r="AS1122" s="2">
        <v>0</v>
      </c>
      <c r="AT1122" s="2">
        <v>0</v>
      </c>
      <c r="AU1122" s="2">
        <v>1235800</v>
      </c>
      <c r="AV1122" s="2">
        <v>0</v>
      </c>
      <c r="AW1122" s="4"/>
      <c r="AX1122" t="s">
        <v>75</v>
      </c>
      <c r="AZ1122" t="s">
        <v>745</v>
      </c>
      <c r="BA1122" t="s">
        <v>67</v>
      </c>
      <c r="BB1122" t="s">
        <v>746</v>
      </c>
      <c r="BC1122" t="s">
        <v>204</v>
      </c>
      <c r="BD1122" t="s">
        <v>79</v>
      </c>
      <c r="BE1122" t="s">
        <v>142</v>
      </c>
      <c r="BF1122" s="5">
        <v>46844</v>
      </c>
      <c r="BH1122">
        <v>1</v>
      </c>
      <c r="BI1122" s="6">
        <v>475000</v>
      </c>
      <c r="BJ1122" s="6">
        <v>37</v>
      </c>
      <c r="BK1122" s="6">
        <v>175750</v>
      </c>
      <c r="BL1122" s="6">
        <v>299250</v>
      </c>
      <c r="BM1122" s="2">
        <v>299250</v>
      </c>
      <c r="BN1122">
        <f>InvoiceTable[[#This Row],[Giảm giá]]*InvoiceTable[[#This Row],[Số lượng]]</f>
        <v>175750</v>
      </c>
    </row>
    <row r="1123" spans="1:66" x14ac:dyDescent="0.25">
      <c r="A1123" t="s">
        <v>65</v>
      </c>
      <c r="B1123" t="s">
        <v>3210</v>
      </c>
      <c r="F1123" s="2"/>
      <c r="G1123" s="3">
        <v>46004.603763854167</v>
      </c>
      <c r="H1123" s="3">
        <v>46004.603764004627</v>
      </c>
      <c r="I1123" s="4" t="s">
        <v>67</v>
      </c>
      <c r="J1123" t="s">
        <v>67</v>
      </c>
      <c r="K1123" t="s">
        <v>67</v>
      </c>
      <c r="L1123" t="s">
        <v>2346</v>
      </c>
      <c r="M1123" t="s">
        <v>2347</v>
      </c>
      <c r="N1123" t="s">
        <v>2348</v>
      </c>
      <c r="O1123" t="s">
        <v>2349</v>
      </c>
      <c r="P1123" t="s">
        <v>2350</v>
      </c>
      <c r="S1123" s="5"/>
      <c r="T1123" t="s">
        <v>72</v>
      </c>
      <c r="U1123" t="s">
        <v>87</v>
      </c>
      <c r="V1123" t="s">
        <v>74</v>
      </c>
      <c r="W1123" t="s">
        <v>87</v>
      </c>
      <c r="AE1123" s="2"/>
      <c r="AF1123" s="2"/>
      <c r="AG1123" s="2"/>
      <c r="AH1123" s="2"/>
      <c r="AK1123" t="s">
        <v>3211</v>
      </c>
      <c r="AL1123" s="2">
        <v>1235800</v>
      </c>
      <c r="AM1123" s="2">
        <v>0</v>
      </c>
      <c r="AN1123" s="2"/>
      <c r="AO1123" s="2">
        <v>0</v>
      </c>
      <c r="AP1123" s="2">
        <v>1235800</v>
      </c>
      <c r="AQ1123" s="2">
        <v>1235800</v>
      </c>
      <c r="AR1123" s="2">
        <v>0</v>
      </c>
      <c r="AS1123" s="2">
        <v>0</v>
      </c>
      <c r="AT1123" s="2">
        <v>0</v>
      </c>
      <c r="AU1123" s="2">
        <v>1235800</v>
      </c>
      <c r="AV1123" s="2">
        <v>0</v>
      </c>
      <c r="AW1123" s="4"/>
      <c r="AX1123" t="s">
        <v>75</v>
      </c>
      <c r="AZ1123" t="s">
        <v>424</v>
      </c>
      <c r="BA1123" t="s">
        <v>67</v>
      </c>
      <c r="BB1123" t="s">
        <v>425</v>
      </c>
      <c r="BC1123" t="s">
        <v>426</v>
      </c>
      <c r="BD1123" t="s">
        <v>79</v>
      </c>
      <c r="BE1123" t="s">
        <v>198</v>
      </c>
      <c r="BF1123" s="5">
        <v>46753</v>
      </c>
      <c r="BH1123">
        <v>1</v>
      </c>
      <c r="BI1123" s="6">
        <v>590000</v>
      </c>
      <c r="BJ1123" s="6">
        <v>37</v>
      </c>
      <c r="BK1123" s="6">
        <v>218300</v>
      </c>
      <c r="BL1123" s="6">
        <v>371700</v>
      </c>
      <c r="BM1123" s="2">
        <v>371700</v>
      </c>
      <c r="BN1123">
        <f>InvoiceTable[[#This Row],[Giảm giá]]*InvoiceTable[[#This Row],[Số lượng]]</f>
        <v>218300</v>
      </c>
    </row>
    <row r="1124" spans="1:66" x14ac:dyDescent="0.25">
      <c r="A1124" t="s">
        <v>65</v>
      </c>
      <c r="B1124" t="s">
        <v>3210</v>
      </c>
      <c r="F1124" s="2"/>
      <c r="G1124" s="3">
        <v>46004.603763854167</v>
      </c>
      <c r="H1124" s="3">
        <v>46004.603764004627</v>
      </c>
      <c r="I1124" s="4" t="s">
        <v>67</v>
      </c>
      <c r="J1124" t="s">
        <v>67</v>
      </c>
      <c r="K1124" t="s">
        <v>67</v>
      </c>
      <c r="L1124" t="s">
        <v>2346</v>
      </c>
      <c r="M1124" t="s">
        <v>2347</v>
      </c>
      <c r="N1124" t="s">
        <v>2348</v>
      </c>
      <c r="O1124" t="s">
        <v>2349</v>
      </c>
      <c r="P1124" t="s">
        <v>2350</v>
      </c>
      <c r="S1124" s="5"/>
      <c r="T1124" t="s">
        <v>72</v>
      </c>
      <c r="U1124" t="s">
        <v>87</v>
      </c>
      <c r="V1124" t="s">
        <v>74</v>
      </c>
      <c r="W1124" t="s">
        <v>87</v>
      </c>
      <c r="AE1124" s="2"/>
      <c r="AF1124" s="2"/>
      <c r="AG1124" s="2"/>
      <c r="AH1124" s="2"/>
      <c r="AK1124" t="s">
        <v>3211</v>
      </c>
      <c r="AL1124" s="2">
        <v>1235800</v>
      </c>
      <c r="AM1124" s="2">
        <v>0</v>
      </c>
      <c r="AN1124" s="2"/>
      <c r="AO1124" s="2">
        <v>0</v>
      </c>
      <c r="AP1124" s="2">
        <v>1235800</v>
      </c>
      <c r="AQ1124" s="2">
        <v>1235800</v>
      </c>
      <c r="AR1124" s="2">
        <v>0</v>
      </c>
      <c r="AS1124" s="2">
        <v>0</v>
      </c>
      <c r="AT1124" s="2">
        <v>0</v>
      </c>
      <c r="AU1124" s="2">
        <v>1235800</v>
      </c>
      <c r="AV1124" s="2">
        <v>0</v>
      </c>
      <c r="AW1124" s="4"/>
      <c r="AX1124" t="s">
        <v>75</v>
      </c>
      <c r="AZ1124" t="s">
        <v>3212</v>
      </c>
      <c r="BA1124" t="s">
        <v>67</v>
      </c>
      <c r="BB1124" t="s">
        <v>3213</v>
      </c>
      <c r="BC1124" t="s">
        <v>93</v>
      </c>
      <c r="BD1124" t="s">
        <v>79</v>
      </c>
      <c r="BE1124" t="s">
        <v>94</v>
      </c>
      <c r="BF1124" s="5">
        <v>46692</v>
      </c>
      <c r="BH1124">
        <v>1</v>
      </c>
      <c r="BI1124" s="6">
        <v>398000</v>
      </c>
      <c r="BJ1124" s="6">
        <v>35</v>
      </c>
      <c r="BK1124" s="6">
        <v>139300</v>
      </c>
      <c r="BL1124" s="6">
        <v>258700</v>
      </c>
      <c r="BM1124" s="2">
        <v>258700</v>
      </c>
      <c r="BN1124">
        <f>InvoiceTable[[#This Row],[Giảm giá]]*InvoiceTable[[#This Row],[Số lượng]]</f>
        <v>139300</v>
      </c>
    </row>
    <row r="1125" spans="1:66" x14ac:dyDescent="0.25">
      <c r="A1125" t="s">
        <v>65</v>
      </c>
      <c r="B1125" t="s">
        <v>3210</v>
      </c>
      <c r="F1125" s="2"/>
      <c r="G1125" s="3">
        <v>46004.603763854167</v>
      </c>
      <c r="H1125" s="3">
        <v>46004.603764004627</v>
      </c>
      <c r="I1125" s="4" t="s">
        <v>67</v>
      </c>
      <c r="J1125" t="s">
        <v>67</v>
      </c>
      <c r="K1125" t="s">
        <v>67</v>
      </c>
      <c r="L1125" t="s">
        <v>2346</v>
      </c>
      <c r="M1125" t="s">
        <v>2347</v>
      </c>
      <c r="N1125" t="s">
        <v>2348</v>
      </c>
      <c r="O1125" t="s">
        <v>2349</v>
      </c>
      <c r="P1125" t="s">
        <v>2350</v>
      </c>
      <c r="S1125" s="5"/>
      <c r="T1125" t="s">
        <v>72</v>
      </c>
      <c r="U1125" t="s">
        <v>87</v>
      </c>
      <c r="V1125" t="s">
        <v>74</v>
      </c>
      <c r="W1125" t="s">
        <v>87</v>
      </c>
      <c r="AE1125" s="2"/>
      <c r="AF1125" s="2"/>
      <c r="AG1125" s="2"/>
      <c r="AH1125" s="2"/>
      <c r="AK1125" t="s">
        <v>3211</v>
      </c>
      <c r="AL1125" s="2">
        <v>1235800</v>
      </c>
      <c r="AM1125" s="2">
        <v>0</v>
      </c>
      <c r="AN1125" s="2"/>
      <c r="AO1125" s="2">
        <v>0</v>
      </c>
      <c r="AP1125" s="2">
        <v>1235800</v>
      </c>
      <c r="AQ1125" s="2">
        <v>1235800</v>
      </c>
      <c r="AR1125" s="2">
        <v>0</v>
      </c>
      <c r="AS1125" s="2">
        <v>0</v>
      </c>
      <c r="AT1125" s="2">
        <v>0</v>
      </c>
      <c r="AU1125" s="2">
        <v>1235800</v>
      </c>
      <c r="AV1125" s="2">
        <v>0</v>
      </c>
      <c r="AW1125" s="4"/>
      <c r="AX1125" t="s">
        <v>75</v>
      </c>
      <c r="AZ1125" t="s">
        <v>224</v>
      </c>
      <c r="BA1125" t="s">
        <v>67</v>
      </c>
      <c r="BB1125" t="s">
        <v>225</v>
      </c>
      <c r="BC1125" t="s">
        <v>93</v>
      </c>
      <c r="BD1125" t="s">
        <v>79</v>
      </c>
      <c r="BE1125" t="s">
        <v>216</v>
      </c>
      <c r="BF1125" s="5">
        <v>46784</v>
      </c>
      <c r="BH1125">
        <v>1</v>
      </c>
      <c r="BI1125" s="6">
        <v>471000</v>
      </c>
      <c r="BJ1125" s="6">
        <v>35</v>
      </c>
      <c r="BK1125" s="6">
        <v>164850</v>
      </c>
      <c r="BL1125" s="6">
        <v>306150</v>
      </c>
      <c r="BM1125" s="2">
        <v>306150</v>
      </c>
      <c r="BN1125">
        <f>InvoiceTable[[#This Row],[Giảm giá]]*InvoiceTable[[#This Row],[Số lượng]]</f>
        <v>164850</v>
      </c>
    </row>
    <row r="1126" spans="1:66" x14ac:dyDescent="0.25">
      <c r="A1126" t="s">
        <v>65</v>
      </c>
      <c r="B1126" t="s">
        <v>3214</v>
      </c>
      <c r="F1126" s="2"/>
      <c r="G1126" s="3">
        <v>46004.602947372689</v>
      </c>
      <c r="H1126" s="3">
        <v>46004.602947488427</v>
      </c>
      <c r="I1126" s="4" t="s">
        <v>67</v>
      </c>
      <c r="J1126" t="s">
        <v>67</v>
      </c>
      <c r="K1126" t="s">
        <v>3215</v>
      </c>
      <c r="L1126" t="s">
        <v>1875</v>
      </c>
      <c r="M1126" t="s">
        <v>1876</v>
      </c>
      <c r="N1126" t="s">
        <v>67</v>
      </c>
      <c r="O1126" t="s">
        <v>1877</v>
      </c>
      <c r="S1126" s="5"/>
      <c r="T1126" t="s">
        <v>72</v>
      </c>
      <c r="U1126" t="s">
        <v>87</v>
      </c>
      <c r="V1126" t="s">
        <v>74</v>
      </c>
      <c r="W1126" t="s">
        <v>87</v>
      </c>
      <c r="AE1126" s="2"/>
      <c r="AF1126" s="2"/>
      <c r="AG1126" s="2"/>
      <c r="AH1126" s="2"/>
      <c r="AL1126" s="2">
        <v>2986560</v>
      </c>
      <c r="AM1126" s="2">
        <v>0</v>
      </c>
      <c r="AN1126" s="2"/>
      <c r="AO1126" s="2">
        <v>0</v>
      </c>
      <c r="AP1126" s="2">
        <v>2986560</v>
      </c>
      <c r="AQ1126" s="2">
        <v>0</v>
      </c>
      <c r="AR1126" s="2">
        <v>0</v>
      </c>
      <c r="AS1126" s="2">
        <v>0</v>
      </c>
      <c r="AT1126" s="2">
        <v>0</v>
      </c>
      <c r="AU1126" s="2">
        <v>0</v>
      </c>
      <c r="AV1126" s="2">
        <v>0</v>
      </c>
      <c r="AW1126" s="4"/>
      <c r="AX1126" t="s">
        <v>75</v>
      </c>
      <c r="AZ1126" t="s">
        <v>91</v>
      </c>
      <c r="BA1126" t="s">
        <v>67</v>
      </c>
      <c r="BB1126" t="s">
        <v>92</v>
      </c>
      <c r="BC1126" t="s">
        <v>93</v>
      </c>
      <c r="BD1126" t="s">
        <v>79</v>
      </c>
      <c r="BE1126" t="s">
        <v>94</v>
      </c>
      <c r="BF1126" s="5">
        <v>46692</v>
      </c>
      <c r="BH1126">
        <v>1</v>
      </c>
      <c r="BI1126" s="6">
        <v>702000</v>
      </c>
      <c r="BJ1126" s="6">
        <v>39</v>
      </c>
      <c r="BK1126" s="6">
        <v>273780</v>
      </c>
      <c r="BL1126" s="6">
        <v>428220</v>
      </c>
      <c r="BM1126" s="2">
        <v>428220</v>
      </c>
      <c r="BN1126">
        <f>InvoiceTable[[#This Row],[Giảm giá]]*InvoiceTable[[#This Row],[Số lượng]]</f>
        <v>273780</v>
      </c>
    </row>
    <row r="1127" spans="1:66" x14ac:dyDescent="0.25">
      <c r="A1127" t="s">
        <v>65</v>
      </c>
      <c r="B1127" t="s">
        <v>3214</v>
      </c>
      <c r="F1127" s="2"/>
      <c r="G1127" s="3">
        <v>46004.602947372689</v>
      </c>
      <c r="H1127" s="3">
        <v>46004.602947488427</v>
      </c>
      <c r="I1127" s="4" t="s">
        <v>67</v>
      </c>
      <c r="J1127" t="s">
        <v>67</v>
      </c>
      <c r="K1127" t="s">
        <v>3215</v>
      </c>
      <c r="L1127" t="s">
        <v>1875</v>
      </c>
      <c r="M1127" t="s">
        <v>1876</v>
      </c>
      <c r="N1127" t="s">
        <v>67</v>
      </c>
      <c r="O1127" t="s">
        <v>1877</v>
      </c>
      <c r="S1127" s="5"/>
      <c r="T1127" t="s">
        <v>72</v>
      </c>
      <c r="U1127" t="s">
        <v>87</v>
      </c>
      <c r="V1127" t="s">
        <v>74</v>
      </c>
      <c r="W1127" t="s">
        <v>87</v>
      </c>
      <c r="AE1127" s="2"/>
      <c r="AF1127" s="2"/>
      <c r="AG1127" s="2"/>
      <c r="AH1127" s="2"/>
      <c r="AL1127" s="2">
        <v>2986560</v>
      </c>
      <c r="AM1127" s="2">
        <v>0</v>
      </c>
      <c r="AN1127" s="2"/>
      <c r="AO1127" s="2">
        <v>0</v>
      </c>
      <c r="AP1127" s="2">
        <v>2986560</v>
      </c>
      <c r="AQ1127" s="2">
        <v>0</v>
      </c>
      <c r="AR1127" s="2">
        <v>0</v>
      </c>
      <c r="AS1127" s="2">
        <v>0</v>
      </c>
      <c r="AT1127" s="2">
        <v>0</v>
      </c>
      <c r="AU1127" s="2">
        <v>0</v>
      </c>
      <c r="AV1127" s="2">
        <v>0</v>
      </c>
      <c r="AW1127" s="4"/>
      <c r="AX1127" t="s">
        <v>75</v>
      </c>
      <c r="AZ1127" t="s">
        <v>2683</v>
      </c>
      <c r="BA1127" t="s">
        <v>67</v>
      </c>
      <c r="BB1127" t="s">
        <v>2684</v>
      </c>
      <c r="BC1127" t="s">
        <v>93</v>
      </c>
      <c r="BD1127" t="s">
        <v>79</v>
      </c>
      <c r="BE1127" t="s">
        <v>94</v>
      </c>
      <c r="BF1127" s="5">
        <v>46692</v>
      </c>
      <c r="BH1127">
        <v>9</v>
      </c>
      <c r="BI1127" s="6">
        <v>466000</v>
      </c>
      <c r="BJ1127" s="6">
        <v>39</v>
      </c>
      <c r="BK1127" s="6">
        <v>181740</v>
      </c>
      <c r="BL1127" s="6">
        <v>284260</v>
      </c>
      <c r="BM1127" s="2">
        <v>2558340</v>
      </c>
      <c r="BN1127">
        <f>InvoiceTable[[#This Row],[Giảm giá]]*InvoiceTable[[#This Row],[Số lượng]]</f>
        <v>1635660</v>
      </c>
    </row>
    <row r="1128" spans="1:66" x14ac:dyDescent="0.25">
      <c r="A1128" t="s">
        <v>65</v>
      </c>
      <c r="B1128" t="s">
        <v>3216</v>
      </c>
      <c r="F1128" s="2"/>
      <c r="G1128" s="3">
        <v>46004.59918715278</v>
      </c>
      <c r="H1128" s="3">
        <v>46004.59918730324</v>
      </c>
      <c r="I1128" s="4" t="s">
        <v>67</v>
      </c>
      <c r="J1128" t="s">
        <v>67</v>
      </c>
      <c r="K1128" t="s">
        <v>67</v>
      </c>
      <c r="L1128" t="s">
        <v>2613</v>
      </c>
      <c r="M1128" t="s">
        <v>2614</v>
      </c>
      <c r="N1128" t="s">
        <v>67</v>
      </c>
      <c r="O1128" t="s">
        <v>2615</v>
      </c>
      <c r="P1128" t="s">
        <v>2616</v>
      </c>
      <c r="S1128" s="5"/>
      <c r="T1128" t="s">
        <v>72</v>
      </c>
      <c r="U1128" t="s">
        <v>87</v>
      </c>
      <c r="V1128" t="s">
        <v>74</v>
      </c>
      <c r="W1128" t="s">
        <v>87</v>
      </c>
      <c r="AE1128" s="2"/>
      <c r="AF1128" s="2"/>
      <c r="AG1128" s="2"/>
      <c r="AH1128" s="2"/>
      <c r="AL1128" s="2">
        <v>3115000</v>
      </c>
      <c r="AM1128" s="2">
        <v>0</v>
      </c>
      <c r="AN1128" s="2"/>
      <c r="AO1128" s="2">
        <v>0</v>
      </c>
      <c r="AP1128" s="2">
        <v>3115000</v>
      </c>
      <c r="AQ1128" s="2">
        <v>3115000</v>
      </c>
      <c r="AR1128" s="2">
        <v>0</v>
      </c>
      <c r="AS1128" s="2">
        <v>0</v>
      </c>
      <c r="AT1128" s="2">
        <v>0</v>
      </c>
      <c r="AU1128" s="2">
        <v>3115000</v>
      </c>
      <c r="AV1128" s="2">
        <v>0</v>
      </c>
      <c r="AW1128" s="4"/>
      <c r="AX1128" t="s">
        <v>75</v>
      </c>
      <c r="AZ1128" t="s">
        <v>3217</v>
      </c>
      <c r="BA1128" t="s">
        <v>67</v>
      </c>
      <c r="BB1128" t="s">
        <v>3218</v>
      </c>
      <c r="BC1128" t="s">
        <v>3219</v>
      </c>
      <c r="BD1128" t="s">
        <v>79</v>
      </c>
      <c r="BE1128" t="s">
        <v>324</v>
      </c>
      <c r="BF1128" s="5">
        <v>47058</v>
      </c>
      <c r="BG1128" t="s">
        <v>67</v>
      </c>
      <c r="BH1128">
        <v>1</v>
      </c>
      <c r="BI1128" s="6">
        <v>4450000</v>
      </c>
      <c r="BJ1128" s="6">
        <v>30</v>
      </c>
      <c r="BK1128" s="6">
        <v>1335000</v>
      </c>
      <c r="BL1128" s="6">
        <v>3115000</v>
      </c>
      <c r="BM1128" s="2">
        <v>3115000</v>
      </c>
      <c r="BN1128">
        <f>InvoiceTable[[#This Row],[Giảm giá]]*InvoiceTable[[#This Row],[Số lượng]]</f>
        <v>1335000</v>
      </c>
    </row>
    <row r="1129" spans="1:66" x14ac:dyDescent="0.25">
      <c r="A1129" t="s">
        <v>65</v>
      </c>
      <c r="B1129" t="s">
        <v>3220</v>
      </c>
      <c r="F1129" s="2"/>
      <c r="G1129" s="3">
        <v>46004.596048611114</v>
      </c>
      <c r="H1129" s="3">
        <v>46004.597022071757</v>
      </c>
      <c r="I1129" s="4" t="s">
        <v>67</v>
      </c>
      <c r="J1129" t="s">
        <v>67</v>
      </c>
      <c r="K1129" t="s">
        <v>67</v>
      </c>
      <c r="L1129" t="s">
        <v>2613</v>
      </c>
      <c r="M1129" t="s">
        <v>2614</v>
      </c>
      <c r="N1129" t="s">
        <v>67</v>
      </c>
      <c r="O1129" t="s">
        <v>2615</v>
      </c>
      <c r="P1129" t="s">
        <v>2616</v>
      </c>
      <c r="S1129" s="5"/>
      <c r="T1129" t="s">
        <v>72</v>
      </c>
      <c r="U1129" t="s">
        <v>87</v>
      </c>
      <c r="V1129" t="s">
        <v>74</v>
      </c>
      <c r="W1129" t="s">
        <v>87</v>
      </c>
      <c r="AE1129" s="2"/>
      <c r="AF1129" s="2"/>
      <c r="AG1129" s="2"/>
      <c r="AH1129" s="2"/>
      <c r="AL1129" s="2">
        <v>6389160</v>
      </c>
      <c r="AM1129" s="2">
        <v>0</v>
      </c>
      <c r="AN1129" s="2"/>
      <c r="AO1129" s="2">
        <v>0</v>
      </c>
      <c r="AP1129" s="2">
        <v>6389160</v>
      </c>
      <c r="AQ1129" s="2">
        <v>6389160</v>
      </c>
      <c r="AR1129" s="2">
        <v>0</v>
      </c>
      <c r="AS1129" s="2">
        <v>0</v>
      </c>
      <c r="AT1129" s="2">
        <v>0</v>
      </c>
      <c r="AU1129" s="2">
        <v>6389160</v>
      </c>
      <c r="AV1129" s="2">
        <v>0</v>
      </c>
      <c r="AW1129" s="4"/>
      <c r="AX1129" t="s">
        <v>75</v>
      </c>
      <c r="AZ1129" t="s">
        <v>504</v>
      </c>
      <c r="BA1129" t="s">
        <v>67</v>
      </c>
      <c r="BB1129" t="s">
        <v>505</v>
      </c>
      <c r="BC1129" t="s">
        <v>78</v>
      </c>
      <c r="BD1129" t="s">
        <v>79</v>
      </c>
      <c r="BE1129" t="s">
        <v>506</v>
      </c>
      <c r="BF1129" s="5">
        <v>47604</v>
      </c>
      <c r="BH1129">
        <v>2</v>
      </c>
      <c r="BI1129" s="6">
        <v>1990000</v>
      </c>
      <c r="BJ1129" s="6">
        <v>47</v>
      </c>
      <c r="BK1129" s="6">
        <v>935300</v>
      </c>
      <c r="BL1129" s="6">
        <v>1054700</v>
      </c>
      <c r="BM1129" s="2">
        <v>2109400</v>
      </c>
      <c r="BN1129">
        <f>InvoiceTable[[#This Row],[Giảm giá]]*InvoiceTable[[#This Row],[Số lượng]]</f>
        <v>1870600</v>
      </c>
    </row>
    <row r="1130" spans="1:66" x14ac:dyDescent="0.25">
      <c r="A1130" t="s">
        <v>65</v>
      </c>
      <c r="B1130" t="s">
        <v>3220</v>
      </c>
      <c r="F1130" s="2"/>
      <c r="G1130" s="3">
        <v>46004.596048611114</v>
      </c>
      <c r="H1130" s="3">
        <v>46004.597022071757</v>
      </c>
      <c r="I1130" s="4" t="s">
        <v>67</v>
      </c>
      <c r="J1130" t="s">
        <v>67</v>
      </c>
      <c r="K1130" t="s">
        <v>67</v>
      </c>
      <c r="L1130" t="s">
        <v>2613</v>
      </c>
      <c r="M1130" t="s">
        <v>2614</v>
      </c>
      <c r="N1130" t="s">
        <v>67</v>
      </c>
      <c r="O1130" t="s">
        <v>2615</v>
      </c>
      <c r="P1130" t="s">
        <v>2616</v>
      </c>
      <c r="S1130" s="5"/>
      <c r="T1130" t="s">
        <v>72</v>
      </c>
      <c r="U1130" t="s">
        <v>87</v>
      </c>
      <c r="V1130" t="s">
        <v>74</v>
      </c>
      <c r="W1130" t="s">
        <v>87</v>
      </c>
      <c r="AE1130" s="2"/>
      <c r="AF1130" s="2"/>
      <c r="AG1130" s="2"/>
      <c r="AH1130" s="2"/>
      <c r="AL1130" s="2">
        <v>6389160</v>
      </c>
      <c r="AM1130" s="2">
        <v>0</v>
      </c>
      <c r="AN1130" s="2"/>
      <c r="AO1130" s="2">
        <v>0</v>
      </c>
      <c r="AP1130" s="2">
        <v>6389160</v>
      </c>
      <c r="AQ1130" s="2">
        <v>6389160</v>
      </c>
      <c r="AR1130" s="2">
        <v>0</v>
      </c>
      <c r="AS1130" s="2">
        <v>0</v>
      </c>
      <c r="AT1130" s="2">
        <v>0</v>
      </c>
      <c r="AU1130" s="2">
        <v>6389160</v>
      </c>
      <c r="AV1130" s="2">
        <v>0</v>
      </c>
      <c r="AW1130" s="4"/>
      <c r="AX1130" t="s">
        <v>75</v>
      </c>
      <c r="AZ1130" t="s">
        <v>2620</v>
      </c>
      <c r="BA1130" t="s">
        <v>67</v>
      </c>
      <c r="BB1130" t="s">
        <v>2621</v>
      </c>
      <c r="BC1130" t="s">
        <v>2023</v>
      </c>
      <c r="BD1130" t="s">
        <v>79</v>
      </c>
      <c r="BE1130" t="s">
        <v>682</v>
      </c>
      <c r="BF1130" s="5">
        <v>46357</v>
      </c>
      <c r="BH1130">
        <v>1</v>
      </c>
      <c r="BI1130" s="6">
        <v>1100000</v>
      </c>
      <c r="BJ1130" s="6">
        <v>40</v>
      </c>
      <c r="BK1130" s="6">
        <v>440000</v>
      </c>
      <c r="BL1130" s="6">
        <v>660000</v>
      </c>
      <c r="BM1130" s="2">
        <v>660000</v>
      </c>
      <c r="BN1130">
        <f>InvoiceTable[[#This Row],[Giảm giá]]*InvoiceTable[[#This Row],[Số lượng]]</f>
        <v>440000</v>
      </c>
    </row>
    <row r="1131" spans="1:66" x14ac:dyDescent="0.25">
      <c r="A1131" t="s">
        <v>65</v>
      </c>
      <c r="B1131" t="s">
        <v>3220</v>
      </c>
      <c r="F1131" s="2"/>
      <c r="G1131" s="3">
        <v>46004.596048611114</v>
      </c>
      <c r="H1131" s="3">
        <v>46004.597022071757</v>
      </c>
      <c r="I1131" s="4" t="s">
        <v>67</v>
      </c>
      <c r="J1131" t="s">
        <v>67</v>
      </c>
      <c r="K1131" t="s">
        <v>67</v>
      </c>
      <c r="L1131" t="s">
        <v>2613</v>
      </c>
      <c r="M1131" t="s">
        <v>2614</v>
      </c>
      <c r="N1131" t="s">
        <v>67</v>
      </c>
      <c r="O1131" t="s">
        <v>2615</v>
      </c>
      <c r="P1131" t="s">
        <v>2616</v>
      </c>
      <c r="S1131" s="5"/>
      <c r="T1131" t="s">
        <v>72</v>
      </c>
      <c r="U1131" t="s">
        <v>87</v>
      </c>
      <c r="V1131" t="s">
        <v>74</v>
      </c>
      <c r="W1131" t="s">
        <v>87</v>
      </c>
      <c r="AE1131" s="2"/>
      <c r="AF1131" s="2"/>
      <c r="AG1131" s="2"/>
      <c r="AH1131" s="2"/>
      <c r="AL1131" s="2">
        <v>6389160</v>
      </c>
      <c r="AM1131" s="2">
        <v>0</v>
      </c>
      <c r="AN1131" s="2"/>
      <c r="AO1131" s="2">
        <v>0</v>
      </c>
      <c r="AP1131" s="2">
        <v>6389160</v>
      </c>
      <c r="AQ1131" s="2">
        <v>6389160</v>
      </c>
      <c r="AR1131" s="2">
        <v>0</v>
      </c>
      <c r="AS1131" s="2">
        <v>0</v>
      </c>
      <c r="AT1131" s="2">
        <v>0</v>
      </c>
      <c r="AU1131" s="2">
        <v>6389160</v>
      </c>
      <c r="AV1131" s="2">
        <v>0</v>
      </c>
      <c r="AW1131" s="4"/>
      <c r="AX1131" t="s">
        <v>75</v>
      </c>
      <c r="AZ1131" t="s">
        <v>3221</v>
      </c>
      <c r="BB1131" t="s">
        <v>3222</v>
      </c>
      <c r="BC1131" t="s">
        <v>261</v>
      </c>
      <c r="BD1131" t="s">
        <v>79</v>
      </c>
      <c r="BE1131" t="s">
        <v>3223</v>
      </c>
      <c r="BF1131" s="5">
        <v>46917</v>
      </c>
      <c r="BH1131">
        <v>3</v>
      </c>
      <c r="BI1131" s="6">
        <v>330000</v>
      </c>
      <c r="BJ1131" s="6">
        <v>22</v>
      </c>
      <c r="BK1131" s="6">
        <v>72600</v>
      </c>
      <c r="BL1131" s="6">
        <v>257400</v>
      </c>
      <c r="BM1131" s="2">
        <v>772200</v>
      </c>
      <c r="BN1131">
        <f>InvoiceTable[[#This Row],[Giảm giá]]*InvoiceTable[[#This Row],[Số lượng]]</f>
        <v>217800</v>
      </c>
    </row>
    <row r="1132" spans="1:66" x14ac:dyDescent="0.25">
      <c r="A1132" t="s">
        <v>65</v>
      </c>
      <c r="B1132" t="s">
        <v>3220</v>
      </c>
      <c r="F1132" s="2"/>
      <c r="G1132" s="3">
        <v>46004.596048611114</v>
      </c>
      <c r="H1132" s="3">
        <v>46004.597022071757</v>
      </c>
      <c r="I1132" s="4" t="s">
        <v>67</v>
      </c>
      <c r="J1132" t="s">
        <v>67</v>
      </c>
      <c r="K1132" t="s">
        <v>67</v>
      </c>
      <c r="L1132" t="s">
        <v>2613</v>
      </c>
      <c r="M1132" t="s">
        <v>2614</v>
      </c>
      <c r="N1132" t="s">
        <v>67</v>
      </c>
      <c r="O1132" t="s">
        <v>2615</v>
      </c>
      <c r="P1132" t="s">
        <v>2616</v>
      </c>
      <c r="S1132" s="5"/>
      <c r="T1132" t="s">
        <v>72</v>
      </c>
      <c r="U1132" t="s">
        <v>87</v>
      </c>
      <c r="V1132" t="s">
        <v>74</v>
      </c>
      <c r="W1132" t="s">
        <v>87</v>
      </c>
      <c r="AE1132" s="2"/>
      <c r="AF1132" s="2"/>
      <c r="AG1132" s="2"/>
      <c r="AH1132" s="2"/>
      <c r="AL1132" s="2">
        <v>6389160</v>
      </c>
      <c r="AM1132" s="2">
        <v>0</v>
      </c>
      <c r="AN1132" s="2"/>
      <c r="AO1132" s="2">
        <v>0</v>
      </c>
      <c r="AP1132" s="2">
        <v>6389160</v>
      </c>
      <c r="AQ1132" s="2">
        <v>6389160</v>
      </c>
      <c r="AR1132" s="2">
        <v>0</v>
      </c>
      <c r="AS1132" s="2">
        <v>0</v>
      </c>
      <c r="AT1132" s="2">
        <v>0</v>
      </c>
      <c r="AU1132" s="2">
        <v>6389160</v>
      </c>
      <c r="AV1132" s="2">
        <v>0</v>
      </c>
      <c r="AW1132" s="4"/>
      <c r="AX1132" t="s">
        <v>75</v>
      </c>
      <c r="AZ1132" t="s">
        <v>3224</v>
      </c>
      <c r="BA1132" t="s">
        <v>67</v>
      </c>
      <c r="BB1132" t="s">
        <v>3225</v>
      </c>
      <c r="BC1132" t="s">
        <v>1189</v>
      </c>
      <c r="BD1132" t="s">
        <v>79</v>
      </c>
      <c r="BE1132" t="s">
        <v>3226</v>
      </c>
      <c r="BF1132" s="5">
        <v>46765</v>
      </c>
      <c r="BG1132" t="s">
        <v>67</v>
      </c>
      <c r="BH1132">
        <v>2</v>
      </c>
      <c r="BI1132" s="6">
        <v>616000</v>
      </c>
      <c r="BJ1132" s="6">
        <v>42</v>
      </c>
      <c r="BK1132" s="6">
        <v>258720</v>
      </c>
      <c r="BL1132" s="6">
        <v>357280</v>
      </c>
      <c r="BM1132" s="2">
        <v>714560</v>
      </c>
      <c r="BN1132">
        <f>InvoiceTable[[#This Row],[Giảm giá]]*InvoiceTable[[#This Row],[Số lượng]]</f>
        <v>517440</v>
      </c>
    </row>
    <row r="1133" spans="1:66" x14ac:dyDescent="0.25">
      <c r="A1133" t="s">
        <v>65</v>
      </c>
      <c r="B1133" t="s">
        <v>3220</v>
      </c>
      <c r="F1133" s="2"/>
      <c r="G1133" s="3">
        <v>46004.596048611114</v>
      </c>
      <c r="H1133" s="3">
        <v>46004.597022071757</v>
      </c>
      <c r="I1133" s="4" t="s">
        <v>67</v>
      </c>
      <c r="J1133" t="s">
        <v>67</v>
      </c>
      <c r="K1133" t="s">
        <v>67</v>
      </c>
      <c r="L1133" t="s">
        <v>2613</v>
      </c>
      <c r="M1133" t="s">
        <v>2614</v>
      </c>
      <c r="N1133" t="s">
        <v>67</v>
      </c>
      <c r="O1133" t="s">
        <v>2615</v>
      </c>
      <c r="P1133" t="s">
        <v>2616</v>
      </c>
      <c r="S1133" s="5"/>
      <c r="T1133" t="s">
        <v>72</v>
      </c>
      <c r="U1133" t="s">
        <v>87</v>
      </c>
      <c r="V1133" t="s">
        <v>74</v>
      </c>
      <c r="W1133" t="s">
        <v>87</v>
      </c>
      <c r="AE1133" s="2"/>
      <c r="AF1133" s="2"/>
      <c r="AG1133" s="2"/>
      <c r="AH1133" s="2"/>
      <c r="AL1133" s="2">
        <v>6389160</v>
      </c>
      <c r="AM1133" s="2">
        <v>0</v>
      </c>
      <c r="AN1133" s="2"/>
      <c r="AO1133" s="2">
        <v>0</v>
      </c>
      <c r="AP1133" s="2">
        <v>6389160</v>
      </c>
      <c r="AQ1133" s="2">
        <v>6389160</v>
      </c>
      <c r="AR1133" s="2">
        <v>0</v>
      </c>
      <c r="AS1133" s="2">
        <v>0</v>
      </c>
      <c r="AT1133" s="2">
        <v>0</v>
      </c>
      <c r="AU1133" s="2">
        <v>6389160</v>
      </c>
      <c r="AV1133" s="2">
        <v>0</v>
      </c>
      <c r="AW1133" s="4"/>
      <c r="AX1133" t="s">
        <v>75</v>
      </c>
      <c r="AZ1133" t="s">
        <v>340</v>
      </c>
      <c r="BA1133" t="s">
        <v>67</v>
      </c>
      <c r="BB1133" t="s">
        <v>341</v>
      </c>
      <c r="BC1133" t="s">
        <v>204</v>
      </c>
      <c r="BD1133" t="s">
        <v>79</v>
      </c>
      <c r="BE1133" t="s">
        <v>334</v>
      </c>
      <c r="BF1133" s="5">
        <v>47209</v>
      </c>
      <c r="BH1133">
        <v>3</v>
      </c>
      <c r="BI1133" s="6">
        <v>710000</v>
      </c>
      <c r="BJ1133" s="6">
        <v>40</v>
      </c>
      <c r="BK1133" s="6">
        <v>284000</v>
      </c>
      <c r="BL1133" s="6">
        <v>426000</v>
      </c>
      <c r="BM1133" s="2">
        <v>1278000</v>
      </c>
      <c r="BN1133">
        <f>InvoiceTable[[#This Row],[Giảm giá]]*InvoiceTable[[#This Row],[Số lượng]]</f>
        <v>852000</v>
      </c>
    </row>
    <row r="1134" spans="1:66" x14ac:dyDescent="0.25">
      <c r="A1134" t="s">
        <v>65</v>
      </c>
      <c r="B1134" t="s">
        <v>3220</v>
      </c>
      <c r="F1134" s="2"/>
      <c r="G1134" s="3">
        <v>46004.596048611114</v>
      </c>
      <c r="H1134" s="3">
        <v>46004.597022071757</v>
      </c>
      <c r="I1134" s="4" t="s">
        <v>67</v>
      </c>
      <c r="J1134" t="s">
        <v>67</v>
      </c>
      <c r="K1134" t="s">
        <v>67</v>
      </c>
      <c r="L1134" t="s">
        <v>2613</v>
      </c>
      <c r="M1134" t="s">
        <v>2614</v>
      </c>
      <c r="N1134" t="s">
        <v>67</v>
      </c>
      <c r="O1134" t="s">
        <v>2615</v>
      </c>
      <c r="P1134" t="s">
        <v>2616</v>
      </c>
      <c r="S1134" s="5"/>
      <c r="T1134" t="s">
        <v>72</v>
      </c>
      <c r="U1134" t="s">
        <v>87</v>
      </c>
      <c r="V1134" t="s">
        <v>74</v>
      </c>
      <c r="W1134" t="s">
        <v>87</v>
      </c>
      <c r="AE1134" s="2"/>
      <c r="AF1134" s="2"/>
      <c r="AG1134" s="2"/>
      <c r="AH1134" s="2"/>
      <c r="AL1134" s="2">
        <v>6389160</v>
      </c>
      <c r="AM1134" s="2">
        <v>0</v>
      </c>
      <c r="AN1134" s="2"/>
      <c r="AO1134" s="2">
        <v>0</v>
      </c>
      <c r="AP1134" s="2">
        <v>6389160</v>
      </c>
      <c r="AQ1134" s="2">
        <v>6389160</v>
      </c>
      <c r="AR1134" s="2">
        <v>0</v>
      </c>
      <c r="AS1134" s="2">
        <v>0</v>
      </c>
      <c r="AT1134" s="2">
        <v>0</v>
      </c>
      <c r="AU1134" s="2">
        <v>6389160</v>
      </c>
      <c r="AV1134" s="2">
        <v>0</v>
      </c>
      <c r="AW1134" s="4"/>
      <c r="AX1134" t="s">
        <v>75</v>
      </c>
      <c r="AZ1134" t="s">
        <v>745</v>
      </c>
      <c r="BA1134" t="s">
        <v>67</v>
      </c>
      <c r="BB1134" t="s">
        <v>746</v>
      </c>
      <c r="BC1134" t="s">
        <v>204</v>
      </c>
      <c r="BD1134" t="s">
        <v>79</v>
      </c>
      <c r="BE1134" t="s">
        <v>142</v>
      </c>
      <c r="BF1134" s="5">
        <v>46844</v>
      </c>
      <c r="BH1134">
        <v>3</v>
      </c>
      <c r="BI1134" s="6">
        <v>475000</v>
      </c>
      <c r="BJ1134" s="6">
        <v>40</v>
      </c>
      <c r="BK1134" s="6">
        <v>190000</v>
      </c>
      <c r="BL1134" s="6">
        <v>285000</v>
      </c>
      <c r="BM1134" s="2">
        <v>855000</v>
      </c>
      <c r="BN1134">
        <f>InvoiceTable[[#This Row],[Giảm giá]]*InvoiceTable[[#This Row],[Số lượng]]</f>
        <v>570000</v>
      </c>
    </row>
    <row r="1135" spans="1:66" x14ac:dyDescent="0.25">
      <c r="A1135" t="s">
        <v>65</v>
      </c>
      <c r="B1135" t="s">
        <v>3227</v>
      </c>
      <c r="F1135" s="2"/>
      <c r="G1135" s="3">
        <v>46004.593204976853</v>
      </c>
      <c r="H1135" s="3">
        <v>46004.59320520833</v>
      </c>
      <c r="I1135" s="4" t="s">
        <v>67</v>
      </c>
      <c r="J1135" t="s">
        <v>67</v>
      </c>
      <c r="K1135" t="s">
        <v>67</v>
      </c>
      <c r="L1135" t="s">
        <v>3228</v>
      </c>
      <c r="M1135" t="s">
        <v>3229</v>
      </c>
      <c r="N1135" t="s">
        <v>67</v>
      </c>
      <c r="O1135" t="s">
        <v>3230</v>
      </c>
      <c r="P1135" t="s">
        <v>3231</v>
      </c>
      <c r="S1135" s="5"/>
      <c r="T1135" t="s">
        <v>72</v>
      </c>
      <c r="U1135" t="s">
        <v>87</v>
      </c>
      <c r="V1135" t="s">
        <v>74</v>
      </c>
      <c r="W1135" t="s">
        <v>87</v>
      </c>
      <c r="AE1135" s="2"/>
      <c r="AF1135" s="2"/>
      <c r="AG1135" s="2"/>
      <c r="AH1135" s="2"/>
      <c r="AL1135" s="2">
        <v>1676200</v>
      </c>
      <c r="AM1135" s="2">
        <v>0</v>
      </c>
      <c r="AN1135" s="2"/>
      <c r="AO1135" s="2">
        <v>0</v>
      </c>
      <c r="AP1135" s="2">
        <v>1676200</v>
      </c>
      <c r="AQ1135" s="2">
        <v>0</v>
      </c>
      <c r="AR1135" s="2">
        <v>0</v>
      </c>
      <c r="AS1135" s="2">
        <v>0</v>
      </c>
      <c r="AT1135" s="2">
        <v>0</v>
      </c>
      <c r="AU1135" s="2">
        <v>0</v>
      </c>
      <c r="AV1135" s="2">
        <v>0</v>
      </c>
      <c r="AW1135" s="4"/>
      <c r="AX1135" t="s">
        <v>75</v>
      </c>
      <c r="AZ1135" t="s">
        <v>3232</v>
      </c>
      <c r="BA1135" t="s">
        <v>67</v>
      </c>
      <c r="BB1135" t="s">
        <v>3233</v>
      </c>
      <c r="BC1135" t="s">
        <v>2169</v>
      </c>
      <c r="BD1135" t="s">
        <v>79</v>
      </c>
      <c r="BE1135" t="s">
        <v>117</v>
      </c>
      <c r="BF1135" s="5">
        <v>46569</v>
      </c>
      <c r="BH1135">
        <v>1</v>
      </c>
      <c r="BI1135" s="6">
        <v>950000</v>
      </c>
      <c r="BJ1135" s="6">
        <v>42</v>
      </c>
      <c r="BK1135" s="6">
        <v>399000</v>
      </c>
      <c r="BL1135" s="6">
        <v>551000</v>
      </c>
      <c r="BM1135" s="2">
        <v>551000</v>
      </c>
      <c r="BN1135">
        <f>InvoiceTable[[#This Row],[Giảm giá]]*InvoiceTable[[#This Row],[Số lượng]]</f>
        <v>399000</v>
      </c>
    </row>
    <row r="1136" spans="1:66" x14ac:dyDescent="0.25">
      <c r="A1136" t="s">
        <v>65</v>
      </c>
      <c r="B1136" t="s">
        <v>3227</v>
      </c>
      <c r="F1136" s="2"/>
      <c r="G1136" s="3">
        <v>46004.593204976853</v>
      </c>
      <c r="H1136" s="3">
        <v>46004.59320520833</v>
      </c>
      <c r="I1136" s="4" t="s">
        <v>67</v>
      </c>
      <c r="J1136" t="s">
        <v>67</v>
      </c>
      <c r="K1136" t="s">
        <v>67</v>
      </c>
      <c r="L1136" t="s">
        <v>3228</v>
      </c>
      <c r="M1136" t="s">
        <v>3229</v>
      </c>
      <c r="N1136" t="s">
        <v>67</v>
      </c>
      <c r="O1136" t="s">
        <v>3230</v>
      </c>
      <c r="P1136" t="s">
        <v>3231</v>
      </c>
      <c r="S1136" s="5"/>
      <c r="T1136" t="s">
        <v>72</v>
      </c>
      <c r="U1136" t="s">
        <v>87</v>
      </c>
      <c r="V1136" t="s">
        <v>74</v>
      </c>
      <c r="W1136" t="s">
        <v>87</v>
      </c>
      <c r="AE1136" s="2"/>
      <c r="AF1136" s="2"/>
      <c r="AG1136" s="2"/>
      <c r="AH1136" s="2"/>
      <c r="AL1136" s="2">
        <v>1676200</v>
      </c>
      <c r="AM1136" s="2">
        <v>0</v>
      </c>
      <c r="AN1136" s="2"/>
      <c r="AO1136" s="2">
        <v>0</v>
      </c>
      <c r="AP1136" s="2">
        <v>1676200</v>
      </c>
      <c r="AQ1136" s="2">
        <v>0</v>
      </c>
      <c r="AR1136" s="2">
        <v>0</v>
      </c>
      <c r="AS1136" s="2">
        <v>0</v>
      </c>
      <c r="AT1136" s="2">
        <v>0</v>
      </c>
      <c r="AU1136" s="2">
        <v>0</v>
      </c>
      <c r="AV1136" s="2">
        <v>0</v>
      </c>
      <c r="AW1136" s="4"/>
      <c r="AX1136" t="s">
        <v>75</v>
      </c>
      <c r="AZ1136" t="s">
        <v>3234</v>
      </c>
      <c r="BA1136" t="s">
        <v>67</v>
      </c>
      <c r="BB1136" t="s">
        <v>3235</v>
      </c>
      <c r="BC1136" t="s">
        <v>2169</v>
      </c>
      <c r="BD1136" t="s">
        <v>79</v>
      </c>
      <c r="BE1136" t="s">
        <v>131</v>
      </c>
      <c r="BF1136" s="5">
        <v>46874</v>
      </c>
      <c r="BH1136">
        <v>1</v>
      </c>
      <c r="BI1136" s="6">
        <v>950000</v>
      </c>
      <c r="BJ1136" s="6">
        <v>42</v>
      </c>
      <c r="BK1136" s="6">
        <v>399000</v>
      </c>
      <c r="BL1136" s="6">
        <v>551000</v>
      </c>
      <c r="BM1136" s="2">
        <v>551000</v>
      </c>
      <c r="BN1136">
        <f>InvoiceTable[[#This Row],[Giảm giá]]*InvoiceTable[[#This Row],[Số lượng]]</f>
        <v>399000</v>
      </c>
    </row>
    <row r="1137" spans="1:66" x14ac:dyDescent="0.25">
      <c r="A1137" t="s">
        <v>65</v>
      </c>
      <c r="B1137" t="s">
        <v>3227</v>
      </c>
      <c r="F1137" s="2"/>
      <c r="G1137" s="3">
        <v>46004.593204976853</v>
      </c>
      <c r="H1137" s="3">
        <v>46004.59320520833</v>
      </c>
      <c r="I1137" s="4" t="s">
        <v>67</v>
      </c>
      <c r="J1137" t="s">
        <v>67</v>
      </c>
      <c r="K1137" t="s">
        <v>67</v>
      </c>
      <c r="L1137" t="s">
        <v>3228</v>
      </c>
      <c r="M1137" t="s">
        <v>3229</v>
      </c>
      <c r="N1137" t="s">
        <v>67</v>
      </c>
      <c r="O1137" t="s">
        <v>3230</v>
      </c>
      <c r="P1137" t="s">
        <v>3231</v>
      </c>
      <c r="S1137" s="5"/>
      <c r="T1137" t="s">
        <v>72</v>
      </c>
      <c r="U1137" t="s">
        <v>87</v>
      </c>
      <c r="V1137" t="s">
        <v>74</v>
      </c>
      <c r="W1137" t="s">
        <v>87</v>
      </c>
      <c r="AE1137" s="2"/>
      <c r="AF1137" s="2"/>
      <c r="AG1137" s="2"/>
      <c r="AH1137" s="2"/>
      <c r="AL1137" s="2">
        <v>1676200</v>
      </c>
      <c r="AM1137" s="2">
        <v>0</v>
      </c>
      <c r="AN1137" s="2"/>
      <c r="AO1137" s="2">
        <v>0</v>
      </c>
      <c r="AP1137" s="2">
        <v>1676200</v>
      </c>
      <c r="AQ1137" s="2">
        <v>0</v>
      </c>
      <c r="AR1137" s="2">
        <v>0</v>
      </c>
      <c r="AS1137" s="2">
        <v>0</v>
      </c>
      <c r="AT1137" s="2">
        <v>0</v>
      </c>
      <c r="AU1137" s="2">
        <v>0</v>
      </c>
      <c r="AV1137" s="2">
        <v>0</v>
      </c>
      <c r="AW1137" s="4"/>
      <c r="AX1137" t="s">
        <v>75</v>
      </c>
      <c r="AZ1137" t="s">
        <v>3236</v>
      </c>
      <c r="BA1137" t="s">
        <v>67</v>
      </c>
      <c r="BB1137" t="s">
        <v>3237</v>
      </c>
      <c r="BC1137" t="s">
        <v>2169</v>
      </c>
      <c r="BD1137" t="s">
        <v>79</v>
      </c>
      <c r="BE1137" t="s">
        <v>131</v>
      </c>
      <c r="BF1137" s="5">
        <v>46874</v>
      </c>
      <c r="BH1137">
        <v>1</v>
      </c>
      <c r="BI1137" s="6">
        <v>990000</v>
      </c>
      <c r="BJ1137" s="6">
        <v>42</v>
      </c>
      <c r="BK1137" s="6">
        <v>415800</v>
      </c>
      <c r="BL1137" s="6">
        <v>574200</v>
      </c>
      <c r="BM1137" s="2">
        <v>574200</v>
      </c>
      <c r="BN1137">
        <f>InvoiceTable[[#This Row],[Giảm giá]]*InvoiceTable[[#This Row],[Số lượng]]</f>
        <v>415800</v>
      </c>
    </row>
    <row r="1138" spans="1:66" x14ac:dyDescent="0.25">
      <c r="A1138" t="s">
        <v>65</v>
      </c>
      <c r="B1138" t="s">
        <v>3238</v>
      </c>
      <c r="F1138" s="2"/>
      <c r="G1138" s="3">
        <v>46004.591813506944</v>
      </c>
      <c r="H1138" s="3">
        <v>46004.591813657411</v>
      </c>
      <c r="I1138" s="4" t="s">
        <v>67</v>
      </c>
      <c r="J1138" t="s">
        <v>67</v>
      </c>
      <c r="K1138" t="s">
        <v>67</v>
      </c>
      <c r="L1138" t="s">
        <v>2175</v>
      </c>
      <c r="M1138" t="s">
        <v>2176</v>
      </c>
      <c r="N1138" t="s">
        <v>67</v>
      </c>
      <c r="O1138" t="s">
        <v>2177</v>
      </c>
      <c r="P1138" t="s">
        <v>2178</v>
      </c>
      <c r="Q1138" t="s">
        <v>67</v>
      </c>
      <c r="R1138" t="s">
        <v>67</v>
      </c>
      <c r="S1138" s="5"/>
      <c r="T1138" t="s">
        <v>72</v>
      </c>
      <c r="U1138" t="s">
        <v>87</v>
      </c>
      <c r="V1138" t="s">
        <v>74</v>
      </c>
      <c r="W1138" t="s">
        <v>87</v>
      </c>
      <c r="AE1138" s="2"/>
      <c r="AF1138" s="2"/>
      <c r="AG1138" s="2"/>
      <c r="AH1138" s="2"/>
      <c r="AL1138" s="2">
        <v>4601300</v>
      </c>
      <c r="AM1138" s="2">
        <v>0</v>
      </c>
      <c r="AN1138" s="2"/>
      <c r="AO1138" s="2">
        <v>0</v>
      </c>
      <c r="AP1138" s="2">
        <v>4601300</v>
      </c>
      <c r="AQ1138" s="2">
        <v>0</v>
      </c>
      <c r="AR1138" s="2">
        <v>0</v>
      </c>
      <c r="AS1138" s="2">
        <v>0</v>
      </c>
      <c r="AT1138" s="2">
        <v>0</v>
      </c>
      <c r="AU1138" s="2">
        <v>0</v>
      </c>
      <c r="AV1138" s="2">
        <v>0</v>
      </c>
      <c r="AW1138" s="4"/>
      <c r="AX1138" t="s">
        <v>75</v>
      </c>
      <c r="AZ1138" t="s">
        <v>2221</v>
      </c>
      <c r="BA1138" t="s">
        <v>67</v>
      </c>
      <c r="BB1138" t="s">
        <v>2222</v>
      </c>
      <c r="BC1138" t="s">
        <v>344</v>
      </c>
      <c r="BD1138" t="s">
        <v>79</v>
      </c>
      <c r="BE1138" t="s">
        <v>142</v>
      </c>
      <c r="BF1138" s="5">
        <v>46844</v>
      </c>
      <c r="BH1138">
        <v>2</v>
      </c>
      <c r="BI1138" s="6">
        <v>880000</v>
      </c>
      <c r="BJ1138" s="6">
        <v>42</v>
      </c>
      <c r="BK1138" s="6">
        <v>369600</v>
      </c>
      <c r="BL1138" s="6">
        <v>510400</v>
      </c>
      <c r="BM1138" s="2">
        <v>1020800</v>
      </c>
      <c r="BN1138">
        <f>InvoiceTable[[#This Row],[Giảm giá]]*InvoiceTable[[#This Row],[Số lượng]]</f>
        <v>739200</v>
      </c>
    </row>
    <row r="1139" spans="1:66" x14ac:dyDescent="0.25">
      <c r="A1139" t="s">
        <v>65</v>
      </c>
      <c r="B1139" t="s">
        <v>3238</v>
      </c>
      <c r="F1139" s="2"/>
      <c r="G1139" s="3">
        <v>46004.591813506944</v>
      </c>
      <c r="H1139" s="3">
        <v>46004.591813657411</v>
      </c>
      <c r="I1139" s="4" t="s">
        <v>67</v>
      </c>
      <c r="J1139" t="s">
        <v>67</v>
      </c>
      <c r="K1139" t="s">
        <v>67</v>
      </c>
      <c r="L1139" t="s">
        <v>2175</v>
      </c>
      <c r="M1139" t="s">
        <v>2176</v>
      </c>
      <c r="N1139" t="s">
        <v>67</v>
      </c>
      <c r="O1139" t="s">
        <v>2177</v>
      </c>
      <c r="P1139" t="s">
        <v>2178</v>
      </c>
      <c r="Q1139" t="s">
        <v>67</v>
      </c>
      <c r="R1139" t="s">
        <v>67</v>
      </c>
      <c r="S1139" s="5"/>
      <c r="T1139" t="s">
        <v>72</v>
      </c>
      <c r="U1139" t="s">
        <v>87</v>
      </c>
      <c r="V1139" t="s">
        <v>74</v>
      </c>
      <c r="W1139" t="s">
        <v>87</v>
      </c>
      <c r="AE1139" s="2"/>
      <c r="AF1139" s="2"/>
      <c r="AG1139" s="2"/>
      <c r="AH1139" s="2"/>
      <c r="AL1139" s="2">
        <v>4601300</v>
      </c>
      <c r="AM1139" s="2">
        <v>0</v>
      </c>
      <c r="AN1139" s="2"/>
      <c r="AO1139" s="2">
        <v>0</v>
      </c>
      <c r="AP1139" s="2">
        <v>4601300</v>
      </c>
      <c r="AQ1139" s="2">
        <v>0</v>
      </c>
      <c r="AR1139" s="2">
        <v>0</v>
      </c>
      <c r="AS1139" s="2">
        <v>0</v>
      </c>
      <c r="AT1139" s="2">
        <v>0</v>
      </c>
      <c r="AU1139" s="2">
        <v>0</v>
      </c>
      <c r="AV1139" s="2">
        <v>0</v>
      </c>
      <c r="AW1139" s="4"/>
      <c r="AX1139" t="s">
        <v>75</v>
      </c>
      <c r="AZ1139" t="s">
        <v>2818</v>
      </c>
      <c r="BA1139" t="s">
        <v>67</v>
      </c>
      <c r="BB1139" t="s">
        <v>2819</v>
      </c>
      <c r="BC1139" t="s">
        <v>204</v>
      </c>
      <c r="BD1139" t="s">
        <v>79</v>
      </c>
      <c r="BE1139" t="s">
        <v>205</v>
      </c>
      <c r="BF1139" s="5">
        <v>47453</v>
      </c>
      <c r="BH1139">
        <v>15</v>
      </c>
      <c r="BI1139" s="6">
        <v>385000</v>
      </c>
      <c r="BJ1139" s="6">
        <v>38</v>
      </c>
      <c r="BK1139" s="6">
        <v>146300</v>
      </c>
      <c r="BL1139" s="6">
        <v>238700</v>
      </c>
      <c r="BM1139" s="2">
        <v>3580500</v>
      </c>
      <c r="BN1139">
        <f>InvoiceTable[[#This Row],[Giảm giá]]*InvoiceTable[[#This Row],[Số lượng]]</f>
        <v>2194500</v>
      </c>
    </row>
    <row r="1140" spans="1:66" x14ac:dyDescent="0.25">
      <c r="A1140" t="s">
        <v>65</v>
      </c>
      <c r="B1140" t="s">
        <v>3239</v>
      </c>
      <c r="F1140" s="2"/>
      <c r="G1140" s="3">
        <v>46004.579628553241</v>
      </c>
      <c r="H1140" s="3">
        <v>46004.57962866898</v>
      </c>
      <c r="I1140" s="4" t="s">
        <v>67</v>
      </c>
      <c r="J1140" t="s">
        <v>67</v>
      </c>
      <c r="K1140" t="s">
        <v>67</v>
      </c>
      <c r="L1140" t="s">
        <v>1952</v>
      </c>
      <c r="M1140" t="s">
        <v>1953</v>
      </c>
      <c r="N1140" t="s">
        <v>67</v>
      </c>
      <c r="Q1140" t="s">
        <v>67</v>
      </c>
      <c r="R1140" t="s">
        <v>67</v>
      </c>
      <c r="S1140" s="5"/>
      <c r="T1140" t="s">
        <v>72</v>
      </c>
      <c r="U1140" t="s">
        <v>87</v>
      </c>
      <c r="V1140" t="s">
        <v>74</v>
      </c>
      <c r="W1140" t="s">
        <v>87</v>
      </c>
      <c r="AE1140" s="2"/>
      <c r="AF1140" s="2"/>
      <c r="AG1140" s="2"/>
      <c r="AH1140" s="2"/>
      <c r="AK1140" t="s">
        <v>354</v>
      </c>
      <c r="AL1140" s="2">
        <v>17300000</v>
      </c>
      <c r="AM1140" s="2">
        <v>8650000</v>
      </c>
      <c r="AN1140" s="2"/>
      <c r="AO1140" s="2">
        <v>0</v>
      </c>
      <c r="AP1140" s="2">
        <v>8650000</v>
      </c>
      <c r="AQ1140" s="2">
        <v>0</v>
      </c>
      <c r="AR1140" s="2">
        <v>0</v>
      </c>
      <c r="AS1140" s="2">
        <v>0</v>
      </c>
      <c r="AT1140" s="2">
        <v>0</v>
      </c>
      <c r="AU1140" s="2">
        <v>0</v>
      </c>
      <c r="AV1140" s="2">
        <v>0</v>
      </c>
      <c r="AW1140" s="4"/>
      <c r="AX1140" t="s">
        <v>75</v>
      </c>
      <c r="AZ1140" t="s">
        <v>1199</v>
      </c>
      <c r="BA1140" t="s">
        <v>67</v>
      </c>
      <c r="BB1140" t="s">
        <v>1200</v>
      </c>
      <c r="BC1140" t="s">
        <v>78</v>
      </c>
      <c r="BD1140" t="s">
        <v>79</v>
      </c>
      <c r="BE1140" t="s">
        <v>131</v>
      </c>
      <c r="BF1140" s="5">
        <v>46874</v>
      </c>
      <c r="BH1140">
        <v>5</v>
      </c>
      <c r="BI1140" s="6">
        <v>2700000</v>
      </c>
      <c r="BJ1140" s="6">
        <v>0</v>
      </c>
      <c r="BK1140" s="6">
        <v>0</v>
      </c>
      <c r="BL1140" s="6">
        <v>2700000</v>
      </c>
      <c r="BM1140" s="2">
        <v>13500000</v>
      </c>
      <c r="BN1140">
        <f>InvoiceTable[[#This Row],[Giảm giá]]*InvoiceTable[[#This Row],[Số lượng]]</f>
        <v>0</v>
      </c>
    </row>
    <row r="1141" spans="1:66" x14ac:dyDescent="0.25">
      <c r="A1141" t="s">
        <v>65</v>
      </c>
      <c r="B1141" t="s">
        <v>3239</v>
      </c>
      <c r="F1141" s="2"/>
      <c r="G1141" s="3">
        <v>46004.579628553241</v>
      </c>
      <c r="H1141" s="3">
        <v>46004.57962866898</v>
      </c>
      <c r="I1141" s="4" t="s">
        <v>67</v>
      </c>
      <c r="J1141" t="s">
        <v>67</v>
      </c>
      <c r="K1141" t="s">
        <v>67</v>
      </c>
      <c r="L1141" t="s">
        <v>1952</v>
      </c>
      <c r="M1141" t="s">
        <v>1953</v>
      </c>
      <c r="N1141" t="s">
        <v>67</v>
      </c>
      <c r="Q1141" t="s">
        <v>67</v>
      </c>
      <c r="R1141" t="s">
        <v>67</v>
      </c>
      <c r="S1141" s="5"/>
      <c r="T1141" t="s">
        <v>72</v>
      </c>
      <c r="U1141" t="s">
        <v>87</v>
      </c>
      <c r="V1141" t="s">
        <v>74</v>
      </c>
      <c r="W1141" t="s">
        <v>87</v>
      </c>
      <c r="AE1141" s="2"/>
      <c r="AF1141" s="2"/>
      <c r="AG1141" s="2"/>
      <c r="AH1141" s="2"/>
      <c r="AK1141" t="s">
        <v>354</v>
      </c>
      <c r="AL1141" s="2">
        <v>17300000</v>
      </c>
      <c r="AM1141" s="2">
        <v>8650000</v>
      </c>
      <c r="AN1141" s="2"/>
      <c r="AO1141" s="2">
        <v>0</v>
      </c>
      <c r="AP1141" s="2">
        <v>8650000</v>
      </c>
      <c r="AQ1141" s="2">
        <v>0</v>
      </c>
      <c r="AR1141" s="2">
        <v>0</v>
      </c>
      <c r="AS1141" s="2">
        <v>0</v>
      </c>
      <c r="AT1141" s="2">
        <v>0</v>
      </c>
      <c r="AU1141" s="2">
        <v>0</v>
      </c>
      <c r="AV1141" s="2">
        <v>0</v>
      </c>
      <c r="AW1141" s="4"/>
      <c r="AX1141" t="s">
        <v>75</v>
      </c>
      <c r="AZ1141" t="s">
        <v>527</v>
      </c>
      <c r="BA1141" t="s">
        <v>67</v>
      </c>
      <c r="BB1141" t="s">
        <v>528</v>
      </c>
      <c r="BC1141" t="s">
        <v>78</v>
      </c>
      <c r="BD1141" t="s">
        <v>79</v>
      </c>
      <c r="BE1141" t="s">
        <v>317</v>
      </c>
      <c r="BF1141" s="5">
        <v>46935</v>
      </c>
      <c r="BH1141">
        <v>1</v>
      </c>
      <c r="BI1141" s="6">
        <v>3800000</v>
      </c>
      <c r="BJ1141" s="6">
        <v>0</v>
      </c>
      <c r="BK1141" s="6">
        <v>0</v>
      </c>
      <c r="BL1141" s="6">
        <v>3800000</v>
      </c>
      <c r="BM1141" s="2">
        <v>3800000</v>
      </c>
      <c r="BN1141">
        <f>InvoiceTable[[#This Row],[Giảm giá]]*InvoiceTable[[#This Row],[Số lượng]]</f>
        <v>0</v>
      </c>
    </row>
    <row r="1142" spans="1:66" x14ac:dyDescent="0.25">
      <c r="A1142" t="s">
        <v>65</v>
      </c>
      <c r="B1142" t="s">
        <v>3240</v>
      </c>
      <c r="F1142" s="2"/>
      <c r="G1142" s="3">
        <v>46004.550357905093</v>
      </c>
      <c r="H1142" s="3">
        <v>46004.550358067128</v>
      </c>
      <c r="I1142" s="4" t="s">
        <v>67</v>
      </c>
      <c r="J1142" t="s">
        <v>3241</v>
      </c>
      <c r="K1142" t="s">
        <v>67</v>
      </c>
      <c r="L1142" t="s">
        <v>3242</v>
      </c>
      <c r="M1142" t="s">
        <v>3243</v>
      </c>
      <c r="N1142" t="s">
        <v>67</v>
      </c>
      <c r="O1142" t="s">
        <v>3244</v>
      </c>
      <c r="Q1142" t="s">
        <v>67</v>
      </c>
      <c r="R1142" t="s">
        <v>67</v>
      </c>
      <c r="S1142" s="5"/>
      <c r="T1142" t="s">
        <v>72</v>
      </c>
      <c r="U1142" t="s">
        <v>102</v>
      </c>
      <c r="V1142" t="s">
        <v>74</v>
      </c>
      <c r="W1142" t="s">
        <v>87</v>
      </c>
      <c r="AE1142" s="2"/>
      <c r="AF1142" s="2"/>
      <c r="AG1142" s="2"/>
      <c r="AH1142" s="2"/>
      <c r="AK1142" t="s">
        <v>3245</v>
      </c>
      <c r="AL1142" s="2">
        <v>346500</v>
      </c>
      <c r="AM1142" s="2">
        <v>0</v>
      </c>
      <c r="AN1142" s="2"/>
      <c r="AO1142" s="2">
        <v>0</v>
      </c>
      <c r="AP1142" s="2">
        <v>346500</v>
      </c>
      <c r="AQ1142" s="2">
        <v>0</v>
      </c>
      <c r="AR1142" s="2">
        <v>0</v>
      </c>
      <c r="AS1142" s="2">
        <v>0</v>
      </c>
      <c r="AT1142" s="2">
        <v>0</v>
      </c>
      <c r="AU1142" s="2">
        <v>0</v>
      </c>
      <c r="AV1142" s="2">
        <v>0</v>
      </c>
      <c r="AW1142" s="4"/>
      <c r="AX1142" t="s">
        <v>75</v>
      </c>
      <c r="AZ1142" t="s">
        <v>259</v>
      </c>
      <c r="BA1142" t="s">
        <v>67</v>
      </c>
      <c r="BB1142" t="s">
        <v>260</v>
      </c>
      <c r="BC1142" t="s">
        <v>261</v>
      </c>
      <c r="BD1142" t="s">
        <v>79</v>
      </c>
      <c r="BE1142" t="s">
        <v>293</v>
      </c>
      <c r="BF1142" s="5">
        <v>46722</v>
      </c>
      <c r="BH1142">
        <v>1</v>
      </c>
      <c r="BI1142" s="6">
        <v>450000</v>
      </c>
      <c r="BJ1142" s="6">
        <v>23</v>
      </c>
      <c r="BK1142" s="6">
        <v>103500</v>
      </c>
      <c r="BL1142" s="6">
        <v>346500</v>
      </c>
      <c r="BM1142" s="2">
        <v>346500</v>
      </c>
      <c r="BN1142">
        <f>InvoiceTable[[#This Row],[Giảm giá]]*InvoiceTable[[#This Row],[Số lượng]]</f>
        <v>103500</v>
      </c>
    </row>
    <row r="1143" spans="1:66" x14ac:dyDescent="0.25">
      <c r="A1143" t="s">
        <v>65</v>
      </c>
      <c r="B1143" t="s">
        <v>3246</v>
      </c>
      <c r="F1143" s="2"/>
      <c r="G1143" s="3">
        <v>46004.550179166668</v>
      </c>
      <c r="H1143" s="3">
        <v>46004.550179363425</v>
      </c>
      <c r="I1143" s="4" t="s">
        <v>67</v>
      </c>
      <c r="J1143" t="s">
        <v>3247</v>
      </c>
      <c r="K1143" t="s">
        <v>67</v>
      </c>
      <c r="L1143" t="s">
        <v>2013</v>
      </c>
      <c r="M1143" t="s">
        <v>2014</v>
      </c>
      <c r="N1143" t="s">
        <v>67</v>
      </c>
      <c r="O1143" t="s">
        <v>2015</v>
      </c>
      <c r="P1143" t="s">
        <v>2016</v>
      </c>
      <c r="Q1143" t="s">
        <v>67</v>
      </c>
      <c r="R1143" t="s">
        <v>67</v>
      </c>
      <c r="S1143" s="5"/>
      <c r="T1143" t="s">
        <v>72</v>
      </c>
      <c r="U1143" t="s">
        <v>102</v>
      </c>
      <c r="V1143" t="s">
        <v>74</v>
      </c>
      <c r="W1143" t="s">
        <v>87</v>
      </c>
      <c r="AE1143" s="2"/>
      <c r="AF1143" s="2"/>
      <c r="AG1143" s="2"/>
      <c r="AH1143" s="2"/>
      <c r="AK1143" t="s">
        <v>1003</v>
      </c>
      <c r="AL1143" s="2">
        <v>2744000</v>
      </c>
      <c r="AM1143" s="2">
        <v>0</v>
      </c>
      <c r="AN1143" s="2"/>
      <c r="AO1143" s="2">
        <v>0</v>
      </c>
      <c r="AP1143" s="2">
        <v>2744000</v>
      </c>
      <c r="AQ1143" s="2">
        <v>0</v>
      </c>
      <c r="AR1143" s="2">
        <v>0</v>
      </c>
      <c r="AS1143" s="2">
        <v>0</v>
      </c>
      <c r="AT1143" s="2">
        <v>0</v>
      </c>
      <c r="AU1143" s="2">
        <v>0</v>
      </c>
      <c r="AV1143" s="2">
        <v>0</v>
      </c>
      <c r="AW1143" s="4"/>
      <c r="AX1143" t="s">
        <v>75</v>
      </c>
      <c r="AZ1143" t="s">
        <v>3248</v>
      </c>
      <c r="BA1143" t="s">
        <v>67</v>
      </c>
      <c r="BB1143" t="s">
        <v>3249</v>
      </c>
      <c r="BC1143" t="s">
        <v>721</v>
      </c>
      <c r="BD1143" t="s">
        <v>79</v>
      </c>
      <c r="BE1143" t="s">
        <v>216</v>
      </c>
      <c r="BF1143" s="5">
        <v>46784</v>
      </c>
      <c r="BH1143">
        <v>5</v>
      </c>
      <c r="BI1143" s="6">
        <v>980000</v>
      </c>
      <c r="BJ1143" s="6">
        <v>44</v>
      </c>
      <c r="BK1143" s="6">
        <v>431200</v>
      </c>
      <c r="BL1143" s="6">
        <v>548800</v>
      </c>
      <c r="BM1143" s="2">
        <v>2744000</v>
      </c>
      <c r="BN1143">
        <f>InvoiceTable[[#This Row],[Giảm giá]]*InvoiceTable[[#This Row],[Số lượng]]</f>
        <v>2156000</v>
      </c>
    </row>
    <row r="1144" spans="1:66" x14ac:dyDescent="0.25">
      <c r="A1144" t="s">
        <v>65</v>
      </c>
      <c r="B1144" t="s">
        <v>3250</v>
      </c>
      <c r="F1144" s="2"/>
      <c r="G1144" s="3">
        <v>46004.550026504628</v>
      </c>
      <c r="H1144" s="3">
        <v>46004.550026620367</v>
      </c>
      <c r="I1144" s="4" t="s">
        <v>67</v>
      </c>
      <c r="J1144" t="s">
        <v>3251</v>
      </c>
      <c r="K1144" t="s">
        <v>67</v>
      </c>
      <c r="L1144" t="s">
        <v>999</v>
      </c>
      <c r="M1144" t="s">
        <v>1000</v>
      </c>
      <c r="N1144" t="s">
        <v>67</v>
      </c>
      <c r="O1144" t="s">
        <v>1001</v>
      </c>
      <c r="P1144" t="s">
        <v>1002</v>
      </c>
      <c r="S1144" s="5"/>
      <c r="T1144" t="s">
        <v>72</v>
      </c>
      <c r="U1144" t="s">
        <v>102</v>
      </c>
      <c r="V1144" t="s">
        <v>74</v>
      </c>
      <c r="W1144" t="s">
        <v>87</v>
      </c>
      <c r="AE1144" s="2"/>
      <c r="AF1144" s="2"/>
      <c r="AG1144" s="2"/>
      <c r="AH1144" s="2"/>
      <c r="AK1144" t="s">
        <v>3252</v>
      </c>
      <c r="AL1144" s="2">
        <v>1345280</v>
      </c>
      <c r="AM1144" s="2">
        <v>0</v>
      </c>
      <c r="AN1144" s="2"/>
      <c r="AO1144" s="2">
        <v>0</v>
      </c>
      <c r="AP1144" s="2">
        <v>1345280</v>
      </c>
      <c r="AQ1144" s="2">
        <v>0</v>
      </c>
      <c r="AR1144" s="2">
        <v>0</v>
      </c>
      <c r="AS1144" s="2">
        <v>0</v>
      </c>
      <c r="AT1144" s="2">
        <v>0</v>
      </c>
      <c r="AU1144" s="2">
        <v>0</v>
      </c>
      <c r="AV1144" s="2">
        <v>0</v>
      </c>
      <c r="AW1144" s="4"/>
      <c r="AX1144" t="s">
        <v>75</v>
      </c>
      <c r="AZ1144" t="s">
        <v>1215</v>
      </c>
      <c r="BA1144" t="s">
        <v>67</v>
      </c>
      <c r="BB1144" t="s">
        <v>1216</v>
      </c>
      <c r="BC1144" t="s">
        <v>770</v>
      </c>
      <c r="BD1144" t="s">
        <v>79</v>
      </c>
      <c r="BE1144" t="s">
        <v>198</v>
      </c>
      <c r="BF1144" s="5">
        <v>46753</v>
      </c>
      <c r="BH1144">
        <v>1</v>
      </c>
      <c r="BI1144" s="6">
        <v>250000</v>
      </c>
      <c r="BJ1144" s="6">
        <v>44</v>
      </c>
      <c r="BK1144" s="6">
        <v>110000</v>
      </c>
      <c r="BL1144" s="6">
        <v>140000</v>
      </c>
      <c r="BM1144" s="2">
        <v>140000</v>
      </c>
      <c r="BN1144">
        <f>InvoiceTable[[#This Row],[Giảm giá]]*InvoiceTable[[#This Row],[Số lượng]]</f>
        <v>110000</v>
      </c>
    </row>
    <row r="1145" spans="1:66" x14ac:dyDescent="0.25">
      <c r="A1145" t="s">
        <v>65</v>
      </c>
      <c r="B1145" t="s">
        <v>3250</v>
      </c>
      <c r="F1145" s="2"/>
      <c r="G1145" s="3">
        <v>46004.550026504628</v>
      </c>
      <c r="H1145" s="3">
        <v>46004.550026620367</v>
      </c>
      <c r="I1145" s="4" t="s">
        <v>67</v>
      </c>
      <c r="J1145" t="s">
        <v>3251</v>
      </c>
      <c r="K1145" t="s">
        <v>67</v>
      </c>
      <c r="L1145" t="s">
        <v>999</v>
      </c>
      <c r="M1145" t="s">
        <v>1000</v>
      </c>
      <c r="N1145" t="s">
        <v>67</v>
      </c>
      <c r="O1145" t="s">
        <v>1001</v>
      </c>
      <c r="P1145" t="s">
        <v>1002</v>
      </c>
      <c r="S1145" s="5"/>
      <c r="T1145" t="s">
        <v>72</v>
      </c>
      <c r="U1145" t="s">
        <v>102</v>
      </c>
      <c r="V1145" t="s">
        <v>74</v>
      </c>
      <c r="W1145" t="s">
        <v>87</v>
      </c>
      <c r="AE1145" s="2"/>
      <c r="AF1145" s="2"/>
      <c r="AG1145" s="2"/>
      <c r="AH1145" s="2"/>
      <c r="AK1145" t="s">
        <v>3252</v>
      </c>
      <c r="AL1145" s="2">
        <v>1345280</v>
      </c>
      <c r="AM1145" s="2">
        <v>0</v>
      </c>
      <c r="AN1145" s="2"/>
      <c r="AO1145" s="2">
        <v>0</v>
      </c>
      <c r="AP1145" s="2">
        <v>1345280</v>
      </c>
      <c r="AQ1145" s="2">
        <v>0</v>
      </c>
      <c r="AR1145" s="2">
        <v>0</v>
      </c>
      <c r="AS1145" s="2">
        <v>0</v>
      </c>
      <c r="AT1145" s="2">
        <v>0</v>
      </c>
      <c r="AU1145" s="2">
        <v>0</v>
      </c>
      <c r="AV1145" s="2">
        <v>0</v>
      </c>
      <c r="AW1145" s="4"/>
      <c r="AX1145" t="s">
        <v>75</v>
      </c>
      <c r="AZ1145" t="s">
        <v>2696</v>
      </c>
      <c r="BA1145" t="s">
        <v>67</v>
      </c>
      <c r="BB1145" t="s">
        <v>2697</v>
      </c>
      <c r="BC1145" t="s">
        <v>986</v>
      </c>
      <c r="BD1145" t="s">
        <v>79</v>
      </c>
      <c r="BE1145" t="s">
        <v>188</v>
      </c>
      <c r="BF1145" s="5">
        <v>46905</v>
      </c>
      <c r="BH1145">
        <v>1</v>
      </c>
      <c r="BI1145" s="6">
        <v>1944000</v>
      </c>
      <c r="BJ1145" s="6">
        <v>38</v>
      </c>
      <c r="BK1145" s="6">
        <v>738720</v>
      </c>
      <c r="BL1145" s="6">
        <v>1205280</v>
      </c>
      <c r="BM1145" s="2">
        <v>1205280</v>
      </c>
      <c r="BN1145">
        <f>InvoiceTable[[#This Row],[Giảm giá]]*InvoiceTable[[#This Row],[Số lượng]]</f>
        <v>738720</v>
      </c>
    </row>
    <row r="1146" spans="1:66" x14ac:dyDescent="0.25">
      <c r="A1146" t="s">
        <v>65</v>
      </c>
      <c r="B1146" t="s">
        <v>3253</v>
      </c>
      <c r="F1146" s="2"/>
      <c r="G1146" s="3">
        <v>46004.54853028935</v>
      </c>
      <c r="H1146" s="3">
        <v>46004.548507256943</v>
      </c>
      <c r="I1146" s="4" t="s">
        <v>3066</v>
      </c>
      <c r="J1146" t="s">
        <v>3254</v>
      </c>
      <c r="K1146" t="s">
        <v>67</v>
      </c>
      <c r="L1146" t="s">
        <v>119</v>
      </c>
      <c r="M1146" t="s">
        <v>120</v>
      </c>
      <c r="N1146" t="s">
        <v>67</v>
      </c>
      <c r="O1146" t="s">
        <v>121</v>
      </c>
      <c r="Q1146" t="s">
        <v>122</v>
      </c>
      <c r="R1146" t="s">
        <v>123</v>
      </c>
      <c r="S1146" s="5"/>
      <c r="T1146" t="s">
        <v>72</v>
      </c>
      <c r="U1146" t="s">
        <v>102</v>
      </c>
      <c r="V1146" t="s">
        <v>74</v>
      </c>
      <c r="W1146" t="s">
        <v>87</v>
      </c>
      <c r="AE1146" s="2"/>
      <c r="AF1146" s="2"/>
      <c r="AG1146" s="2"/>
      <c r="AH1146" s="2"/>
      <c r="AK1146" t="s">
        <v>1003</v>
      </c>
      <c r="AL1146" s="2">
        <v>9000000</v>
      </c>
      <c r="AM1146" s="2">
        <v>0</v>
      </c>
      <c r="AN1146" s="2"/>
      <c r="AO1146" s="2">
        <v>0</v>
      </c>
      <c r="AP1146" s="2">
        <v>9000000</v>
      </c>
      <c r="AQ1146" s="2">
        <v>0</v>
      </c>
      <c r="AR1146" s="2">
        <v>0</v>
      </c>
      <c r="AS1146" s="2">
        <v>0</v>
      </c>
      <c r="AT1146" s="2">
        <v>0</v>
      </c>
      <c r="AU1146" s="2">
        <v>0</v>
      </c>
      <c r="AV1146" s="2">
        <v>0</v>
      </c>
      <c r="AW1146" s="4"/>
      <c r="AX1146" t="s">
        <v>75</v>
      </c>
      <c r="AZ1146" t="s">
        <v>483</v>
      </c>
      <c r="BA1146" t="s">
        <v>67</v>
      </c>
      <c r="BB1146" t="s">
        <v>484</v>
      </c>
      <c r="BC1146" t="s">
        <v>485</v>
      </c>
      <c r="BD1146" t="s">
        <v>79</v>
      </c>
      <c r="BE1146" t="s">
        <v>117</v>
      </c>
      <c r="BF1146" s="5">
        <v>46569</v>
      </c>
      <c r="BH1146">
        <v>2</v>
      </c>
      <c r="BI1146" s="6">
        <v>600000</v>
      </c>
      <c r="BJ1146" s="6">
        <v>40</v>
      </c>
      <c r="BK1146" s="6">
        <v>240000</v>
      </c>
      <c r="BL1146" s="6">
        <v>360000</v>
      </c>
      <c r="BM1146" s="2">
        <v>720000</v>
      </c>
      <c r="BN1146">
        <f>InvoiceTable[[#This Row],[Giảm giá]]*InvoiceTable[[#This Row],[Số lượng]]</f>
        <v>480000</v>
      </c>
    </row>
    <row r="1147" spans="1:66" x14ac:dyDescent="0.25">
      <c r="A1147" t="s">
        <v>65</v>
      </c>
      <c r="B1147" t="s">
        <v>3253</v>
      </c>
      <c r="F1147" s="2"/>
      <c r="G1147" s="3">
        <v>46004.54853028935</v>
      </c>
      <c r="H1147" s="3">
        <v>46004.548507256943</v>
      </c>
      <c r="I1147" s="4" t="s">
        <v>3066</v>
      </c>
      <c r="J1147" t="s">
        <v>3254</v>
      </c>
      <c r="K1147" t="s">
        <v>67</v>
      </c>
      <c r="L1147" t="s">
        <v>119</v>
      </c>
      <c r="M1147" t="s">
        <v>120</v>
      </c>
      <c r="N1147" t="s">
        <v>67</v>
      </c>
      <c r="O1147" t="s">
        <v>121</v>
      </c>
      <c r="Q1147" t="s">
        <v>122</v>
      </c>
      <c r="R1147" t="s">
        <v>123</v>
      </c>
      <c r="S1147" s="5"/>
      <c r="T1147" t="s">
        <v>72</v>
      </c>
      <c r="U1147" t="s">
        <v>102</v>
      </c>
      <c r="V1147" t="s">
        <v>74</v>
      </c>
      <c r="W1147" t="s">
        <v>87</v>
      </c>
      <c r="AE1147" s="2"/>
      <c r="AF1147" s="2"/>
      <c r="AG1147" s="2"/>
      <c r="AH1147" s="2"/>
      <c r="AK1147" t="s">
        <v>1003</v>
      </c>
      <c r="AL1147" s="2">
        <v>9000000</v>
      </c>
      <c r="AM1147" s="2">
        <v>0</v>
      </c>
      <c r="AN1147" s="2"/>
      <c r="AO1147" s="2">
        <v>0</v>
      </c>
      <c r="AP1147" s="2">
        <v>9000000</v>
      </c>
      <c r="AQ1147" s="2">
        <v>0</v>
      </c>
      <c r="AR1147" s="2">
        <v>0</v>
      </c>
      <c r="AS1147" s="2">
        <v>0</v>
      </c>
      <c r="AT1147" s="2">
        <v>0</v>
      </c>
      <c r="AU1147" s="2">
        <v>0</v>
      </c>
      <c r="AV1147" s="2">
        <v>0</v>
      </c>
      <c r="AW1147" s="4"/>
      <c r="AX1147" t="s">
        <v>75</v>
      </c>
      <c r="AZ1147" t="s">
        <v>1539</v>
      </c>
      <c r="BA1147" t="s">
        <v>67</v>
      </c>
      <c r="BB1147" t="s">
        <v>1540</v>
      </c>
      <c r="BC1147" t="s">
        <v>485</v>
      </c>
      <c r="BD1147" t="s">
        <v>79</v>
      </c>
      <c r="BE1147" t="s">
        <v>145</v>
      </c>
      <c r="BF1147" s="5">
        <v>46508</v>
      </c>
      <c r="BH1147">
        <v>2</v>
      </c>
      <c r="BI1147" s="6">
        <v>600000</v>
      </c>
      <c r="BJ1147" s="6">
        <v>40</v>
      </c>
      <c r="BK1147" s="6">
        <v>240000</v>
      </c>
      <c r="BL1147" s="6">
        <v>360000</v>
      </c>
      <c r="BM1147" s="2">
        <v>720000</v>
      </c>
      <c r="BN1147">
        <f>InvoiceTable[[#This Row],[Giảm giá]]*InvoiceTable[[#This Row],[Số lượng]]</f>
        <v>480000</v>
      </c>
    </row>
    <row r="1148" spans="1:66" x14ac:dyDescent="0.25">
      <c r="A1148" t="s">
        <v>65</v>
      </c>
      <c r="B1148" t="s">
        <v>3253</v>
      </c>
      <c r="F1148" s="2"/>
      <c r="G1148" s="3">
        <v>46004.54853028935</v>
      </c>
      <c r="H1148" s="3">
        <v>46004.548507256943</v>
      </c>
      <c r="I1148" s="4" t="s">
        <v>3066</v>
      </c>
      <c r="J1148" t="s">
        <v>3254</v>
      </c>
      <c r="K1148" t="s">
        <v>67</v>
      </c>
      <c r="L1148" t="s">
        <v>119</v>
      </c>
      <c r="M1148" t="s">
        <v>120</v>
      </c>
      <c r="N1148" t="s">
        <v>67</v>
      </c>
      <c r="O1148" t="s">
        <v>121</v>
      </c>
      <c r="Q1148" t="s">
        <v>122</v>
      </c>
      <c r="R1148" t="s">
        <v>123</v>
      </c>
      <c r="S1148" s="5"/>
      <c r="T1148" t="s">
        <v>72</v>
      </c>
      <c r="U1148" t="s">
        <v>102</v>
      </c>
      <c r="V1148" t="s">
        <v>74</v>
      </c>
      <c r="W1148" t="s">
        <v>87</v>
      </c>
      <c r="AE1148" s="2"/>
      <c r="AF1148" s="2"/>
      <c r="AG1148" s="2"/>
      <c r="AH1148" s="2"/>
      <c r="AK1148" t="s">
        <v>1003</v>
      </c>
      <c r="AL1148" s="2">
        <v>9000000</v>
      </c>
      <c r="AM1148" s="2">
        <v>0</v>
      </c>
      <c r="AN1148" s="2"/>
      <c r="AO1148" s="2">
        <v>0</v>
      </c>
      <c r="AP1148" s="2">
        <v>9000000</v>
      </c>
      <c r="AQ1148" s="2">
        <v>0</v>
      </c>
      <c r="AR1148" s="2">
        <v>0</v>
      </c>
      <c r="AS1148" s="2">
        <v>0</v>
      </c>
      <c r="AT1148" s="2">
        <v>0</v>
      </c>
      <c r="AU1148" s="2">
        <v>0</v>
      </c>
      <c r="AV1148" s="2">
        <v>0</v>
      </c>
      <c r="AW1148" s="4"/>
      <c r="AX1148" t="s">
        <v>75</v>
      </c>
      <c r="AZ1148" t="s">
        <v>1539</v>
      </c>
      <c r="BA1148" t="s">
        <v>67</v>
      </c>
      <c r="BB1148" t="s">
        <v>1540</v>
      </c>
      <c r="BC1148" t="s">
        <v>485</v>
      </c>
      <c r="BD1148" t="s">
        <v>79</v>
      </c>
      <c r="BE1148" t="s">
        <v>145</v>
      </c>
      <c r="BF1148" s="5">
        <v>46508</v>
      </c>
      <c r="BG1148" t="s">
        <v>67</v>
      </c>
      <c r="BH1148">
        <v>1</v>
      </c>
      <c r="BI1148" s="6">
        <v>600000</v>
      </c>
      <c r="BJ1148" s="6">
        <v>100</v>
      </c>
      <c r="BK1148" s="6">
        <v>600000</v>
      </c>
      <c r="BL1148" s="6">
        <v>0</v>
      </c>
      <c r="BM1148" s="2">
        <v>0</v>
      </c>
      <c r="BN1148">
        <f>InvoiceTable[[#This Row],[Giảm giá]]*InvoiceTable[[#This Row],[Số lượng]]</f>
        <v>600000</v>
      </c>
    </row>
    <row r="1149" spans="1:66" x14ac:dyDescent="0.25">
      <c r="A1149" t="s">
        <v>65</v>
      </c>
      <c r="B1149" t="s">
        <v>3253</v>
      </c>
      <c r="F1149" s="2"/>
      <c r="G1149" s="3">
        <v>46004.54853028935</v>
      </c>
      <c r="H1149" s="3">
        <v>46004.548507256943</v>
      </c>
      <c r="I1149" s="4" t="s">
        <v>3066</v>
      </c>
      <c r="J1149" t="s">
        <v>3254</v>
      </c>
      <c r="K1149" t="s">
        <v>67</v>
      </c>
      <c r="L1149" t="s">
        <v>119</v>
      </c>
      <c r="M1149" t="s">
        <v>120</v>
      </c>
      <c r="N1149" t="s">
        <v>67</v>
      </c>
      <c r="O1149" t="s">
        <v>121</v>
      </c>
      <c r="Q1149" t="s">
        <v>122</v>
      </c>
      <c r="R1149" t="s">
        <v>123</v>
      </c>
      <c r="S1149" s="5"/>
      <c r="T1149" t="s">
        <v>72</v>
      </c>
      <c r="U1149" t="s">
        <v>102</v>
      </c>
      <c r="V1149" t="s">
        <v>74</v>
      </c>
      <c r="W1149" t="s">
        <v>87</v>
      </c>
      <c r="AE1149" s="2"/>
      <c r="AF1149" s="2"/>
      <c r="AG1149" s="2"/>
      <c r="AH1149" s="2"/>
      <c r="AK1149" t="s">
        <v>1003</v>
      </c>
      <c r="AL1149" s="2">
        <v>9000000</v>
      </c>
      <c r="AM1149" s="2">
        <v>0</v>
      </c>
      <c r="AN1149" s="2"/>
      <c r="AO1149" s="2">
        <v>0</v>
      </c>
      <c r="AP1149" s="2">
        <v>9000000</v>
      </c>
      <c r="AQ1149" s="2">
        <v>0</v>
      </c>
      <c r="AR1149" s="2">
        <v>0</v>
      </c>
      <c r="AS1149" s="2">
        <v>0</v>
      </c>
      <c r="AT1149" s="2">
        <v>0</v>
      </c>
      <c r="AU1149" s="2">
        <v>0</v>
      </c>
      <c r="AV1149" s="2">
        <v>0</v>
      </c>
      <c r="AW1149" s="4"/>
      <c r="AX1149" t="s">
        <v>75</v>
      </c>
      <c r="AZ1149" t="s">
        <v>486</v>
      </c>
      <c r="BA1149" t="s">
        <v>67</v>
      </c>
      <c r="BB1149" t="s">
        <v>487</v>
      </c>
      <c r="BC1149" t="s">
        <v>485</v>
      </c>
      <c r="BD1149" t="s">
        <v>79</v>
      </c>
      <c r="BE1149" t="s">
        <v>488</v>
      </c>
      <c r="BF1149" s="5">
        <v>46647</v>
      </c>
      <c r="BH1149">
        <v>6</v>
      </c>
      <c r="BI1149" s="6">
        <v>600000</v>
      </c>
      <c r="BJ1149" s="6">
        <v>40</v>
      </c>
      <c r="BK1149" s="6">
        <v>240000</v>
      </c>
      <c r="BL1149" s="6">
        <v>360000</v>
      </c>
      <c r="BM1149" s="2">
        <v>2160000</v>
      </c>
      <c r="BN1149">
        <f>InvoiceTable[[#This Row],[Giảm giá]]*InvoiceTable[[#This Row],[Số lượng]]</f>
        <v>1440000</v>
      </c>
    </row>
    <row r="1150" spans="1:66" x14ac:dyDescent="0.25">
      <c r="A1150" t="s">
        <v>65</v>
      </c>
      <c r="B1150" t="s">
        <v>3253</v>
      </c>
      <c r="F1150" s="2"/>
      <c r="G1150" s="3">
        <v>46004.54853028935</v>
      </c>
      <c r="H1150" s="3">
        <v>46004.548507256943</v>
      </c>
      <c r="I1150" s="4" t="s">
        <v>3066</v>
      </c>
      <c r="J1150" t="s">
        <v>3254</v>
      </c>
      <c r="K1150" t="s">
        <v>67</v>
      </c>
      <c r="L1150" t="s">
        <v>119</v>
      </c>
      <c r="M1150" t="s">
        <v>120</v>
      </c>
      <c r="N1150" t="s">
        <v>67</v>
      </c>
      <c r="O1150" t="s">
        <v>121</v>
      </c>
      <c r="Q1150" t="s">
        <v>122</v>
      </c>
      <c r="R1150" t="s">
        <v>123</v>
      </c>
      <c r="S1150" s="5"/>
      <c r="T1150" t="s">
        <v>72</v>
      </c>
      <c r="U1150" t="s">
        <v>102</v>
      </c>
      <c r="V1150" t="s">
        <v>74</v>
      </c>
      <c r="W1150" t="s">
        <v>87</v>
      </c>
      <c r="AE1150" s="2"/>
      <c r="AF1150" s="2"/>
      <c r="AG1150" s="2"/>
      <c r="AH1150" s="2"/>
      <c r="AK1150" t="s">
        <v>1003</v>
      </c>
      <c r="AL1150" s="2">
        <v>9000000</v>
      </c>
      <c r="AM1150" s="2">
        <v>0</v>
      </c>
      <c r="AN1150" s="2"/>
      <c r="AO1150" s="2">
        <v>0</v>
      </c>
      <c r="AP1150" s="2">
        <v>9000000</v>
      </c>
      <c r="AQ1150" s="2">
        <v>0</v>
      </c>
      <c r="AR1150" s="2">
        <v>0</v>
      </c>
      <c r="AS1150" s="2">
        <v>0</v>
      </c>
      <c r="AT1150" s="2">
        <v>0</v>
      </c>
      <c r="AU1150" s="2">
        <v>0</v>
      </c>
      <c r="AV1150" s="2">
        <v>0</v>
      </c>
      <c r="AW1150" s="4"/>
      <c r="AX1150" t="s">
        <v>75</v>
      </c>
      <c r="AZ1150" t="s">
        <v>124</v>
      </c>
      <c r="BA1150" t="s">
        <v>67</v>
      </c>
      <c r="BB1150" t="s">
        <v>125</v>
      </c>
      <c r="BC1150" t="s">
        <v>126</v>
      </c>
      <c r="BD1150" t="s">
        <v>79</v>
      </c>
      <c r="BE1150" t="s">
        <v>3255</v>
      </c>
      <c r="BF1150" s="5">
        <v>46722</v>
      </c>
      <c r="BH1150">
        <v>4</v>
      </c>
      <c r="BI1150" s="6">
        <v>1200000</v>
      </c>
      <c r="BJ1150" s="6">
        <v>0</v>
      </c>
      <c r="BK1150" s="6">
        <v>660000</v>
      </c>
      <c r="BL1150" s="6">
        <v>540000</v>
      </c>
      <c r="BM1150" s="2">
        <v>2160000</v>
      </c>
      <c r="BN1150">
        <f>InvoiceTable[[#This Row],[Giảm giá]]*InvoiceTable[[#This Row],[Số lượng]]</f>
        <v>2640000</v>
      </c>
    </row>
    <row r="1151" spans="1:66" x14ac:dyDescent="0.25">
      <c r="A1151" t="s">
        <v>65</v>
      </c>
      <c r="B1151" t="s">
        <v>3253</v>
      </c>
      <c r="F1151" s="2"/>
      <c r="G1151" s="3">
        <v>46004.54853028935</v>
      </c>
      <c r="H1151" s="3">
        <v>46004.548507256943</v>
      </c>
      <c r="I1151" s="4" t="s">
        <v>3066</v>
      </c>
      <c r="J1151" t="s">
        <v>3254</v>
      </c>
      <c r="K1151" t="s">
        <v>67</v>
      </c>
      <c r="L1151" t="s">
        <v>119</v>
      </c>
      <c r="M1151" t="s">
        <v>120</v>
      </c>
      <c r="N1151" t="s">
        <v>67</v>
      </c>
      <c r="O1151" t="s">
        <v>121</v>
      </c>
      <c r="Q1151" t="s">
        <v>122</v>
      </c>
      <c r="R1151" t="s">
        <v>123</v>
      </c>
      <c r="S1151" s="5"/>
      <c r="T1151" t="s">
        <v>72</v>
      </c>
      <c r="U1151" t="s">
        <v>102</v>
      </c>
      <c r="V1151" t="s">
        <v>74</v>
      </c>
      <c r="W1151" t="s">
        <v>87</v>
      </c>
      <c r="AE1151" s="2"/>
      <c r="AF1151" s="2"/>
      <c r="AG1151" s="2"/>
      <c r="AH1151" s="2"/>
      <c r="AK1151" t="s">
        <v>1003</v>
      </c>
      <c r="AL1151" s="2">
        <v>9000000</v>
      </c>
      <c r="AM1151" s="2">
        <v>0</v>
      </c>
      <c r="AN1151" s="2"/>
      <c r="AO1151" s="2">
        <v>0</v>
      </c>
      <c r="AP1151" s="2">
        <v>9000000</v>
      </c>
      <c r="AQ1151" s="2">
        <v>0</v>
      </c>
      <c r="AR1151" s="2">
        <v>0</v>
      </c>
      <c r="AS1151" s="2">
        <v>0</v>
      </c>
      <c r="AT1151" s="2">
        <v>0</v>
      </c>
      <c r="AU1151" s="2">
        <v>0</v>
      </c>
      <c r="AV1151" s="2">
        <v>0</v>
      </c>
      <c r="AW1151" s="4"/>
      <c r="AX1151" t="s">
        <v>75</v>
      </c>
      <c r="AZ1151" t="s">
        <v>124</v>
      </c>
      <c r="BA1151" t="s">
        <v>67</v>
      </c>
      <c r="BB1151" t="s">
        <v>125</v>
      </c>
      <c r="BC1151" t="s">
        <v>126</v>
      </c>
      <c r="BD1151" t="s">
        <v>79</v>
      </c>
      <c r="BE1151" t="s">
        <v>2920</v>
      </c>
      <c r="BF1151" s="5">
        <v>46772</v>
      </c>
      <c r="BG1151" t="s">
        <v>67</v>
      </c>
      <c r="BH1151">
        <v>6</v>
      </c>
      <c r="BI1151" s="6">
        <v>1200000</v>
      </c>
      <c r="BJ1151" s="6">
        <v>0</v>
      </c>
      <c r="BK1151" s="6">
        <v>660000</v>
      </c>
      <c r="BL1151" s="6">
        <v>540000</v>
      </c>
      <c r="BM1151" s="2">
        <v>3240000</v>
      </c>
      <c r="BN1151">
        <f>InvoiceTable[[#This Row],[Giảm giá]]*InvoiceTable[[#This Row],[Số lượng]]</f>
        <v>3960000</v>
      </c>
    </row>
    <row r="1152" spans="1:66" x14ac:dyDescent="0.25">
      <c r="A1152" t="s">
        <v>65</v>
      </c>
      <c r="B1152" t="s">
        <v>3256</v>
      </c>
      <c r="F1152" s="2"/>
      <c r="G1152" s="3">
        <v>46004.548139270832</v>
      </c>
      <c r="H1152" s="3">
        <v>46004.548117245373</v>
      </c>
      <c r="I1152" s="4" t="s">
        <v>3066</v>
      </c>
      <c r="J1152" t="s">
        <v>3257</v>
      </c>
      <c r="K1152" t="s">
        <v>67</v>
      </c>
      <c r="L1152" t="s">
        <v>2013</v>
      </c>
      <c r="M1152" t="s">
        <v>2014</v>
      </c>
      <c r="N1152" t="s">
        <v>67</v>
      </c>
      <c r="O1152" t="s">
        <v>2015</v>
      </c>
      <c r="P1152" t="s">
        <v>2016</v>
      </c>
      <c r="Q1152" t="s">
        <v>67</v>
      </c>
      <c r="R1152" t="s">
        <v>67</v>
      </c>
      <c r="S1152" s="5"/>
      <c r="T1152" t="s">
        <v>72</v>
      </c>
      <c r="U1152" t="s">
        <v>102</v>
      </c>
      <c r="V1152" t="s">
        <v>74</v>
      </c>
      <c r="W1152" t="s">
        <v>87</v>
      </c>
      <c r="AE1152" s="2"/>
      <c r="AF1152" s="2"/>
      <c r="AG1152" s="2"/>
      <c r="AH1152" s="2"/>
      <c r="AK1152" t="s">
        <v>1003</v>
      </c>
      <c r="AL1152" s="2">
        <v>1410000</v>
      </c>
      <c r="AM1152" s="2">
        <v>0</v>
      </c>
      <c r="AN1152" s="2"/>
      <c r="AO1152" s="2">
        <v>0</v>
      </c>
      <c r="AP1152" s="2">
        <v>1410000</v>
      </c>
      <c r="AQ1152" s="2">
        <v>0</v>
      </c>
      <c r="AR1152" s="2">
        <v>0</v>
      </c>
      <c r="AS1152" s="2">
        <v>0</v>
      </c>
      <c r="AT1152" s="2">
        <v>0</v>
      </c>
      <c r="AU1152" s="2">
        <v>0</v>
      </c>
      <c r="AV1152" s="2">
        <v>0</v>
      </c>
      <c r="AW1152" s="4"/>
      <c r="AX1152" t="s">
        <v>75</v>
      </c>
      <c r="AZ1152" t="s">
        <v>438</v>
      </c>
      <c r="BA1152" t="s">
        <v>67</v>
      </c>
      <c r="BB1152" t="s">
        <v>439</v>
      </c>
      <c r="BC1152" t="s">
        <v>440</v>
      </c>
      <c r="BD1152" t="s">
        <v>79</v>
      </c>
      <c r="BE1152" t="s">
        <v>216</v>
      </c>
      <c r="BF1152" s="5">
        <v>46784</v>
      </c>
      <c r="BH1152">
        <v>6</v>
      </c>
      <c r="BI1152" s="6">
        <v>450000</v>
      </c>
      <c r="BJ1152" s="6">
        <v>0</v>
      </c>
      <c r="BK1152" s="6">
        <v>215000</v>
      </c>
      <c r="BL1152" s="6">
        <v>235000</v>
      </c>
      <c r="BM1152" s="2">
        <v>1410000</v>
      </c>
      <c r="BN1152">
        <f>InvoiceTable[[#This Row],[Giảm giá]]*InvoiceTable[[#This Row],[Số lượng]]</f>
        <v>1290000</v>
      </c>
    </row>
    <row r="1153" spans="1:66" x14ac:dyDescent="0.25">
      <c r="A1153" t="s">
        <v>65</v>
      </c>
      <c r="B1153" t="s">
        <v>3258</v>
      </c>
      <c r="F1153" s="2"/>
      <c r="G1153" s="3">
        <v>46004.539751238422</v>
      </c>
      <c r="H1153" s="3">
        <v>46004.539751307871</v>
      </c>
      <c r="I1153" s="4" t="s">
        <v>67</v>
      </c>
      <c r="J1153" t="s">
        <v>67</v>
      </c>
      <c r="K1153" t="s">
        <v>67</v>
      </c>
      <c r="L1153" t="s">
        <v>2346</v>
      </c>
      <c r="M1153" t="s">
        <v>2347</v>
      </c>
      <c r="N1153" t="s">
        <v>2348</v>
      </c>
      <c r="O1153" t="s">
        <v>2349</v>
      </c>
      <c r="P1153" t="s">
        <v>2350</v>
      </c>
      <c r="S1153" s="5"/>
      <c r="T1153" t="s">
        <v>72</v>
      </c>
      <c r="U1153" t="s">
        <v>87</v>
      </c>
      <c r="V1153" t="s">
        <v>74</v>
      </c>
      <c r="W1153" t="s">
        <v>87</v>
      </c>
      <c r="AE1153" s="2"/>
      <c r="AF1153" s="2"/>
      <c r="AG1153" s="2"/>
      <c r="AH1153" s="2"/>
      <c r="AL1153" s="2">
        <v>130000</v>
      </c>
      <c r="AM1153" s="2">
        <v>0</v>
      </c>
      <c r="AN1153" s="2"/>
      <c r="AO1153" s="2">
        <v>0</v>
      </c>
      <c r="AP1153" s="2">
        <v>130000</v>
      </c>
      <c r="AQ1153" s="2">
        <v>130000</v>
      </c>
      <c r="AR1153" s="2">
        <v>0</v>
      </c>
      <c r="AS1153" s="2">
        <v>0</v>
      </c>
      <c r="AT1153" s="2">
        <v>0</v>
      </c>
      <c r="AU1153" s="2">
        <v>130000</v>
      </c>
      <c r="AV1153" s="2">
        <v>0</v>
      </c>
      <c r="AW1153" s="4"/>
      <c r="AX1153" t="s">
        <v>75</v>
      </c>
      <c r="AZ1153" t="s">
        <v>1397</v>
      </c>
      <c r="BA1153" t="s">
        <v>67</v>
      </c>
      <c r="BB1153" t="s">
        <v>1398</v>
      </c>
      <c r="BC1153" t="s">
        <v>126</v>
      </c>
      <c r="BD1153" t="s">
        <v>79</v>
      </c>
      <c r="BE1153" t="s">
        <v>131</v>
      </c>
      <c r="BF1153" s="5">
        <v>46874</v>
      </c>
      <c r="BG1153" t="s">
        <v>67</v>
      </c>
      <c r="BH1153">
        <v>1</v>
      </c>
      <c r="BI1153" s="6">
        <v>350000</v>
      </c>
      <c r="BJ1153" s="6">
        <v>0</v>
      </c>
      <c r="BK1153" s="6">
        <v>220000</v>
      </c>
      <c r="BL1153" s="6">
        <v>130000</v>
      </c>
      <c r="BM1153" s="2">
        <v>130000</v>
      </c>
      <c r="BN1153">
        <f>InvoiceTable[[#This Row],[Giảm giá]]*InvoiceTable[[#This Row],[Số lượng]]</f>
        <v>220000</v>
      </c>
    </row>
    <row r="1154" spans="1:66" x14ac:dyDescent="0.25">
      <c r="A1154" t="s">
        <v>65</v>
      </c>
      <c r="B1154" t="s">
        <v>3259</v>
      </c>
      <c r="F1154" s="2"/>
      <c r="G1154" s="3">
        <v>46004.539202928238</v>
      </c>
      <c r="H1154" s="3">
        <v>46004.53920309028</v>
      </c>
      <c r="I1154" s="4" t="s">
        <v>67</v>
      </c>
      <c r="J1154" t="s">
        <v>67</v>
      </c>
      <c r="K1154" t="s">
        <v>67</v>
      </c>
      <c r="L1154" t="s">
        <v>2346</v>
      </c>
      <c r="M1154" t="s">
        <v>2347</v>
      </c>
      <c r="N1154" t="s">
        <v>2348</v>
      </c>
      <c r="O1154" t="s">
        <v>2349</v>
      </c>
      <c r="P1154" t="s">
        <v>2350</v>
      </c>
      <c r="S1154" s="5"/>
      <c r="T1154" t="s">
        <v>72</v>
      </c>
      <c r="U1154" t="s">
        <v>87</v>
      </c>
      <c r="V1154" t="s">
        <v>74</v>
      </c>
      <c r="W1154" t="s">
        <v>87</v>
      </c>
      <c r="AE1154" s="2"/>
      <c r="AF1154" s="2"/>
      <c r="AG1154" s="2"/>
      <c r="AH1154" s="2"/>
      <c r="AK1154" t="s">
        <v>2351</v>
      </c>
      <c r="AL1154" s="2">
        <v>371700</v>
      </c>
      <c r="AM1154" s="2">
        <v>0</v>
      </c>
      <c r="AN1154" s="2"/>
      <c r="AO1154" s="2">
        <v>0</v>
      </c>
      <c r="AP1154" s="2">
        <v>371700</v>
      </c>
      <c r="AQ1154" s="2">
        <v>371700</v>
      </c>
      <c r="AR1154" s="2">
        <v>0</v>
      </c>
      <c r="AS1154" s="2">
        <v>0</v>
      </c>
      <c r="AT1154" s="2">
        <v>0</v>
      </c>
      <c r="AU1154" s="2">
        <v>371700</v>
      </c>
      <c r="AV1154" s="2">
        <v>0</v>
      </c>
      <c r="AW1154" s="4"/>
      <c r="AX1154" t="s">
        <v>75</v>
      </c>
      <c r="AZ1154" t="s">
        <v>424</v>
      </c>
      <c r="BA1154" t="s">
        <v>67</v>
      </c>
      <c r="BB1154" t="s">
        <v>425</v>
      </c>
      <c r="BC1154" t="s">
        <v>426</v>
      </c>
      <c r="BD1154" t="s">
        <v>79</v>
      </c>
      <c r="BE1154" t="s">
        <v>198</v>
      </c>
      <c r="BF1154" s="5">
        <v>46753</v>
      </c>
      <c r="BH1154">
        <v>1</v>
      </c>
      <c r="BI1154" s="6">
        <v>590000</v>
      </c>
      <c r="BJ1154" s="6">
        <v>37</v>
      </c>
      <c r="BK1154" s="6">
        <v>218300</v>
      </c>
      <c r="BL1154" s="6">
        <v>371700</v>
      </c>
      <c r="BM1154" s="2">
        <v>371700</v>
      </c>
      <c r="BN1154">
        <f>InvoiceTable[[#This Row],[Giảm giá]]*InvoiceTable[[#This Row],[Số lượng]]</f>
        <v>218300</v>
      </c>
    </row>
    <row r="1155" spans="1:66" x14ac:dyDescent="0.25">
      <c r="A1155" t="s">
        <v>65</v>
      </c>
      <c r="B1155" t="s">
        <v>3260</v>
      </c>
      <c r="F1155" s="2"/>
      <c r="G1155" s="3">
        <v>46004.538150578701</v>
      </c>
      <c r="H1155" s="3">
        <v>46004.538150659719</v>
      </c>
      <c r="I1155" s="4" t="s">
        <v>67</v>
      </c>
      <c r="J1155" t="s">
        <v>67</v>
      </c>
      <c r="K1155" t="s">
        <v>67</v>
      </c>
      <c r="L1155" t="s">
        <v>2187</v>
      </c>
      <c r="M1155" t="s">
        <v>2188</v>
      </c>
      <c r="N1155" t="s">
        <v>2189</v>
      </c>
      <c r="O1155" t="s">
        <v>2190</v>
      </c>
      <c r="P1155" t="s">
        <v>2191</v>
      </c>
      <c r="S1155" s="5"/>
      <c r="T1155" t="s">
        <v>72</v>
      </c>
      <c r="U1155" t="s">
        <v>87</v>
      </c>
      <c r="V1155" t="s">
        <v>74</v>
      </c>
      <c r="W1155" t="s">
        <v>87</v>
      </c>
      <c r="AE1155" s="2"/>
      <c r="AF1155" s="2"/>
      <c r="AG1155" s="2"/>
      <c r="AH1155" s="2"/>
      <c r="AL1155" s="2">
        <v>3514320</v>
      </c>
      <c r="AM1155" s="2">
        <v>0</v>
      </c>
      <c r="AN1155" s="2"/>
      <c r="AO1155" s="2">
        <v>0</v>
      </c>
      <c r="AP1155" s="2">
        <v>3514320</v>
      </c>
      <c r="AQ1155" s="2">
        <v>0</v>
      </c>
      <c r="AR1155" s="2">
        <v>0</v>
      </c>
      <c r="AS1155" s="2">
        <v>0</v>
      </c>
      <c r="AT1155" s="2">
        <v>0</v>
      </c>
      <c r="AU1155" s="2">
        <v>0</v>
      </c>
      <c r="AV1155" s="2">
        <v>0</v>
      </c>
      <c r="AW1155" s="4"/>
      <c r="AX1155" t="s">
        <v>75</v>
      </c>
      <c r="AZ1155" t="s">
        <v>984</v>
      </c>
      <c r="BB1155" t="s">
        <v>985</v>
      </c>
      <c r="BC1155" t="s">
        <v>986</v>
      </c>
      <c r="BD1155" t="s">
        <v>79</v>
      </c>
      <c r="BE1155" t="s">
        <v>188</v>
      </c>
      <c r="BF1155" s="5">
        <v>46905</v>
      </c>
      <c r="BH1155">
        <v>2</v>
      </c>
      <c r="BI1155" s="6">
        <v>2430000</v>
      </c>
      <c r="BJ1155" s="6">
        <v>38</v>
      </c>
      <c r="BK1155" s="6">
        <v>923400</v>
      </c>
      <c r="BL1155" s="6">
        <v>1506600</v>
      </c>
      <c r="BM1155" s="2">
        <v>3013200</v>
      </c>
      <c r="BN1155">
        <f>InvoiceTable[[#This Row],[Giảm giá]]*InvoiceTable[[#This Row],[Số lượng]]</f>
        <v>1846800</v>
      </c>
    </row>
    <row r="1156" spans="1:66" x14ac:dyDescent="0.25">
      <c r="A1156" t="s">
        <v>65</v>
      </c>
      <c r="B1156" t="s">
        <v>3260</v>
      </c>
      <c r="F1156" s="2"/>
      <c r="G1156" s="3">
        <v>46004.538150578701</v>
      </c>
      <c r="H1156" s="3">
        <v>46004.538150659719</v>
      </c>
      <c r="I1156" s="4" t="s">
        <v>67</v>
      </c>
      <c r="J1156" t="s">
        <v>67</v>
      </c>
      <c r="K1156" t="s">
        <v>67</v>
      </c>
      <c r="L1156" t="s">
        <v>2187</v>
      </c>
      <c r="M1156" t="s">
        <v>2188</v>
      </c>
      <c r="N1156" t="s">
        <v>2189</v>
      </c>
      <c r="O1156" t="s">
        <v>2190</v>
      </c>
      <c r="P1156" t="s">
        <v>2191</v>
      </c>
      <c r="S1156" s="5"/>
      <c r="T1156" t="s">
        <v>72</v>
      </c>
      <c r="U1156" t="s">
        <v>87</v>
      </c>
      <c r="V1156" t="s">
        <v>74</v>
      </c>
      <c r="W1156" t="s">
        <v>87</v>
      </c>
      <c r="AE1156" s="2"/>
      <c r="AF1156" s="2"/>
      <c r="AG1156" s="2"/>
      <c r="AH1156" s="2"/>
      <c r="AL1156" s="2">
        <v>3514320</v>
      </c>
      <c r="AM1156" s="2">
        <v>0</v>
      </c>
      <c r="AN1156" s="2"/>
      <c r="AO1156" s="2">
        <v>0</v>
      </c>
      <c r="AP1156" s="2">
        <v>3514320</v>
      </c>
      <c r="AQ1156" s="2">
        <v>0</v>
      </c>
      <c r="AR1156" s="2">
        <v>0</v>
      </c>
      <c r="AS1156" s="2">
        <v>0</v>
      </c>
      <c r="AT1156" s="2">
        <v>0</v>
      </c>
      <c r="AU1156" s="2">
        <v>0</v>
      </c>
      <c r="AV1156" s="2">
        <v>0</v>
      </c>
      <c r="AW1156" s="4"/>
      <c r="AX1156" t="s">
        <v>75</v>
      </c>
      <c r="AZ1156" t="s">
        <v>2157</v>
      </c>
      <c r="BA1156" t="s">
        <v>67</v>
      </c>
      <c r="BB1156" t="s">
        <v>2158</v>
      </c>
      <c r="BC1156" t="s">
        <v>191</v>
      </c>
      <c r="BD1156" t="s">
        <v>79</v>
      </c>
      <c r="BE1156" t="s">
        <v>715</v>
      </c>
      <c r="BF1156" s="5">
        <v>46631</v>
      </c>
      <c r="BH1156">
        <v>1</v>
      </c>
      <c r="BI1156" s="6">
        <v>864000</v>
      </c>
      <c r="BJ1156" s="6">
        <v>42</v>
      </c>
      <c r="BK1156" s="6">
        <v>362880</v>
      </c>
      <c r="BL1156" s="6">
        <v>501120</v>
      </c>
      <c r="BM1156" s="2">
        <v>501120</v>
      </c>
      <c r="BN1156">
        <f>InvoiceTable[[#This Row],[Giảm giá]]*InvoiceTable[[#This Row],[Số lượng]]</f>
        <v>362880</v>
      </c>
    </row>
    <row r="1157" spans="1:66" x14ac:dyDescent="0.25">
      <c r="A1157" t="s">
        <v>65</v>
      </c>
      <c r="B1157" t="s">
        <v>3261</v>
      </c>
      <c r="F1157" s="2"/>
      <c r="G1157" s="3">
        <v>46004.519012997684</v>
      </c>
      <c r="H1157" s="3">
        <v>46004.519013159719</v>
      </c>
      <c r="I1157" s="4" t="s">
        <v>67</v>
      </c>
      <c r="J1157" t="s">
        <v>3262</v>
      </c>
      <c r="K1157" t="s">
        <v>67</v>
      </c>
      <c r="L1157" t="s">
        <v>796</v>
      </c>
      <c r="M1157" t="s">
        <v>797</v>
      </c>
      <c r="N1157" t="s">
        <v>67</v>
      </c>
      <c r="O1157" t="s">
        <v>798</v>
      </c>
      <c r="P1157" t="s">
        <v>799</v>
      </c>
      <c r="Q1157" t="s">
        <v>800</v>
      </c>
      <c r="R1157" t="s">
        <v>801</v>
      </c>
      <c r="S1157" s="5"/>
      <c r="T1157" t="s">
        <v>72</v>
      </c>
      <c r="U1157" t="s">
        <v>73</v>
      </c>
      <c r="V1157" t="s">
        <v>74</v>
      </c>
      <c r="W1157" t="s">
        <v>73</v>
      </c>
      <c r="AE1157" s="2"/>
      <c r="AF1157" s="2"/>
      <c r="AG1157" s="2"/>
      <c r="AH1157" s="2"/>
      <c r="AK1157" t="s">
        <v>613</v>
      </c>
      <c r="AL1157" s="2">
        <v>2140350</v>
      </c>
      <c r="AM1157" s="2">
        <v>0</v>
      </c>
      <c r="AN1157" s="2"/>
      <c r="AO1157" s="2">
        <v>0</v>
      </c>
      <c r="AP1157" s="2">
        <v>2140350</v>
      </c>
      <c r="AQ1157" s="2">
        <v>2140350</v>
      </c>
      <c r="AR1157" s="2">
        <v>2140350</v>
      </c>
      <c r="AS1157" s="2">
        <v>0</v>
      </c>
      <c r="AT1157" s="2">
        <v>0</v>
      </c>
      <c r="AU1157" s="2">
        <v>0</v>
      </c>
      <c r="AV1157" s="2">
        <v>0</v>
      </c>
      <c r="AW1157" s="4"/>
      <c r="AX1157" t="s">
        <v>75</v>
      </c>
      <c r="AZ1157" t="s">
        <v>739</v>
      </c>
      <c r="BA1157" t="s">
        <v>67</v>
      </c>
      <c r="BB1157" t="s">
        <v>740</v>
      </c>
      <c r="BC1157" t="s">
        <v>223</v>
      </c>
      <c r="BD1157" t="s">
        <v>79</v>
      </c>
      <c r="BE1157" t="s">
        <v>741</v>
      </c>
      <c r="BF1157" s="5">
        <v>46963</v>
      </c>
      <c r="BH1157">
        <v>2</v>
      </c>
      <c r="BI1157" s="6">
        <v>1685000</v>
      </c>
      <c r="BJ1157" s="6">
        <v>47</v>
      </c>
      <c r="BK1157" s="6">
        <v>791950</v>
      </c>
      <c r="BL1157" s="6">
        <v>893050</v>
      </c>
      <c r="BM1157" s="2">
        <v>1786100</v>
      </c>
      <c r="BN1157">
        <f>InvoiceTable[[#This Row],[Giảm giá]]*InvoiceTable[[#This Row],[Số lượng]]</f>
        <v>1583900</v>
      </c>
    </row>
    <row r="1158" spans="1:66" x14ac:dyDescent="0.25">
      <c r="A1158" t="s">
        <v>65</v>
      </c>
      <c r="B1158" t="s">
        <v>3261</v>
      </c>
      <c r="F1158" s="2"/>
      <c r="G1158" s="3">
        <v>46004.519012997684</v>
      </c>
      <c r="H1158" s="3">
        <v>46004.519013159719</v>
      </c>
      <c r="I1158" s="4" t="s">
        <v>67</v>
      </c>
      <c r="J1158" t="s">
        <v>3262</v>
      </c>
      <c r="K1158" t="s">
        <v>67</v>
      </c>
      <c r="L1158" t="s">
        <v>796</v>
      </c>
      <c r="M1158" t="s">
        <v>797</v>
      </c>
      <c r="N1158" t="s">
        <v>67</v>
      </c>
      <c r="O1158" t="s">
        <v>798</v>
      </c>
      <c r="P1158" t="s">
        <v>799</v>
      </c>
      <c r="Q1158" t="s">
        <v>800</v>
      </c>
      <c r="R1158" t="s">
        <v>801</v>
      </c>
      <c r="S1158" s="5"/>
      <c r="T1158" t="s">
        <v>72</v>
      </c>
      <c r="U1158" t="s">
        <v>73</v>
      </c>
      <c r="V1158" t="s">
        <v>74</v>
      </c>
      <c r="W1158" t="s">
        <v>73</v>
      </c>
      <c r="AE1158" s="2"/>
      <c r="AF1158" s="2"/>
      <c r="AG1158" s="2"/>
      <c r="AH1158" s="2"/>
      <c r="AK1158" t="s">
        <v>613</v>
      </c>
      <c r="AL1158" s="2">
        <v>2140350</v>
      </c>
      <c r="AM1158" s="2">
        <v>0</v>
      </c>
      <c r="AN1158" s="2"/>
      <c r="AO1158" s="2">
        <v>0</v>
      </c>
      <c r="AP1158" s="2">
        <v>2140350</v>
      </c>
      <c r="AQ1158" s="2">
        <v>2140350</v>
      </c>
      <c r="AR1158" s="2">
        <v>2140350</v>
      </c>
      <c r="AS1158" s="2">
        <v>0</v>
      </c>
      <c r="AT1158" s="2">
        <v>0</v>
      </c>
      <c r="AU1158" s="2">
        <v>0</v>
      </c>
      <c r="AV1158" s="2">
        <v>0</v>
      </c>
      <c r="AW1158" s="4"/>
      <c r="AX1158" t="s">
        <v>75</v>
      </c>
      <c r="AZ1158" t="s">
        <v>1072</v>
      </c>
      <c r="BA1158" t="s">
        <v>67</v>
      </c>
      <c r="BB1158" t="s">
        <v>1073</v>
      </c>
      <c r="BC1158" t="s">
        <v>204</v>
      </c>
      <c r="BD1158" t="s">
        <v>79</v>
      </c>
      <c r="BE1158" t="s">
        <v>1074</v>
      </c>
      <c r="BF1158" s="5">
        <v>47423</v>
      </c>
      <c r="BH1158">
        <v>1</v>
      </c>
      <c r="BI1158" s="6">
        <v>545000</v>
      </c>
      <c r="BJ1158" s="6">
        <v>35</v>
      </c>
      <c r="BK1158" s="6">
        <v>190750</v>
      </c>
      <c r="BL1158" s="6">
        <v>354250</v>
      </c>
      <c r="BM1158" s="2">
        <v>354250</v>
      </c>
      <c r="BN1158">
        <f>InvoiceTable[[#This Row],[Giảm giá]]*InvoiceTable[[#This Row],[Số lượng]]</f>
        <v>190750</v>
      </c>
    </row>
    <row r="1159" spans="1:66" x14ac:dyDescent="0.25">
      <c r="A1159" t="s">
        <v>65</v>
      </c>
      <c r="B1159" t="s">
        <v>3263</v>
      </c>
      <c r="F1159" s="2"/>
      <c r="G1159" s="3">
        <v>46004.518724618058</v>
      </c>
      <c r="H1159" s="3">
        <v>46004.518724733796</v>
      </c>
      <c r="I1159" s="4" t="s">
        <v>67</v>
      </c>
      <c r="J1159" t="s">
        <v>3264</v>
      </c>
      <c r="K1159" t="s">
        <v>67</v>
      </c>
      <c r="L1159" t="s">
        <v>796</v>
      </c>
      <c r="M1159" t="s">
        <v>797</v>
      </c>
      <c r="N1159" t="s">
        <v>67</v>
      </c>
      <c r="O1159" t="s">
        <v>798</v>
      </c>
      <c r="P1159" t="s">
        <v>799</v>
      </c>
      <c r="Q1159" t="s">
        <v>800</v>
      </c>
      <c r="R1159" t="s">
        <v>801</v>
      </c>
      <c r="S1159" s="5"/>
      <c r="T1159" t="s">
        <v>72</v>
      </c>
      <c r="U1159" t="s">
        <v>73</v>
      </c>
      <c r="V1159" t="s">
        <v>74</v>
      </c>
      <c r="W1159" t="s">
        <v>73</v>
      </c>
      <c r="AE1159" s="2"/>
      <c r="AF1159" s="2"/>
      <c r="AG1159" s="2"/>
      <c r="AH1159" s="2"/>
      <c r="AK1159" t="s">
        <v>3265</v>
      </c>
      <c r="AL1159" s="2">
        <v>1538640</v>
      </c>
      <c r="AM1159" s="2">
        <v>0</v>
      </c>
      <c r="AN1159" s="2"/>
      <c r="AO1159" s="2">
        <v>0</v>
      </c>
      <c r="AP1159" s="2">
        <v>1538640</v>
      </c>
      <c r="AQ1159" s="2">
        <v>1538640</v>
      </c>
      <c r="AR1159" s="2">
        <v>1538640</v>
      </c>
      <c r="AS1159" s="2">
        <v>0</v>
      </c>
      <c r="AT1159" s="2">
        <v>0</v>
      </c>
      <c r="AU1159" s="2">
        <v>0</v>
      </c>
      <c r="AV1159" s="2">
        <v>0</v>
      </c>
      <c r="AW1159" s="4"/>
      <c r="AX1159" t="s">
        <v>75</v>
      </c>
      <c r="AZ1159" t="s">
        <v>3266</v>
      </c>
      <c r="BA1159" t="s">
        <v>67</v>
      </c>
      <c r="BB1159" t="s">
        <v>3267</v>
      </c>
      <c r="BC1159" t="s">
        <v>357</v>
      </c>
      <c r="BD1159" t="s">
        <v>79</v>
      </c>
      <c r="BE1159" t="s">
        <v>715</v>
      </c>
      <c r="BF1159" s="5">
        <v>46631</v>
      </c>
      <c r="BG1159" t="s">
        <v>67</v>
      </c>
      <c r="BH1159">
        <v>1</v>
      </c>
      <c r="BI1159" s="6">
        <v>648000</v>
      </c>
      <c r="BJ1159" s="6">
        <v>40</v>
      </c>
      <c r="BK1159" s="6">
        <v>259200</v>
      </c>
      <c r="BL1159" s="6">
        <v>388800</v>
      </c>
      <c r="BM1159" s="2">
        <v>388800</v>
      </c>
      <c r="BN1159">
        <f>InvoiceTable[[#This Row],[Giảm giá]]*InvoiceTable[[#This Row],[Số lượng]]</f>
        <v>259200</v>
      </c>
    </row>
    <row r="1160" spans="1:66" x14ac:dyDescent="0.25">
      <c r="A1160" t="s">
        <v>65</v>
      </c>
      <c r="B1160" t="s">
        <v>3263</v>
      </c>
      <c r="F1160" s="2"/>
      <c r="G1160" s="3">
        <v>46004.518724618058</v>
      </c>
      <c r="H1160" s="3">
        <v>46004.518724733796</v>
      </c>
      <c r="I1160" s="4" t="s">
        <v>67</v>
      </c>
      <c r="J1160" t="s">
        <v>3264</v>
      </c>
      <c r="K1160" t="s">
        <v>67</v>
      </c>
      <c r="L1160" t="s">
        <v>796</v>
      </c>
      <c r="M1160" t="s">
        <v>797</v>
      </c>
      <c r="N1160" t="s">
        <v>67</v>
      </c>
      <c r="O1160" t="s">
        <v>798</v>
      </c>
      <c r="P1160" t="s">
        <v>799</v>
      </c>
      <c r="Q1160" t="s">
        <v>800</v>
      </c>
      <c r="R1160" t="s">
        <v>801</v>
      </c>
      <c r="S1160" s="5"/>
      <c r="T1160" t="s">
        <v>72</v>
      </c>
      <c r="U1160" t="s">
        <v>73</v>
      </c>
      <c r="V1160" t="s">
        <v>74</v>
      </c>
      <c r="W1160" t="s">
        <v>73</v>
      </c>
      <c r="AE1160" s="2"/>
      <c r="AF1160" s="2"/>
      <c r="AG1160" s="2"/>
      <c r="AH1160" s="2"/>
      <c r="AK1160" t="s">
        <v>3265</v>
      </c>
      <c r="AL1160" s="2">
        <v>1538640</v>
      </c>
      <c r="AM1160" s="2">
        <v>0</v>
      </c>
      <c r="AN1160" s="2"/>
      <c r="AO1160" s="2">
        <v>0</v>
      </c>
      <c r="AP1160" s="2">
        <v>1538640</v>
      </c>
      <c r="AQ1160" s="2">
        <v>1538640</v>
      </c>
      <c r="AR1160" s="2">
        <v>1538640</v>
      </c>
      <c r="AS1160" s="2">
        <v>0</v>
      </c>
      <c r="AT1160" s="2">
        <v>0</v>
      </c>
      <c r="AU1160" s="2">
        <v>0</v>
      </c>
      <c r="AV1160" s="2">
        <v>0</v>
      </c>
      <c r="AW1160" s="4"/>
      <c r="AX1160" t="s">
        <v>75</v>
      </c>
      <c r="AZ1160" t="s">
        <v>3268</v>
      </c>
      <c r="BA1160" t="s">
        <v>67</v>
      </c>
      <c r="BB1160" t="s">
        <v>3269</v>
      </c>
      <c r="BC1160" t="s">
        <v>251</v>
      </c>
      <c r="BD1160" t="s">
        <v>79</v>
      </c>
      <c r="BE1160" t="s">
        <v>155</v>
      </c>
      <c r="BF1160" s="5">
        <v>46600</v>
      </c>
      <c r="BG1160" t="s">
        <v>67</v>
      </c>
      <c r="BH1160">
        <v>1</v>
      </c>
      <c r="BI1160" s="6">
        <v>720000</v>
      </c>
      <c r="BJ1160" s="6">
        <v>43</v>
      </c>
      <c r="BK1160" s="6">
        <v>309600</v>
      </c>
      <c r="BL1160" s="6">
        <v>410400</v>
      </c>
      <c r="BM1160" s="2">
        <v>410400</v>
      </c>
      <c r="BN1160">
        <f>InvoiceTable[[#This Row],[Giảm giá]]*InvoiceTable[[#This Row],[Số lượng]]</f>
        <v>309600</v>
      </c>
    </row>
    <row r="1161" spans="1:66" x14ac:dyDescent="0.25">
      <c r="A1161" t="s">
        <v>65</v>
      </c>
      <c r="B1161" t="s">
        <v>3263</v>
      </c>
      <c r="F1161" s="2"/>
      <c r="G1161" s="3">
        <v>46004.518724618058</v>
      </c>
      <c r="H1161" s="3">
        <v>46004.518724733796</v>
      </c>
      <c r="I1161" s="4" t="s">
        <v>67</v>
      </c>
      <c r="J1161" t="s">
        <v>3264</v>
      </c>
      <c r="K1161" t="s">
        <v>67</v>
      </c>
      <c r="L1161" t="s">
        <v>796</v>
      </c>
      <c r="M1161" t="s">
        <v>797</v>
      </c>
      <c r="N1161" t="s">
        <v>67</v>
      </c>
      <c r="O1161" t="s">
        <v>798</v>
      </c>
      <c r="P1161" t="s">
        <v>799</v>
      </c>
      <c r="Q1161" t="s">
        <v>800</v>
      </c>
      <c r="R1161" t="s">
        <v>801</v>
      </c>
      <c r="S1161" s="5"/>
      <c r="T1161" t="s">
        <v>72</v>
      </c>
      <c r="U1161" t="s">
        <v>73</v>
      </c>
      <c r="V1161" t="s">
        <v>74</v>
      </c>
      <c r="W1161" t="s">
        <v>73</v>
      </c>
      <c r="AE1161" s="2"/>
      <c r="AF1161" s="2"/>
      <c r="AG1161" s="2"/>
      <c r="AH1161" s="2"/>
      <c r="AK1161" t="s">
        <v>3265</v>
      </c>
      <c r="AL1161" s="2">
        <v>1538640</v>
      </c>
      <c r="AM1161" s="2">
        <v>0</v>
      </c>
      <c r="AN1161" s="2"/>
      <c r="AO1161" s="2">
        <v>0</v>
      </c>
      <c r="AP1161" s="2">
        <v>1538640</v>
      </c>
      <c r="AQ1161" s="2">
        <v>1538640</v>
      </c>
      <c r="AR1161" s="2">
        <v>1538640</v>
      </c>
      <c r="AS1161" s="2">
        <v>0</v>
      </c>
      <c r="AT1161" s="2">
        <v>0</v>
      </c>
      <c r="AU1161" s="2">
        <v>0</v>
      </c>
      <c r="AV1161" s="2">
        <v>0</v>
      </c>
      <c r="AW1161" s="4"/>
      <c r="AX1161" t="s">
        <v>75</v>
      </c>
      <c r="AZ1161" t="s">
        <v>3138</v>
      </c>
      <c r="BA1161" t="s">
        <v>67</v>
      </c>
      <c r="BB1161" t="s">
        <v>3139</v>
      </c>
      <c r="BC1161" t="s">
        <v>285</v>
      </c>
      <c r="BD1161" t="s">
        <v>79</v>
      </c>
      <c r="BE1161" t="s">
        <v>117</v>
      </c>
      <c r="BF1161" s="5">
        <v>46569</v>
      </c>
      <c r="BG1161" t="s">
        <v>67</v>
      </c>
      <c r="BH1161">
        <v>1</v>
      </c>
      <c r="BI1161" s="6">
        <v>860000</v>
      </c>
      <c r="BJ1161" s="6">
        <v>40</v>
      </c>
      <c r="BK1161" s="6">
        <v>344000</v>
      </c>
      <c r="BL1161" s="6">
        <v>516000</v>
      </c>
      <c r="BM1161" s="2">
        <v>516000</v>
      </c>
      <c r="BN1161">
        <f>InvoiceTable[[#This Row],[Giảm giá]]*InvoiceTable[[#This Row],[Số lượng]]</f>
        <v>344000</v>
      </c>
    </row>
    <row r="1162" spans="1:66" x14ac:dyDescent="0.25">
      <c r="A1162" t="s">
        <v>65</v>
      </c>
      <c r="B1162" t="s">
        <v>3263</v>
      </c>
      <c r="F1162" s="2"/>
      <c r="G1162" s="3">
        <v>46004.518724618058</v>
      </c>
      <c r="H1162" s="3">
        <v>46004.518724733796</v>
      </c>
      <c r="I1162" s="4" t="s">
        <v>67</v>
      </c>
      <c r="J1162" t="s">
        <v>3264</v>
      </c>
      <c r="K1162" t="s">
        <v>67</v>
      </c>
      <c r="L1162" t="s">
        <v>796</v>
      </c>
      <c r="M1162" t="s">
        <v>797</v>
      </c>
      <c r="N1162" t="s">
        <v>67</v>
      </c>
      <c r="O1162" t="s">
        <v>798</v>
      </c>
      <c r="P1162" t="s">
        <v>799</v>
      </c>
      <c r="Q1162" t="s">
        <v>800</v>
      </c>
      <c r="R1162" t="s">
        <v>801</v>
      </c>
      <c r="S1162" s="5"/>
      <c r="T1162" t="s">
        <v>72</v>
      </c>
      <c r="U1162" t="s">
        <v>73</v>
      </c>
      <c r="V1162" t="s">
        <v>74</v>
      </c>
      <c r="W1162" t="s">
        <v>73</v>
      </c>
      <c r="AE1162" s="2"/>
      <c r="AF1162" s="2"/>
      <c r="AG1162" s="2"/>
      <c r="AH1162" s="2"/>
      <c r="AK1162" t="s">
        <v>3265</v>
      </c>
      <c r="AL1162" s="2">
        <v>1538640</v>
      </c>
      <c r="AM1162" s="2">
        <v>0</v>
      </c>
      <c r="AN1162" s="2"/>
      <c r="AO1162" s="2">
        <v>0</v>
      </c>
      <c r="AP1162" s="2">
        <v>1538640</v>
      </c>
      <c r="AQ1162" s="2">
        <v>1538640</v>
      </c>
      <c r="AR1162" s="2">
        <v>1538640</v>
      </c>
      <c r="AS1162" s="2">
        <v>0</v>
      </c>
      <c r="AT1162" s="2">
        <v>0</v>
      </c>
      <c r="AU1162" s="2">
        <v>0</v>
      </c>
      <c r="AV1162" s="2">
        <v>0</v>
      </c>
      <c r="AW1162" s="4"/>
      <c r="AX1162" t="s">
        <v>75</v>
      </c>
      <c r="AZ1162" t="s">
        <v>771</v>
      </c>
      <c r="BA1162" t="s">
        <v>67</v>
      </c>
      <c r="BB1162" t="s">
        <v>772</v>
      </c>
      <c r="BC1162" t="s">
        <v>770</v>
      </c>
      <c r="BD1162" t="s">
        <v>79</v>
      </c>
      <c r="BE1162" t="s">
        <v>201</v>
      </c>
      <c r="BF1162" s="5">
        <v>46966</v>
      </c>
      <c r="BG1162" t="s">
        <v>67</v>
      </c>
      <c r="BH1162">
        <v>1</v>
      </c>
      <c r="BI1162" s="6">
        <v>399000</v>
      </c>
      <c r="BJ1162" s="6">
        <v>44</v>
      </c>
      <c r="BK1162" s="6">
        <v>175560</v>
      </c>
      <c r="BL1162" s="6">
        <v>223440</v>
      </c>
      <c r="BM1162" s="2">
        <v>223440</v>
      </c>
      <c r="BN1162">
        <f>InvoiceTable[[#This Row],[Giảm giá]]*InvoiceTable[[#This Row],[Số lượng]]</f>
        <v>175560</v>
      </c>
    </row>
    <row r="1163" spans="1:66" x14ac:dyDescent="0.25">
      <c r="A1163" t="s">
        <v>65</v>
      </c>
      <c r="B1163" t="s">
        <v>3270</v>
      </c>
      <c r="F1163" s="2"/>
      <c r="G1163" s="3">
        <v>46004.518426539355</v>
      </c>
      <c r="H1163" s="3">
        <v>46004.518426655093</v>
      </c>
      <c r="I1163" s="4" t="s">
        <v>67</v>
      </c>
      <c r="J1163" t="s">
        <v>3271</v>
      </c>
      <c r="K1163" t="s">
        <v>67</v>
      </c>
      <c r="L1163" t="s">
        <v>2118</v>
      </c>
      <c r="M1163" t="s">
        <v>2119</v>
      </c>
      <c r="N1163" t="s">
        <v>2120</v>
      </c>
      <c r="O1163" t="s">
        <v>2121</v>
      </c>
      <c r="P1163" t="s">
        <v>2122</v>
      </c>
      <c r="S1163" s="5"/>
      <c r="T1163" t="s">
        <v>72</v>
      </c>
      <c r="U1163" t="s">
        <v>73</v>
      </c>
      <c r="V1163" t="s">
        <v>74</v>
      </c>
      <c r="W1163" t="s">
        <v>73</v>
      </c>
      <c r="AE1163" s="2"/>
      <c r="AF1163" s="2"/>
      <c r="AG1163" s="2"/>
      <c r="AH1163" s="2"/>
      <c r="AK1163" t="s">
        <v>258</v>
      </c>
      <c r="AL1163" s="2">
        <v>305000</v>
      </c>
      <c r="AM1163" s="2">
        <v>0</v>
      </c>
      <c r="AN1163" s="2"/>
      <c r="AO1163" s="2">
        <v>0</v>
      </c>
      <c r="AP1163" s="2">
        <v>305000</v>
      </c>
      <c r="AQ1163" s="2">
        <v>305000</v>
      </c>
      <c r="AR1163" s="2">
        <v>305000</v>
      </c>
      <c r="AS1163" s="2">
        <v>0</v>
      </c>
      <c r="AT1163" s="2">
        <v>0</v>
      </c>
      <c r="AU1163" s="2">
        <v>0</v>
      </c>
      <c r="AV1163" s="2">
        <v>0</v>
      </c>
      <c r="AW1163" s="4"/>
      <c r="AX1163" t="s">
        <v>75</v>
      </c>
      <c r="AZ1163" t="s">
        <v>88</v>
      </c>
      <c r="BB1163" t="s">
        <v>89</v>
      </c>
      <c r="BC1163" t="s">
        <v>90</v>
      </c>
      <c r="BF1163" s="5"/>
      <c r="BG1163" t="s">
        <v>67</v>
      </c>
      <c r="BH1163">
        <v>1</v>
      </c>
      <c r="BI1163" s="6">
        <v>35000</v>
      </c>
      <c r="BJ1163" s="6">
        <v>0</v>
      </c>
      <c r="BK1163" s="6">
        <v>0</v>
      </c>
      <c r="BL1163" s="6">
        <v>35000</v>
      </c>
      <c r="BM1163" s="2">
        <v>35000</v>
      </c>
      <c r="BN1163">
        <f>InvoiceTable[[#This Row],[Giảm giá]]*InvoiceTable[[#This Row],[Số lượng]]</f>
        <v>0</v>
      </c>
    </row>
    <row r="1164" spans="1:66" x14ac:dyDescent="0.25">
      <c r="A1164" t="s">
        <v>65</v>
      </c>
      <c r="B1164" t="s">
        <v>3270</v>
      </c>
      <c r="F1164" s="2"/>
      <c r="G1164" s="3">
        <v>46004.518426539355</v>
      </c>
      <c r="H1164" s="3">
        <v>46004.518426655093</v>
      </c>
      <c r="I1164" s="4" t="s">
        <v>67</v>
      </c>
      <c r="J1164" t="s">
        <v>3271</v>
      </c>
      <c r="K1164" t="s">
        <v>67</v>
      </c>
      <c r="L1164" t="s">
        <v>2118</v>
      </c>
      <c r="M1164" t="s">
        <v>2119</v>
      </c>
      <c r="N1164" t="s">
        <v>2120</v>
      </c>
      <c r="O1164" t="s">
        <v>2121</v>
      </c>
      <c r="P1164" t="s">
        <v>2122</v>
      </c>
      <c r="S1164" s="5"/>
      <c r="T1164" t="s">
        <v>72</v>
      </c>
      <c r="U1164" t="s">
        <v>73</v>
      </c>
      <c r="V1164" t="s">
        <v>74</v>
      </c>
      <c r="W1164" t="s">
        <v>73</v>
      </c>
      <c r="AE1164" s="2"/>
      <c r="AF1164" s="2"/>
      <c r="AG1164" s="2"/>
      <c r="AH1164" s="2"/>
      <c r="AK1164" t="s">
        <v>258</v>
      </c>
      <c r="AL1164" s="2">
        <v>305000</v>
      </c>
      <c r="AM1164" s="2">
        <v>0</v>
      </c>
      <c r="AN1164" s="2"/>
      <c r="AO1164" s="2">
        <v>0</v>
      </c>
      <c r="AP1164" s="2">
        <v>305000</v>
      </c>
      <c r="AQ1164" s="2">
        <v>305000</v>
      </c>
      <c r="AR1164" s="2">
        <v>305000</v>
      </c>
      <c r="AS1164" s="2">
        <v>0</v>
      </c>
      <c r="AT1164" s="2">
        <v>0</v>
      </c>
      <c r="AU1164" s="2">
        <v>0</v>
      </c>
      <c r="AV1164" s="2">
        <v>0</v>
      </c>
      <c r="AW1164" s="4"/>
      <c r="AX1164" t="s">
        <v>75</v>
      </c>
      <c r="AZ1164" t="s">
        <v>710</v>
      </c>
      <c r="BA1164" t="s">
        <v>67</v>
      </c>
      <c r="BB1164" t="s">
        <v>711</v>
      </c>
      <c r="BC1164" t="s">
        <v>204</v>
      </c>
      <c r="BD1164" t="s">
        <v>79</v>
      </c>
      <c r="BE1164" t="s">
        <v>273</v>
      </c>
      <c r="BF1164" s="5">
        <v>46266</v>
      </c>
      <c r="BH1164">
        <v>1</v>
      </c>
      <c r="BI1164" s="6">
        <v>850000</v>
      </c>
      <c r="BJ1164" s="6">
        <v>0</v>
      </c>
      <c r="BK1164" s="6">
        <v>580000</v>
      </c>
      <c r="BL1164" s="6">
        <v>270000</v>
      </c>
      <c r="BM1164" s="2">
        <v>270000</v>
      </c>
      <c r="BN1164">
        <f>InvoiceTable[[#This Row],[Giảm giá]]*InvoiceTable[[#This Row],[Số lượng]]</f>
        <v>580000</v>
      </c>
    </row>
    <row r="1165" spans="1:66" x14ac:dyDescent="0.25">
      <c r="A1165" t="s">
        <v>65</v>
      </c>
      <c r="B1165" t="s">
        <v>3272</v>
      </c>
      <c r="F1165" s="2"/>
      <c r="G1165" s="3">
        <v>46004.517765393517</v>
      </c>
      <c r="H1165" s="3">
        <v>46004.517765543984</v>
      </c>
      <c r="I1165" s="4" t="s">
        <v>67</v>
      </c>
      <c r="J1165" t="s">
        <v>3273</v>
      </c>
      <c r="K1165" t="s">
        <v>67</v>
      </c>
      <c r="L1165" t="s">
        <v>796</v>
      </c>
      <c r="M1165" t="s">
        <v>797</v>
      </c>
      <c r="N1165" t="s">
        <v>67</v>
      </c>
      <c r="O1165" t="s">
        <v>798</v>
      </c>
      <c r="P1165" t="s">
        <v>799</v>
      </c>
      <c r="Q1165" t="s">
        <v>800</v>
      </c>
      <c r="R1165" t="s">
        <v>801</v>
      </c>
      <c r="S1165" s="5"/>
      <c r="T1165" t="s">
        <v>72</v>
      </c>
      <c r="U1165" t="s">
        <v>73</v>
      </c>
      <c r="V1165" t="s">
        <v>74</v>
      </c>
      <c r="W1165" t="s">
        <v>73</v>
      </c>
      <c r="AE1165" s="2"/>
      <c r="AF1165" s="2"/>
      <c r="AG1165" s="2"/>
      <c r="AH1165" s="2"/>
      <c r="AK1165" t="s">
        <v>258</v>
      </c>
      <c r="AL1165" s="2">
        <v>1823443</v>
      </c>
      <c r="AM1165" s="2">
        <v>0</v>
      </c>
      <c r="AN1165" s="2"/>
      <c r="AO1165" s="2">
        <v>0</v>
      </c>
      <c r="AP1165" s="2">
        <v>1823443</v>
      </c>
      <c r="AQ1165" s="2">
        <v>1823443</v>
      </c>
      <c r="AR1165" s="2">
        <v>1823443</v>
      </c>
      <c r="AS1165" s="2">
        <v>0</v>
      </c>
      <c r="AT1165" s="2">
        <v>0</v>
      </c>
      <c r="AU1165" s="2">
        <v>0</v>
      </c>
      <c r="AV1165" s="2">
        <v>0</v>
      </c>
      <c r="AW1165" s="4"/>
      <c r="AX1165" t="s">
        <v>75</v>
      </c>
      <c r="AZ1165" t="s">
        <v>2193</v>
      </c>
      <c r="BA1165" t="s">
        <v>67</v>
      </c>
      <c r="BB1165" t="s">
        <v>2194</v>
      </c>
      <c r="BC1165" t="s">
        <v>191</v>
      </c>
      <c r="BD1165" t="s">
        <v>79</v>
      </c>
      <c r="BE1165" t="s">
        <v>823</v>
      </c>
      <c r="BF1165" s="5">
        <v>47574</v>
      </c>
      <c r="BG1165" t="s">
        <v>67</v>
      </c>
      <c r="BH1165">
        <v>2</v>
      </c>
      <c r="BI1165" s="6">
        <v>584182</v>
      </c>
      <c r="BJ1165" s="6">
        <v>42</v>
      </c>
      <c r="BK1165" s="6">
        <v>245356.44</v>
      </c>
      <c r="BL1165" s="6">
        <v>338825.56</v>
      </c>
      <c r="BM1165" s="2">
        <v>677651</v>
      </c>
      <c r="BN1165">
        <f>InvoiceTable[[#This Row],[Giảm giá]]*InvoiceTable[[#This Row],[Số lượng]]</f>
        <v>490712.88</v>
      </c>
    </row>
    <row r="1166" spans="1:66" x14ac:dyDescent="0.25">
      <c r="A1166" t="s">
        <v>65</v>
      </c>
      <c r="B1166" t="s">
        <v>3272</v>
      </c>
      <c r="F1166" s="2"/>
      <c r="G1166" s="3">
        <v>46004.517765393517</v>
      </c>
      <c r="H1166" s="3">
        <v>46004.517765543984</v>
      </c>
      <c r="I1166" s="4" t="s">
        <v>67</v>
      </c>
      <c r="J1166" t="s">
        <v>3273</v>
      </c>
      <c r="K1166" t="s">
        <v>67</v>
      </c>
      <c r="L1166" t="s">
        <v>796</v>
      </c>
      <c r="M1166" t="s">
        <v>797</v>
      </c>
      <c r="N1166" t="s">
        <v>67</v>
      </c>
      <c r="O1166" t="s">
        <v>798</v>
      </c>
      <c r="P1166" t="s">
        <v>799</v>
      </c>
      <c r="Q1166" t="s">
        <v>800</v>
      </c>
      <c r="R1166" t="s">
        <v>801</v>
      </c>
      <c r="S1166" s="5"/>
      <c r="T1166" t="s">
        <v>72</v>
      </c>
      <c r="U1166" t="s">
        <v>73</v>
      </c>
      <c r="V1166" t="s">
        <v>74</v>
      </c>
      <c r="W1166" t="s">
        <v>73</v>
      </c>
      <c r="AE1166" s="2"/>
      <c r="AF1166" s="2"/>
      <c r="AG1166" s="2"/>
      <c r="AH1166" s="2"/>
      <c r="AK1166" t="s">
        <v>258</v>
      </c>
      <c r="AL1166" s="2">
        <v>1823443</v>
      </c>
      <c r="AM1166" s="2">
        <v>0</v>
      </c>
      <c r="AN1166" s="2"/>
      <c r="AO1166" s="2">
        <v>0</v>
      </c>
      <c r="AP1166" s="2">
        <v>1823443</v>
      </c>
      <c r="AQ1166" s="2">
        <v>1823443</v>
      </c>
      <c r="AR1166" s="2">
        <v>1823443</v>
      </c>
      <c r="AS1166" s="2">
        <v>0</v>
      </c>
      <c r="AT1166" s="2">
        <v>0</v>
      </c>
      <c r="AU1166" s="2">
        <v>0</v>
      </c>
      <c r="AV1166" s="2">
        <v>0</v>
      </c>
      <c r="AW1166" s="4"/>
      <c r="AX1166" t="s">
        <v>75</v>
      </c>
      <c r="AZ1166" t="s">
        <v>1072</v>
      </c>
      <c r="BA1166" t="s">
        <v>67</v>
      </c>
      <c r="BB1166" t="s">
        <v>1073</v>
      </c>
      <c r="BC1166" t="s">
        <v>204</v>
      </c>
      <c r="BD1166" t="s">
        <v>79</v>
      </c>
      <c r="BE1166" t="s">
        <v>1074</v>
      </c>
      <c r="BF1166" s="5">
        <v>47423</v>
      </c>
      <c r="BG1166" t="s">
        <v>67</v>
      </c>
      <c r="BH1166">
        <v>1</v>
      </c>
      <c r="BI1166" s="6">
        <v>545000</v>
      </c>
      <c r="BJ1166" s="6">
        <v>35</v>
      </c>
      <c r="BK1166" s="6">
        <v>190750</v>
      </c>
      <c r="BL1166" s="6">
        <v>354250</v>
      </c>
      <c r="BM1166" s="2">
        <v>354250</v>
      </c>
      <c r="BN1166">
        <f>InvoiceTable[[#This Row],[Giảm giá]]*InvoiceTable[[#This Row],[Số lượng]]</f>
        <v>190750</v>
      </c>
    </row>
    <row r="1167" spans="1:66" x14ac:dyDescent="0.25">
      <c r="A1167" t="s">
        <v>65</v>
      </c>
      <c r="B1167" t="s">
        <v>3272</v>
      </c>
      <c r="F1167" s="2"/>
      <c r="G1167" s="3">
        <v>46004.517765393517</v>
      </c>
      <c r="H1167" s="3">
        <v>46004.517765543984</v>
      </c>
      <c r="I1167" s="4" t="s">
        <v>67</v>
      </c>
      <c r="J1167" t="s">
        <v>3273</v>
      </c>
      <c r="K1167" t="s">
        <v>67</v>
      </c>
      <c r="L1167" t="s">
        <v>796</v>
      </c>
      <c r="M1167" t="s">
        <v>797</v>
      </c>
      <c r="N1167" t="s">
        <v>67</v>
      </c>
      <c r="O1167" t="s">
        <v>798</v>
      </c>
      <c r="P1167" t="s">
        <v>799</v>
      </c>
      <c r="Q1167" t="s">
        <v>800</v>
      </c>
      <c r="R1167" t="s">
        <v>801</v>
      </c>
      <c r="S1167" s="5"/>
      <c r="T1167" t="s">
        <v>72</v>
      </c>
      <c r="U1167" t="s">
        <v>73</v>
      </c>
      <c r="V1167" t="s">
        <v>74</v>
      </c>
      <c r="W1167" t="s">
        <v>73</v>
      </c>
      <c r="AE1167" s="2"/>
      <c r="AF1167" s="2"/>
      <c r="AG1167" s="2"/>
      <c r="AH1167" s="2"/>
      <c r="AK1167" t="s">
        <v>258</v>
      </c>
      <c r="AL1167" s="2">
        <v>1823443</v>
      </c>
      <c r="AM1167" s="2">
        <v>0</v>
      </c>
      <c r="AN1167" s="2"/>
      <c r="AO1167" s="2">
        <v>0</v>
      </c>
      <c r="AP1167" s="2">
        <v>1823443</v>
      </c>
      <c r="AQ1167" s="2">
        <v>1823443</v>
      </c>
      <c r="AR1167" s="2">
        <v>1823443</v>
      </c>
      <c r="AS1167" s="2">
        <v>0</v>
      </c>
      <c r="AT1167" s="2">
        <v>0</v>
      </c>
      <c r="AU1167" s="2">
        <v>0</v>
      </c>
      <c r="AV1167" s="2">
        <v>0</v>
      </c>
      <c r="AW1167" s="4"/>
      <c r="AX1167" t="s">
        <v>75</v>
      </c>
      <c r="AZ1167" t="s">
        <v>919</v>
      </c>
      <c r="BA1167" t="s">
        <v>67</v>
      </c>
      <c r="BB1167" t="s">
        <v>920</v>
      </c>
      <c r="BC1167" t="s">
        <v>822</v>
      </c>
      <c r="BD1167" t="s">
        <v>79</v>
      </c>
      <c r="BE1167" t="s">
        <v>921</v>
      </c>
      <c r="BF1167" s="5">
        <v>47392</v>
      </c>
      <c r="BG1167" t="s">
        <v>67</v>
      </c>
      <c r="BH1167">
        <v>1</v>
      </c>
      <c r="BI1167" s="6">
        <v>1364727</v>
      </c>
      <c r="BJ1167" s="6">
        <v>42</v>
      </c>
      <c r="BK1167" s="6">
        <v>573185.34</v>
      </c>
      <c r="BL1167" s="6">
        <v>791541.66</v>
      </c>
      <c r="BM1167" s="2">
        <v>791542</v>
      </c>
      <c r="BN1167">
        <f>InvoiceTable[[#This Row],[Giảm giá]]*InvoiceTable[[#This Row],[Số lượng]]</f>
        <v>573185.34</v>
      </c>
    </row>
    <row r="1168" spans="1:66" x14ac:dyDescent="0.25">
      <c r="A1168" t="s">
        <v>65</v>
      </c>
      <c r="B1168" t="s">
        <v>3274</v>
      </c>
      <c r="F1168" s="2"/>
      <c r="G1168" s="3">
        <v>46004.479469293983</v>
      </c>
      <c r="H1168" s="3">
        <v>46004.47946952546</v>
      </c>
      <c r="I1168" s="4" t="s">
        <v>67</v>
      </c>
      <c r="J1168" t="s">
        <v>67</v>
      </c>
      <c r="K1168" t="s">
        <v>67</v>
      </c>
      <c r="L1168" t="s">
        <v>814</v>
      </c>
      <c r="M1168" t="s">
        <v>815</v>
      </c>
      <c r="N1168" t="s">
        <v>67</v>
      </c>
      <c r="O1168" t="s">
        <v>816</v>
      </c>
      <c r="Q1168" t="s">
        <v>67</v>
      </c>
      <c r="R1168" t="s">
        <v>67</v>
      </c>
      <c r="S1168" s="5"/>
      <c r="T1168" t="s">
        <v>72</v>
      </c>
      <c r="U1168" t="s">
        <v>87</v>
      </c>
      <c r="V1168" t="s">
        <v>74</v>
      </c>
      <c r="W1168" t="s">
        <v>87</v>
      </c>
      <c r="AE1168" s="2"/>
      <c r="AF1168" s="2"/>
      <c r="AG1168" s="2"/>
      <c r="AH1168" s="2"/>
      <c r="AL1168" s="2">
        <v>14940000</v>
      </c>
      <c r="AM1168" s="2">
        <v>0</v>
      </c>
      <c r="AN1168" s="2"/>
      <c r="AO1168" s="2">
        <v>0</v>
      </c>
      <c r="AP1168" s="2">
        <v>14940000</v>
      </c>
      <c r="AQ1168" s="2">
        <v>0</v>
      </c>
      <c r="AR1168" s="2">
        <v>0</v>
      </c>
      <c r="AS1168" s="2">
        <v>0</v>
      </c>
      <c r="AT1168" s="2">
        <v>0</v>
      </c>
      <c r="AU1168" s="2">
        <v>0</v>
      </c>
      <c r="AV1168" s="2">
        <v>0</v>
      </c>
      <c r="AW1168" s="4"/>
      <c r="AX1168" t="s">
        <v>75</v>
      </c>
      <c r="AZ1168" t="s">
        <v>124</v>
      </c>
      <c r="BA1168" t="s">
        <v>67</v>
      </c>
      <c r="BB1168" t="s">
        <v>125</v>
      </c>
      <c r="BC1168" t="s">
        <v>126</v>
      </c>
      <c r="BD1168" t="s">
        <v>79</v>
      </c>
      <c r="BE1168" t="s">
        <v>2920</v>
      </c>
      <c r="BF1168" s="5">
        <v>46772</v>
      </c>
      <c r="BH1168">
        <v>10</v>
      </c>
      <c r="BI1168" s="6">
        <v>1200000</v>
      </c>
      <c r="BJ1168" s="6">
        <v>0</v>
      </c>
      <c r="BK1168" s="6">
        <v>660000</v>
      </c>
      <c r="BL1168" s="6">
        <v>540000</v>
      </c>
      <c r="BM1168" s="2">
        <v>5400000</v>
      </c>
      <c r="BN1168">
        <f>InvoiceTable[[#This Row],[Giảm giá]]*InvoiceTable[[#This Row],[Số lượng]]</f>
        <v>6600000</v>
      </c>
    </row>
    <row r="1169" spans="1:66" x14ac:dyDescent="0.25">
      <c r="A1169" t="s">
        <v>65</v>
      </c>
      <c r="B1169" t="s">
        <v>3274</v>
      </c>
      <c r="F1169" s="2"/>
      <c r="G1169" s="3">
        <v>46004.479469293983</v>
      </c>
      <c r="H1169" s="3">
        <v>46004.47946952546</v>
      </c>
      <c r="I1169" s="4" t="s">
        <v>67</v>
      </c>
      <c r="J1169" t="s">
        <v>67</v>
      </c>
      <c r="K1169" t="s">
        <v>67</v>
      </c>
      <c r="L1169" t="s">
        <v>814</v>
      </c>
      <c r="M1169" t="s">
        <v>815</v>
      </c>
      <c r="N1169" t="s">
        <v>67</v>
      </c>
      <c r="O1169" t="s">
        <v>816</v>
      </c>
      <c r="Q1169" t="s">
        <v>67</v>
      </c>
      <c r="R1169" t="s">
        <v>67</v>
      </c>
      <c r="S1169" s="5"/>
      <c r="T1169" t="s">
        <v>72</v>
      </c>
      <c r="U1169" t="s">
        <v>87</v>
      </c>
      <c r="V1169" t="s">
        <v>74</v>
      </c>
      <c r="W1169" t="s">
        <v>87</v>
      </c>
      <c r="AE1169" s="2"/>
      <c r="AF1169" s="2"/>
      <c r="AG1169" s="2"/>
      <c r="AH1169" s="2"/>
      <c r="AL1169" s="2">
        <v>14940000</v>
      </c>
      <c r="AM1169" s="2">
        <v>0</v>
      </c>
      <c r="AN1169" s="2"/>
      <c r="AO1169" s="2">
        <v>0</v>
      </c>
      <c r="AP1169" s="2">
        <v>14940000</v>
      </c>
      <c r="AQ1169" s="2">
        <v>0</v>
      </c>
      <c r="AR1169" s="2">
        <v>0</v>
      </c>
      <c r="AS1169" s="2">
        <v>0</v>
      </c>
      <c r="AT1169" s="2">
        <v>0</v>
      </c>
      <c r="AU1169" s="2">
        <v>0</v>
      </c>
      <c r="AV1169" s="2">
        <v>0</v>
      </c>
      <c r="AW1169" s="4"/>
      <c r="AX1169" t="s">
        <v>75</v>
      </c>
      <c r="AZ1169" t="s">
        <v>483</v>
      </c>
      <c r="BA1169" t="s">
        <v>67</v>
      </c>
      <c r="BB1169" t="s">
        <v>484</v>
      </c>
      <c r="BC1169" t="s">
        <v>485</v>
      </c>
      <c r="BD1169" t="s">
        <v>79</v>
      </c>
      <c r="BE1169" t="s">
        <v>117</v>
      </c>
      <c r="BF1169" s="5">
        <v>46569</v>
      </c>
      <c r="BH1169">
        <v>15</v>
      </c>
      <c r="BI1169" s="6">
        <v>600000</v>
      </c>
      <c r="BJ1169" s="6">
        <v>47</v>
      </c>
      <c r="BK1169" s="6">
        <v>282000</v>
      </c>
      <c r="BL1169" s="6">
        <v>318000</v>
      </c>
      <c r="BM1169" s="2">
        <v>4770000</v>
      </c>
      <c r="BN1169">
        <f>InvoiceTable[[#This Row],[Giảm giá]]*InvoiceTable[[#This Row],[Số lượng]]</f>
        <v>4230000</v>
      </c>
    </row>
    <row r="1170" spans="1:66" x14ac:dyDescent="0.25">
      <c r="A1170" t="s">
        <v>65</v>
      </c>
      <c r="B1170" t="s">
        <v>3274</v>
      </c>
      <c r="F1170" s="2"/>
      <c r="G1170" s="3">
        <v>46004.479469293983</v>
      </c>
      <c r="H1170" s="3">
        <v>46004.47946952546</v>
      </c>
      <c r="I1170" s="4" t="s">
        <v>67</v>
      </c>
      <c r="J1170" t="s">
        <v>67</v>
      </c>
      <c r="K1170" t="s">
        <v>67</v>
      </c>
      <c r="L1170" t="s">
        <v>814</v>
      </c>
      <c r="M1170" t="s">
        <v>815</v>
      </c>
      <c r="N1170" t="s">
        <v>67</v>
      </c>
      <c r="O1170" t="s">
        <v>816</v>
      </c>
      <c r="Q1170" t="s">
        <v>67</v>
      </c>
      <c r="R1170" t="s">
        <v>67</v>
      </c>
      <c r="S1170" s="5"/>
      <c r="T1170" t="s">
        <v>72</v>
      </c>
      <c r="U1170" t="s">
        <v>87</v>
      </c>
      <c r="V1170" t="s">
        <v>74</v>
      </c>
      <c r="W1170" t="s">
        <v>87</v>
      </c>
      <c r="AE1170" s="2"/>
      <c r="AF1170" s="2"/>
      <c r="AG1170" s="2"/>
      <c r="AH1170" s="2"/>
      <c r="AL1170" s="2">
        <v>14940000</v>
      </c>
      <c r="AM1170" s="2">
        <v>0</v>
      </c>
      <c r="AN1170" s="2"/>
      <c r="AO1170" s="2">
        <v>0</v>
      </c>
      <c r="AP1170" s="2">
        <v>14940000</v>
      </c>
      <c r="AQ1170" s="2">
        <v>0</v>
      </c>
      <c r="AR1170" s="2">
        <v>0</v>
      </c>
      <c r="AS1170" s="2">
        <v>0</v>
      </c>
      <c r="AT1170" s="2">
        <v>0</v>
      </c>
      <c r="AU1170" s="2">
        <v>0</v>
      </c>
      <c r="AV1170" s="2">
        <v>0</v>
      </c>
      <c r="AW1170" s="4"/>
      <c r="AX1170" t="s">
        <v>75</v>
      </c>
      <c r="AZ1170" t="s">
        <v>1539</v>
      </c>
      <c r="BA1170" t="s">
        <v>67</v>
      </c>
      <c r="BB1170" t="s">
        <v>1540</v>
      </c>
      <c r="BC1170" t="s">
        <v>485</v>
      </c>
      <c r="BD1170" t="s">
        <v>79</v>
      </c>
      <c r="BE1170" t="s">
        <v>145</v>
      </c>
      <c r="BF1170" s="5">
        <v>46508</v>
      </c>
      <c r="BH1170">
        <v>10</v>
      </c>
      <c r="BI1170" s="6">
        <v>600000</v>
      </c>
      <c r="BJ1170" s="6">
        <v>47</v>
      </c>
      <c r="BK1170" s="6">
        <v>282000</v>
      </c>
      <c r="BL1170" s="6">
        <v>318000</v>
      </c>
      <c r="BM1170" s="2">
        <v>3180000</v>
      </c>
      <c r="BN1170">
        <f>InvoiceTable[[#This Row],[Giảm giá]]*InvoiceTable[[#This Row],[Số lượng]]</f>
        <v>2820000</v>
      </c>
    </row>
    <row r="1171" spans="1:66" x14ac:dyDescent="0.25">
      <c r="A1171" t="s">
        <v>65</v>
      </c>
      <c r="B1171" t="s">
        <v>3274</v>
      </c>
      <c r="F1171" s="2"/>
      <c r="G1171" s="3">
        <v>46004.479469293983</v>
      </c>
      <c r="H1171" s="3">
        <v>46004.47946952546</v>
      </c>
      <c r="I1171" s="4" t="s">
        <v>67</v>
      </c>
      <c r="J1171" t="s">
        <v>67</v>
      </c>
      <c r="K1171" t="s">
        <v>67</v>
      </c>
      <c r="L1171" t="s">
        <v>814</v>
      </c>
      <c r="M1171" t="s">
        <v>815</v>
      </c>
      <c r="N1171" t="s">
        <v>67</v>
      </c>
      <c r="O1171" t="s">
        <v>816</v>
      </c>
      <c r="Q1171" t="s">
        <v>67</v>
      </c>
      <c r="R1171" t="s">
        <v>67</v>
      </c>
      <c r="S1171" s="5"/>
      <c r="T1171" t="s">
        <v>72</v>
      </c>
      <c r="U1171" t="s">
        <v>87</v>
      </c>
      <c r="V1171" t="s">
        <v>74</v>
      </c>
      <c r="W1171" t="s">
        <v>87</v>
      </c>
      <c r="AE1171" s="2"/>
      <c r="AF1171" s="2"/>
      <c r="AG1171" s="2"/>
      <c r="AH1171" s="2"/>
      <c r="AL1171" s="2">
        <v>14940000</v>
      </c>
      <c r="AM1171" s="2">
        <v>0</v>
      </c>
      <c r="AN1171" s="2"/>
      <c r="AO1171" s="2">
        <v>0</v>
      </c>
      <c r="AP1171" s="2">
        <v>14940000</v>
      </c>
      <c r="AQ1171" s="2">
        <v>0</v>
      </c>
      <c r="AR1171" s="2">
        <v>0</v>
      </c>
      <c r="AS1171" s="2">
        <v>0</v>
      </c>
      <c r="AT1171" s="2">
        <v>0</v>
      </c>
      <c r="AU1171" s="2">
        <v>0</v>
      </c>
      <c r="AV1171" s="2">
        <v>0</v>
      </c>
      <c r="AW1171" s="4"/>
      <c r="AX1171" t="s">
        <v>75</v>
      </c>
      <c r="AZ1171" t="s">
        <v>486</v>
      </c>
      <c r="BA1171" t="s">
        <v>67</v>
      </c>
      <c r="BB1171" t="s">
        <v>487</v>
      </c>
      <c r="BC1171" t="s">
        <v>485</v>
      </c>
      <c r="BD1171" t="s">
        <v>79</v>
      </c>
      <c r="BE1171" t="s">
        <v>488</v>
      </c>
      <c r="BF1171" s="5">
        <v>46647</v>
      </c>
      <c r="BH1171">
        <v>5</v>
      </c>
      <c r="BI1171" s="6">
        <v>600000</v>
      </c>
      <c r="BJ1171" s="6">
        <v>47</v>
      </c>
      <c r="BK1171" s="6">
        <v>282000</v>
      </c>
      <c r="BL1171" s="6">
        <v>318000</v>
      </c>
      <c r="BM1171" s="2">
        <v>1590000</v>
      </c>
      <c r="BN1171">
        <f>InvoiceTable[[#This Row],[Giảm giá]]*InvoiceTable[[#This Row],[Số lượng]]</f>
        <v>1410000</v>
      </c>
    </row>
    <row r="1172" spans="1:66" x14ac:dyDescent="0.25">
      <c r="A1172" t="s">
        <v>65</v>
      </c>
      <c r="B1172" t="s">
        <v>3275</v>
      </c>
      <c r="F1172" s="2"/>
      <c r="G1172" s="3">
        <v>46004.478191006943</v>
      </c>
      <c r="H1172" s="3">
        <v>46004.478191203707</v>
      </c>
      <c r="I1172" s="4" t="s">
        <v>67</v>
      </c>
      <c r="J1172" t="s">
        <v>3276</v>
      </c>
      <c r="K1172" t="s">
        <v>67</v>
      </c>
      <c r="L1172" t="s">
        <v>884</v>
      </c>
      <c r="M1172" t="s">
        <v>885</v>
      </c>
      <c r="N1172" t="s">
        <v>67</v>
      </c>
      <c r="O1172" t="s">
        <v>886</v>
      </c>
      <c r="P1172" t="s">
        <v>887</v>
      </c>
      <c r="Q1172" t="s">
        <v>67</v>
      </c>
      <c r="R1172" t="s">
        <v>67</v>
      </c>
      <c r="S1172" s="5"/>
      <c r="T1172" t="s">
        <v>72</v>
      </c>
      <c r="U1172" t="s">
        <v>102</v>
      </c>
      <c r="V1172" t="s">
        <v>74</v>
      </c>
      <c r="W1172" t="s">
        <v>87</v>
      </c>
      <c r="AE1172" s="2"/>
      <c r="AF1172" s="2"/>
      <c r="AG1172" s="2"/>
      <c r="AH1172" s="2"/>
      <c r="AK1172" t="s">
        <v>275</v>
      </c>
      <c r="AL1172" s="2">
        <v>936000</v>
      </c>
      <c r="AM1172" s="2">
        <v>0</v>
      </c>
      <c r="AN1172" s="2"/>
      <c r="AO1172" s="2">
        <v>0</v>
      </c>
      <c r="AP1172" s="2">
        <v>936000</v>
      </c>
      <c r="AQ1172" s="2">
        <v>0</v>
      </c>
      <c r="AR1172" s="2">
        <v>0</v>
      </c>
      <c r="AS1172" s="2">
        <v>0</v>
      </c>
      <c r="AT1172" s="2">
        <v>0</v>
      </c>
      <c r="AU1172" s="2">
        <v>0</v>
      </c>
      <c r="AV1172" s="2">
        <v>0</v>
      </c>
      <c r="AW1172" s="4"/>
      <c r="AX1172" t="s">
        <v>75</v>
      </c>
      <c r="AZ1172" t="s">
        <v>2595</v>
      </c>
      <c r="BA1172" t="s">
        <v>67</v>
      </c>
      <c r="BB1172" t="s">
        <v>2596</v>
      </c>
      <c r="BC1172" t="s">
        <v>347</v>
      </c>
      <c r="BD1172" t="s">
        <v>79</v>
      </c>
      <c r="BE1172" t="s">
        <v>423</v>
      </c>
      <c r="BF1172" s="5">
        <v>47543</v>
      </c>
      <c r="BH1172">
        <v>3</v>
      </c>
      <c r="BI1172" s="6">
        <v>480000</v>
      </c>
      <c r="BJ1172" s="6">
        <v>35</v>
      </c>
      <c r="BK1172" s="6">
        <v>168000</v>
      </c>
      <c r="BL1172" s="6">
        <v>312000</v>
      </c>
      <c r="BM1172" s="2">
        <v>936000</v>
      </c>
      <c r="BN1172">
        <f>InvoiceTable[[#This Row],[Giảm giá]]*InvoiceTable[[#This Row],[Số lượng]]</f>
        <v>504000</v>
      </c>
    </row>
    <row r="1173" spans="1:66" x14ac:dyDescent="0.25">
      <c r="A1173" t="s">
        <v>65</v>
      </c>
      <c r="B1173" t="s">
        <v>3277</v>
      </c>
      <c r="F1173" s="2"/>
      <c r="G1173" s="3">
        <v>46004.478034953703</v>
      </c>
      <c r="H1173" s="3">
        <v>46004.478035069442</v>
      </c>
      <c r="I1173" s="4" t="s">
        <v>67</v>
      </c>
      <c r="J1173" t="s">
        <v>3278</v>
      </c>
      <c r="K1173" t="s">
        <v>67</v>
      </c>
      <c r="L1173" t="s">
        <v>119</v>
      </c>
      <c r="M1173" t="s">
        <v>120</v>
      </c>
      <c r="N1173" t="s">
        <v>67</v>
      </c>
      <c r="O1173" t="s">
        <v>121</v>
      </c>
      <c r="Q1173" t="s">
        <v>122</v>
      </c>
      <c r="R1173" t="s">
        <v>123</v>
      </c>
      <c r="S1173" s="5"/>
      <c r="T1173" t="s">
        <v>72</v>
      </c>
      <c r="U1173" t="s">
        <v>102</v>
      </c>
      <c r="V1173" t="s">
        <v>74</v>
      </c>
      <c r="W1173" t="s">
        <v>87</v>
      </c>
      <c r="AE1173" s="2"/>
      <c r="AF1173" s="2"/>
      <c r="AG1173" s="2"/>
      <c r="AH1173" s="2"/>
      <c r="AK1173" t="s">
        <v>1652</v>
      </c>
      <c r="AL1173" s="2">
        <v>950000</v>
      </c>
      <c r="AM1173" s="2">
        <v>0</v>
      </c>
      <c r="AN1173" s="2"/>
      <c r="AO1173" s="2">
        <v>0</v>
      </c>
      <c r="AP1173" s="2">
        <v>950000</v>
      </c>
      <c r="AQ1173" s="2">
        <v>0</v>
      </c>
      <c r="AR1173" s="2">
        <v>0</v>
      </c>
      <c r="AS1173" s="2">
        <v>0</v>
      </c>
      <c r="AT1173" s="2">
        <v>0</v>
      </c>
      <c r="AU1173" s="2">
        <v>0</v>
      </c>
      <c r="AV1173" s="2">
        <v>0</v>
      </c>
      <c r="AW1173" s="4"/>
      <c r="AX1173" t="s">
        <v>75</v>
      </c>
      <c r="AZ1173" t="s">
        <v>2017</v>
      </c>
      <c r="BA1173" t="s">
        <v>67</v>
      </c>
      <c r="BB1173" t="s">
        <v>2018</v>
      </c>
      <c r="BC1173" t="s">
        <v>223</v>
      </c>
      <c r="BD1173" t="s">
        <v>79</v>
      </c>
      <c r="BE1173" t="s">
        <v>177</v>
      </c>
      <c r="BF1173" s="5">
        <v>47027</v>
      </c>
      <c r="BH1173">
        <v>1</v>
      </c>
      <c r="BI1173" s="6">
        <v>1900000</v>
      </c>
      <c r="BJ1173" s="6">
        <v>50</v>
      </c>
      <c r="BK1173" s="6">
        <v>950000</v>
      </c>
      <c r="BL1173" s="6">
        <v>950000</v>
      </c>
      <c r="BM1173" s="2">
        <v>950000</v>
      </c>
      <c r="BN1173">
        <f>InvoiceTable[[#This Row],[Giảm giá]]*InvoiceTable[[#This Row],[Số lượng]]</f>
        <v>950000</v>
      </c>
    </row>
    <row r="1174" spans="1:66" x14ac:dyDescent="0.25">
      <c r="A1174" t="s">
        <v>65</v>
      </c>
      <c r="B1174" t="s">
        <v>3279</v>
      </c>
      <c r="F1174" s="2"/>
      <c r="G1174" s="3">
        <v>46004.476503472222</v>
      </c>
      <c r="H1174" s="3">
        <v>46004.47650355324</v>
      </c>
      <c r="I1174" s="4" t="s">
        <v>67</v>
      </c>
      <c r="J1174" t="s">
        <v>67</v>
      </c>
      <c r="K1174" t="s">
        <v>67</v>
      </c>
      <c r="L1174" t="s">
        <v>295</v>
      </c>
      <c r="M1174" t="s">
        <v>296</v>
      </c>
      <c r="N1174" t="s">
        <v>67</v>
      </c>
      <c r="O1174" t="s">
        <v>297</v>
      </c>
      <c r="P1174" t="s">
        <v>298</v>
      </c>
      <c r="S1174" s="5"/>
      <c r="T1174" t="s">
        <v>72</v>
      </c>
      <c r="U1174" t="s">
        <v>87</v>
      </c>
      <c r="V1174" t="s">
        <v>74</v>
      </c>
      <c r="W1174" t="s">
        <v>87</v>
      </c>
      <c r="AE1174" s="2"/>
      <c r="AF1174" s="2"/>
      <c r="AG1174" s="2"/>
      <c r="AH1174" s="2"/>
      <c r="AL1174" s="2">
        <v>410000</v>
      </c>
      <c r="AM1174" s="2">
        <v>0</v>
      </c>
      <c r="AN1174" s="2"/>
      <c r="AO1174" s="2">
        <v>0</v>
      </c>
      <c r="AP1174" s="2">
        <v>410000</v>
      </c>
      <c r="AQ1174" s="2">
        <v>0</v>
      </c>
      <c r="AR1174" s="2">
        <v>0</v>
      </c>
      <c r="AS1174" s="2">
        <v>0</v>
      </c>
      <c r="AT1174" s="2">
        <v>0</v>
      </c>
      <c r="AU1174" s="2">
        <v>0</v>
      </c>
      <c r="AV1174" s="2">
        <v>0</v>
      </c>
      <c r="AW1174" s="4"/>
      <c r="AX1174" t="s">
        <v>75</v>
      </c>
      <c r="AZ1174" t="s">
        <v>828</v>
      </c>
      <c r="BA1174" t="s">
        <v>67</v>
      </c>
      <c r="BB1174" t="s">
        <v>829</v>
      </c>
      <c r="BC1174" t="s">
        <v>830</v>
      </c>
      <c r="BD1174" t="s">
        <v>79</v>
      </c>
      <c r="BE1174" t="s">
        <v>117</v>
      </c>
      <c r="BF1174" s="5">
        <v>46569</v>
      </c>
      <c r="BH1174">
        <v>1</v>
      </c>
      <c r="BI1174" s="6">
        <v>550000</v>
      </c>
      <c r="BJ1174" s="6">
        <v>0</v>
      </c>
      <c r="BK1174" s="6">
        <v>140000</v>
      </c>
      <c r="BL1174" s="6">
        <v>410000</v>
      </c>
      <c r="BM1174" s="2">
        <v>410000</v>
      </c>
      <c r="BN1174">
        <f>InvoiceTable[[#This Row],[Giảm giá]]*InvoiceTable[[#This Row],[Số lượng]]</f>
        <v>140000</v>
      </c>
    </row>
    <row r="1175" spans="1:66" x14ac:dyDescent="0.25">
      <c r="A1175" t="s">
        <v>65</v>
      </c>
      <c r="B1175" t="s">
        <v>3280</v>
      </c>
      <c r="F1175" s="2"/>
      <c r="G1175" s="3">
        <v>46004.475962268516</v>
      </c>
      <c r="H1175" s="3">
        <v>46004.475950810185</v>
      </c>
      <c r="I1175" s="4" t="s">
        <v>3281</v>
      </c>
      <c r="J1175" t="s">
        <v>3282</v>
      </c>
      <c r="K1175" t="s">
        <v>67</v>
      </c>
      <c r="L1175" t="s">
        <v>3283</v>
      </c>
      <c r="M1175" t="s">
        <v>3284</v>
      </c>
      <c r="N1175" t="s">
        <v>67</v>
      </c>
      <c r="O1175" t="s">
        <v>3285</v>
      </c>
      <c r="P1175" t="s">
        <v>3286</v>
      </c>
      <c r="Q1175" t="s">
        <v>67</v>
      </c>
      <c r="R1175" t="s">
        <v>67</v>
      </c>
      <c r="S1175" s="5"/>
      <c r="T1175" t="s">
        <v>72</v>
      </c>
      <c r="U1175" t="s">
        <v>1031</v>
      </c>
      <c r="V1175" t="s">
        <v>74</v>
      </c>
      <c r="W1175" t="s">
        <v>87</v>
      </c>
      <c r="AE1175" s="2"/>
      <c r="AF1175" s="2"/>
      <c r="AG1175" s="2"/>
      <c r="AH1175" s="2"/>
      <c r="AK1175" t="s">
        <v>67</v>
      </c>
      <c r="AL1175" s="2">
        <v>4550000</v>
      </c>
      <c r="AM1175" s="2">
        <v>0</v>
      </c>
      <c r="AN1175" s="2"/>
      <c r="AO1175" s="2">
        <v>0</v>
      </c>
      <c r="AP1175" s="2">
        <v>4550000</v>
      </c>
      <c r="AQ1175" s="2">
        <v>4550000</v>
      </c>
      <c r="AR1175" s="2">
        <v>4550000</v>
      </c>
      <c r="AS1175" s="2">
        <v>0</v>
      </c>
      <c r="AT1175" s="2">
        <v>0</v>
      </c>
      <c r="AU1175" s="2">
        <v>0</v>
      </c>
      <c r="AV1175" s="2">
        <v>0</v>
      </c>
      <c r="AW1175" s="4"/>
      <c r="AX1175" t="s">
        <v>75</v>
      </c>
      <c r="AZ1175" t="s">
        <v>581</v>
      </c>
      <c r="BA1175" t="s">
        <v>67</v>
      </c>
      <c r="BB1175" t="s">
        <v>582</v>
      </c>
      <c r="BC1175" t="s">
        <v>583</v>
      </c>
      <c r="BD1175" t="s">
        <v>79</v>
      </c>
      <c r="BE1175" t="s">
        <v>155</v>
      </c>
      <c r="BF1175" s="5">
        <v>46600</v>
      </c>
      <c r="BG1175" t="s">
        <v>67</v>
      </c>
      <c r="BH1175">
        <v>1</v>
      </c>
      <c r="BI1175" s="6">
        <v>2600000</v>
      </c>
      <c r="BJ1175" s="6">
        <v>0</v>
      </c>
      <c r="BK1175" s="6">
        <v>550000</v>
      </c>
      <c r="BL1175" s="6">
        <v>2050000</v>
      </c>
      <c r="BM1175" s="2">
        <v>2050000</v>
      </c>
      <c r="BN1175">
        <f>InvoiceTable[[#This Row],[Giảm giá]]*InvoiceTable[[#This Row],[Số lượng]]</f>
        <v>550000</v>
      </c>
    </row>
    <row r="1176" spans="1:66" x14ac:dyDescent="0.25">
      <c r="A1176" t="s">
        <v>65</v>
      </c>
      <c r="B1176" t="s">
        <v>3280</v>
      </c>
      <c r="F1176" s="2"/>
      <c r="G1176" s="3">
        <v>46004.475962268516</v>
      </c>
      <c r="H1176" s="3">
        <v>46004.475950810185</v>
      </c>
      <c r="I1176" s="4" t="s">
        <v>3281</v>
      </c>
      <c r="J1176" t="s">
        <v>3282</v>
      </c>
      <c r="K1176" t="s">
        <v>67</v>
      </c>
      <c r="L1176" t="s">
        <v>3283</v>
      </c>
      <c r="M1176" t="s">
        <v>3284</v>
      </c>
      <c r="N1176" t="s">
        <v>67</v>
      </c>
      <c r="O1176" t="s">
        <v>3285</v>
      </c>
      <c r="P1176" t="s">
        <v>3286</v>
      </c>
      <c r="Q1176" t="s">
        <v>67</v>
      </c>
      <c r="R1176" t="s">
        <v>67</v>
      </c>
      <c r="S1176" s="5"/>
      <c r="T1176" t="s">
        <v>72</v>
      </c>
      <c r="U1176" t="s">
        <v>1031</v>
      </c>
      <c r="V1176" t="s">
        <v>74</v>
      </c>
      <c r="W1176" t="s">
        <v>87</v>
      </c>
      <c r="AE1176" s="2"/>
      <c r="AF1176" s="2"/>
      <c r="AG1176" s="2"/>
      <c r="AH1176" s="2"/>
      <c r="AK1176" t="s">
        <v>67</v>
      </c>
      <c r="AL1176" s="2">
        <v>4550000</v>
      </c>
      <c r="AM1176" s="2">
        <v>0</v>
      </c>
      <c r="AN1176" s="2"/>
      <c r="AO1176" s="2">
        <v>0</v>
      </c>
      <c r="AP1176" s="2">
        <v>4550000</v>
      </c>
      <c r="AQ1176" s="2">
        <v>4550000</v>
      </c>
      <c r="AR1176" s="2">
        <v>4550000</v>
      </c>
      <c r="AS1176" s="2">
        <v>0</v>
      </c>
      <c r="AT1176" s="2">
        <v>0</v>
      </c>
      <c r="AU1176" s="2">
        <v>0</v>
      </c>
      <c r="AV1176" s="2">
        <v>0</v>
      </c>
      <c r="AW1176" s="4"/>
      <c r="AX1176" t="s">
        <v>75</v>
      </c>
      <c r="AZ1176" t="s">
        <v>107</v>
      </c>
      <c r="BA1176" t="s">
        <v>67</v>
      </c>
      <c r="BB1176" t="s">
        <v>108</v>
      </c>
      <c r="BC1176" t="s">
        <v>109</v>
      </c>
      <c r="BD1176" t="s">
        <v>79</v>
      </c>
      <c r="BE1176" t="s">
        <v>94</v>
      </c>
      <c r="BF1176" s="5">
        <v>46692</v>
      </c>
      <c r="BG1176" t="s">
        <v>67</v>
      </c>
      <c r="BH1176">
        <v>1</v>
      </c>
      <c r="BI1176" s="6">
        <v>4500000</v>
      </c>
      <c r="BJ1176" s="6">
        <v>0</v>
      </c>
      <c r="BK1176" s="6">
        <v>2000000</v>
      </c>
      <c r="BL1176" s="6">
        <v>2500000</v>
      </c>
      <c r="BM1176" s="2">
        <v>2500000</v>
      </c>
      <c r="BN1176">
        <f>InvoiceTable[[#This Row],[Giảm giá]]*InvoiceTable[[#This Row],[Số lượng]]</f>
        <v>2000000</v>
      </c>
    </row>
    <row r="1177" spans="1:66" x14ac:dyDescent="0.25">
      <c r="A1177" t="s">
        <v>65</v>
      </c>
      <c r="B1177" t="s">
        <v>3287</v>
      </c>
      <c r="F1177" s="2"/>
      <c r="G1177" s="3">
        <v>46004.473228784722</v>
      </c>
      <c r="H1177" s="3">
        <v>46004.473228900461</v>
      </c>
      <c r="I1177" s="4" t="s">
        <v>67</v>
      </c>
      <c r="J1177" t="s">
        <v>67</v>
      </c>
      <c r="K1177" t="s">
        <v>67</v>
      </c>
      <c r="L1177" t="s">
        <v>2346</v>
      </c>
      <c r="M1177" t="s">
        <v>2347</v>
      </c>
      <c r="N1177" t="s">
        <v>2348</v>
      </c>
      <c r="O1177" t="s">
        <v>2349</v>
      </c>
      <c r="P1177" t="s">
        <v>2350</v>
      </c>
      <c r="S1177" s="5"/>
      <c r="T1177" t="s">
        <v>72</v>
      </c>
      <c r="U1177" t="s">
        <v>87</v>
      </c>
      <c r="V1177" t="s">
        <v>74</v>
      </c>
      <c r="W1177" t="s">
        <v>87</v>
      </c>
      <c r="AE1177" s="2"/>
      <c r="AF1177" s="2"/>
      <c r="AG1177" s="2"/>
      <c r="AH1177" s="2"/>
      <c r="AL1177" s="2">
        <v>6860000</v>
      </c>
      <c r="AM1177" s="2">
        <v>0</v>
      </c>
      <c r="AN1177" s="2"/>
      <c r="AO1177" s="2">
        <v>0</v>
      </c>
      <c r="AP1177" s="2">
        <v>6860000</v>
      </c>
      <c r="AQ1177" s="2">
        <v>6860000</v>
      </c>
      <c r="AR1177" s="2">
        <v>0</v>
      </c>
      <c r="AS1177" s="2">
        <v>0</v>
      </c>
      <c r="AT1177" s="2">
        <v>0</v>
      </c>
      <c r="AU1177" s="2">
        <v>6860000</v>
      </c>
      <c r="AV1177" s="2">
        <v>0</v>
      </c>
      <c r="AW1177" s="4"/>
      <c r="AX1177" t="s">
        <v>75</v>
      </c>
      <c r="AZ1177" t="s">
        <v>573</v>
      </c>
      <c r="BA1177" t="s">
        <v>67</v>
      </c>
      <c r="BB1177" t="s">
        <v>89</v>
      </c>
      <c r="BC1177" t="s">
        <v>90</v>
      </c>
      <c r="BF1177" s="5"/>
      <c r="BG1177" t="s">
        <v>67</v>
      </c>
      <c r="BH1177">
        <v>1</v>
      </c>
      <c r="BI1177" s="6">
        <v>60000</v>
      </c>
      <c r="BJ1177" s="6">
        <v>0</v>
      </c>
      <c r="BK1177" s="6">
        <v>0</v>
      </c>
      <c r="BL1177" s="6">
        <v>60000</v>
      </c>
      <c r="BM1177" s="2">
        <v>60000</v>
      </c>
      <c r="BN1177">
        <f>InvoiceTable[[#This Row],[Giảm giá]]*InvoiceTable[[#This Row],[Số lượng]]</f>
        <v>0</v>
      </c>
    </row>
    <row r="1178" spans="1:66" x14ac:dyDescent="0.25">
      <c r="A1178" t="s">
        <v>65</v>
      </c>
      <c r="B1178" t="s">
        <v>3287</v>
      </c>
      <c r="F1178" s="2"/>
      <c r="G1178" s="3">
        <v>46004.473228784722</v>
      </c>
      <c r="H1178" s="3">
        <v>46004.473228900461</v>
      </c>
      <c r="I1178" s="4" t="s">
        <v>67</v>
      </c>
      <c r="J1178" t="s">
        <v>67</v>
      </c>
      <c r="K1178" t="s">
        <v>67</v>
      </c>
      <c r="L1178" t="s">
        <v>2346</v>
      </c>
      <c r="M1178" t="s">
        <v>2347</v>
      </c>
      <c r="N1178" t="s">
        <v>2348</v>
      </c>
      <c r="O1178" t="s">
        <v>2349</v>
      </c>
      <c r="P1178" t="s">
        <v>2350</v>
      </c>
      <c r="S1178" s="5"/>
      <c r="T1178" t="s">
        <v>72</v>
      </c>
      <c r="U1178" t="s">
        <v>87</v>
      </c>
      <c r="V1178" t="s">
        <v>74</v>
      </c>
      <c r="W1178" t="s">
        <v>87</v>
      </c>
      <c r="AE1178" s="2"/>
      <c r="AF1178" s="2"/>
      <c r="AG1178" s="2"/>
      <c r="AH1178" s="2"/>
      <c r="AL1178" s="2">
        <v>6860000</v>
      </c>
      <c r="AM1178" s="2">
        <v>0</v>
      </c>
      <c r="AN1178" s="2"/>
      <c r="AO1178" s="2">
        <v>0</v>
      </c>
      <c r="AP1178" s="2">
        <v>6860000</v>
      </c>
      <c r="AQ1178" s="2">
        <v>6860000</v>
      </c>
      <c r="AR1178" s="2">
        <v>0</v>
      </c>
      <c r="AS1178" s="2">
        <v>0</v>
      </c>
      <c r="AT1178" s="2">
        <v>0</v>
      </c>
      <c r="AU1178" s="2">
        <v>6860000</v>
      </c>
      <c r="AV1178" s="2">
        <v>0</v>
      </c>
      <c r="AW1178" s="4"/>
      <c r="AX1178" t="s">
        <v>75</v>
      </c>
      <c r="AZ1178" t="s">
        <v>782</v>
      </c>
      <c r="BA1178" t="s">
        <v>67</v>
      </c>
      <c r="BB1178" t="s">
        <v>783</v>
      </c>
      <c r="BC1178" t="s">
        <v>784</v>
      </c>
      <c r="BD1178" t="s">
        <v>79</v>
      </c>
      <c r="BE1178" t="s">
        <v>106</v>
      </c>
      <c r="BF1178" s="5">
        <v>46327</v>
      </c>
      <c r="BH1178">
        <v>1</v>
      </c>
      <c r="BI1178" s="6">
        <v>3550000</v>
      </c>
      <c r="BJ1178" s="6">
        <v>0</v>
      </c>
      <c r="BK1178" s="6">
        <v>700000</v>
      </c>
      <c r="BL1178" s="6">
        <v>2850000</v>
      </c>
      <c r="BM1178" s="2">
        <v>2850000</v>
      </c>
      <c r="BN1178">
        <f>InvoiceTable[[#This Row],[Giảm giá]]*InvoiceTable[[#This Row],[Số lượng]]</f>
        <v>700000</v>
      </c>
    </row>
    <row r="1179" spans="1:66" x14ac:dyDescent="0.25">
      <c r="A1179" t="s">
        <v>65</v>
      </c>
      <c r="B1179" t="s">
        <v>3287</v>
      </c>
      <c r="F1179" s="2"/>
      <c r="G1179" s="3">
        <v>46004.473228784722</v>
      </c>
      <c r="H1179" s="3">
        <v>46004.473228900461</v>
      </c>
      <c r="I1179" s="4" t="s">
        <v>67</v>
      </c>
      <c r="J1179" t="s">
        <v>67</v>
      </c>
      <c r="K1179" t="s">
        <v>67</v>
      </c>
      <c r="L1179" t="s">
        <v>2346</v>
      </c>
      <c r="M1179" t="s">
        <v>2347</v>
      </c>
      <c r="N1179" t="s">
        <v>2348</v>
      </c>
      <c r="O1179" t="s">
        <v>2349</v>
      </c>
      <c r="P1179" t="s">
        <v>2350</v>
      </c>
      <c r="S1179" s="5"/>
      <c r="T1179" t="s">
        <v>72</v>
      </c>
      <c r="U1179" t="s">
        <v>87</v>
      </c>
      <c r="V1179" t="s">
        <v>74</v>
      </c>
      <c r="W1179" t="s">
        <v>87</v>
      </c>
      <c r="AE1179" s="2"/>
      <c r="AF1179" s="2"/>
      <c r="AG1179" s="2"/>
      <c r="AH1179" s="2"/>
      <c r="AL1179" s="2">
        <v>6860000</v>
      </c>
      <c r="AM1179" s="2">
        <v>0</v>
      </c>
      <c r="AN1179" s="2"/>
      <c r="AO1179" s="2">
        <v>0</v>
      </c>
      <c r="AP1179" s="2">
        <v>6860000</v>
      </c>
      <c r="AQ1179" s="2">
        <v>6860000</v>
      </c>
      <c r="AR1179" s="2">
        <v>0</v>
      </c>
      <c r="AS1179" s="2">
        <v>0</v>
      </c>
      <c r="AT1179" s="2">
        <v>0</v>
      </c>
      <c r="AU1179" s="2">
        <v>6860000</v>
      </c>
      <c r="AV1179" s="2">
        <v>0</v>
      </c>
      <c r="AW1179" s="4"/>
      <c r="AX1179" t="s">
        <v>75</v>
      </c>
      <c r="AZ1179" t="s">
        <v>3288</v>
      </c>
      <c r="BB1179" t="s">
        <v>3289</v>
      </c>
      <c r="BC1179" t="s">
        <v>391</v>
      </c>
      <c r="BD1179" t="s">
        <v>79</v>
      </c>
      <c r="BE1179" t="s">
        <v>3290</v>
      </c>
      <c r="BF1179" s="5">
        <v>46297</v>
      </c>
      <c r="BG1179" t="s">
        <v>67</v>
      </c>
      <c r="BH1179">
        <v>1</v>
      </c>
      <c r="BI1179" s="6">
        <v>9000000</v>
      </c>
      <c r="BJ1179" s="6">
        <v>0</v>
      </c>
      <c r="BK1179" s="6">
        <v>5050000</v>
      </c>
      <c r="BL1179" s="6">
        <v>3950000</v>
      </c>
      <c r="BM1179" s="2">
        <v>3950000</v>
      </c>
      <c r="BN1179">
        <f>InvoiceTable[[#This Row],[Giảm giá]]*InvoiceTable[[#This Row],[Số lượng]]</f>
        <v>5050000</v>
      </c>
    </row>
    <row r="1180" spans="1:66" x14ac:dyDescent="0.25">
      <c r="A1180" t="s">
        <v>65</v>
      </c>
      <c r="B1180" t="s">
        <v>3291</v>
      </c>
      <c r="F1180" s="2"/>
      <c r="G1180" s="3">
        <v>46004.400155173615</v>
      </c>
      <c r="H1180" s="3">
        <v>46004.40015559028</v>
      </c>
      <c r="I1180" s="4" t="s">
        <v>67</v>
      </c>
      <c r="J1180" t="s">
        <v>3292</v>
      </c>
      <c r="K1180" t="s">
        <v>67</v>
      </c>
      <c r="L1180" t="s">
        <v>766</v>
      </c>
      <c r="M1180" t="s">
        <v>767</v>
      </c>
      <c r="N1180" t="s">
        <v>67</v>
      </c>
      <c r="Q1180" t="s">
        <v>67</v>
      </c>
      <c r="R1180" t="s">
        <v>67</v>
      </c>
      <c r="S1180" s="5"/>
      <c r="T1180" t="s">
        <v>72</v>
      </c>
      <c r="U1180" t="s">
        <v>87</v>
      </c>
      <c r="V1180" t="s">
        <v>74</v>
      </c>
      <c r="W1180" t="s">
        <v>87</v>
      </c>
      <c r="AE1180" s="2"/>
      <c r="AF1180" s="2"/>
      <c r="AG1180" s="2"/>
      <c r="AH1180" s="2"/>
      <c r="AK1180" t="s">
        <v>67</v>
      </c>
      <c r="AL1180" s="2">
        <v>692160</v>
      </c>
      <c r="AM1180" s="2">
        <v>0</v>
      </c>
      <c r="AN1180" s="2"/>
      <c r="AO1180" s="2">
        <v>0</v>
      </c>
      <c r="AP1180" s="2">
        <v>692160</v>
      </c>
      <c r="AQ1180" s="2">
        <v>0</v>
      </c>
      <c r="AR1180" s="2">
        <v>0</v>
      </c>
      <c r="AS1180" s="2">
        <v>0</v>
      </c>
      <c r="AT1180" s="2">
        <v>0</v>
      </c>
      <c r="AU1180" s="2">
        <v>0</v>
      </c>
      <c r="AV1180" s="2">
        <v>0</v>
      </c>
      <c r="AW1180" s="4"/>
      <c r="AX1180" t="s">
        <v>75</v>
      </c>
      <c r="AZ1180" t="s">
        <v>2830</v>
      </c>
      <c r="BA1180" t="s">
        <v>67</v>
      </c>
      <c r="BB1180" t="s">
        <v>2831</v>
      </c>
      <c r="BC1180" t="s">
        <v>173</v>
      </c>
      <c r="BD1180" t="s">
        <v>79</v>
      </c>
      <c r="BE1180" t="s">
        <v>2535</v>
      </c>
      <c r="BF1180" s="5">
        <v>47331</v>
      </c>
      <c r="BG1180" t="s">
        <v>67</v>
      </c>
      <c r="BH1180">
        <v>1</v>
      </c>
      <c r="BI1180" s="6">
        <v>1236000</v>
      </c>
      <c r="BJ1180" s="6">
        <v>44</v>
      </c>
      <c r="BK1180" s="6">
        <v>543840</v>
      </c>
      <c r="BL1180" s="6">
        <v>692160</v>
      </c>
      <c r="BM1180" s="2">
        <v>692160</v>
      </c>
      <c r="BN1180">
        <f>InvoiceTable[[#This Row],[Giảm giá]]*InvoiceTable[[#This Row],[Số lượng]]</f>
        <v>543840</v>
      </c>
    </row>
    <row r="1181" spans="1:66" x14ac:dyDescent="0.25">
      <c r="A1181" t="s">
        <v>65</v>
      </c>
      <c r="B1181" t="s">
        <v>3293</v>
      </c>
      <c r="F1181" s="2"/>
      <c r="G1181" s="3">
        <v>46003.737192326385</v>
      </c>
      <c r="H1181" s="3">
        <v>46003.737180937504</v>
      </c>
      <c r="I1181" s="4" t="s">
        <v>3294</v>
      </c>
      <c r="J1181" t="s">
        <v>67</v>
      </c>
      <c r="K1181" t="s">
        <v>3295</v>
      </c>
      <c r="L1181" t="s">
        <v>672</v>
      </c>
      <c r="M1181" t="s">
        <v>673</v>
      </c>
      <c r="N1181" t="s">
        <v>67</v>
      </c>
      <c r="Q1181" t="s">
        <v>67</v>
      </c>
      <c r="R1181" t="s">
        <v>67</v>
      </c>
      <c r="S1181" s="5"/>
      <c r="T1181" t="s">
        <v>72</v>
      </c>
      <c r="U1181" t="s">
        <v>87</v>
      </c>
      <c r="V1181" t="s">
        <v>74</v>
      </c>
      <c r="W1181" t="s">
        <v>87</v>
      </c>
      <c r="AE1181" s="2"/>
      <c r="AF1181" s="2"/>
      <c r="AG1181" s="2"/>
      <c r="AH1181" s="2"/>
      <c r="AK1181" t="s">
        <v>3296</v>
      </c>
      <c r="AL1181" s="2">
        <v>10900000</v>
      </c>
      <c r="AM1181" s="2">
        <v>0</v>
      </c>
      <c r="AN1181" s="2"/>
      <c r="AO1181" s="2">
        <v>0</v>
      </c>
      <c r="AP1181" s="2">
        <v>10900000</v>
      </c>
      <c r="AQ1181" s="2">
        <v>0</v>
      </c>
      <c r="AR1181" s="2">
        <v>0</v>
      </c>
      <c r="AS1181" s="2">
        <v>0</v>
      </c>
      <c r="AT1181" s="2">
        <v>0</v>
      </c>
      <c r="AU1181" s="2">
        <v>0</v>
      </c>
      <c r="AV1181" s="2">
        <v>0</v>
      </c>
      <c r="AW1181" s="4"/>
      <c r="AX1181" t="s">
        <v>75</v>
      </c>
      <c r="AZ1181" t="s">
        <v>1019</v>
      </c>
      <c r="BA1181" t="s">
        <v>67</v>
      </c>
      <c r="BB1181" t="s">
        <v>1020</v>
      </c>
      <c r="BC1181" t="s">
        <v>676</v>
      </c>
      <c r="BD1181" t="s">
        <v>79</v>
      </c>
      <c r="BE1181" t="s">
        <v>131</v>
      </c>
      <c r="BF1181" s="5">
        <v>46874</v>
      </c>
      <c r="BH1181">
        <v>10</v>
      </c>
      <c r="BI1181" s="6">
        <v>1690000</v>
      </c>
      <c r="BJ1181" s="6">
        <v>0</v>
      </c>
      <c r="BK1181" s="6">
        <v>600000</v>
      </c>
      <c r="BL1181" s="6">
        <v>1090000</v>
      </c>
      <c r="BM1181" s="2">
        <v>10900000</v>
      </c>
      <c r="BN1181">
        <f>InvoiceTable[[#This Row],[Giảm giá]]*InvoiceTable[[#This Row],[Số lượng]]</f>
        <v>6000000</v>
      </c>
    </row>
    <row r="1182" spans="1:66" x14ac:dyDescent="0.25">
      <c r="A1182" t="s">
        <v>65</v>
      </c>
      <c r="B1182" t="s">
        <v>3297</v>
      </c>
      <c r="F1182" s="2"/>
      <c r="G1182" s="3">
        <v>46003.729801967595</v>
      </c>
      <c r="H1182" s="3">
        <v>46003.729790509256</v>
      </c>
      <c r="I1182" s="4" t="s">
        <v>3298</v>
      </c>
      <c r="J1182" t="s">
        <v>67</v>
      </c>
      <c r="K1182" t="s">
        <v>67</v>
      </c>
      <c r="L1182" t="s">
        <v>1099</v>
      </c>
      <c r="M1182" t="s">
        <v>1100</v>
      </c>
      <c r="N1182" t="s">
        <v>67</v>
      </c>
      <c r="O1182" t="s">
        <v>1101</v>
      </c>
      <c r="P1182" t="s">
        <v>1102</v>
      </c>
      <c r="S1182" s="5"/>
      <c r="T1182" t="s">
        <v>72</v>
      </c>
      <c r="U1182" t="s">
        <v>87</v>
      </c>
      <c r="V1182" t="s">
        <v>74</v>
      </c>
      <c r="W1182" t="s">
        <v>87</v>
      </c>
      <c r="AE1182" s="2"/>
      <c r="AF1182" s="2"/>
      <c r="AG1182" s="2"/>
      <c r="AH1182" s="2"/>
      <c r="AL1182" s="2">
        <v>11300000</v>
      </c>
      <c r="AM1182" s="2">
        <v>0</v>
      </c>
      <c r="AN1182" s="2"/>
      <c r="AO1182" s="2">
        <v>0</v>
      </c>
      <c r="AP1182" s="2">
        <v>11300000</v>
      </c>
      <c r="AQ1182" s="2">
        <v>0</v>
      </c>
      <c r="AR1182" s="2">
        <v>0</v>
      </c>
      <c r="AS1182" s="2">
        <v>0</v>
      </c>
      <c r="AT1182" s="2">
        <v>0</v>
      </c>
      <c r="AU1182" s="2">
        <v>0</v>
      </c>
      <c r="AV1182" s="2">
        <v>0</v>
      </c>
      <c r="AW1182" s="4"/>
      <c r="AX1182" t="s">
        <v>75</v>
      </c>
      <c r="AZ1182" t="s">
        <v>107</v>
      </c>
      <c r="BA1182" t="s">
        <v>67</v>
      </c>
      <c r="BB1182" t="s">
        <v>108</v>
      </c>
      <c r="BC1182" t="s">
        <v>109</v>
      </c>
      <c r="BD1182" t="s">
        <v>79</v>
      </c>
      <c r="BE1182" t="s">
        <v>94</v>
      </c>
      <c r="BF1182" s="5">
        <v>46692</v>
      </c>
      <c r="BH1182">
        <v>2</v>
      </c>
      <c r="BI1182" s="6">
        <v>4500000</v>
      </c>
      <c r="BJ1182" s="6">
        <v>0</v>
      </c>
      <c r="BK1182" s="6">
        <v>2000000</v>
      </c>
      <c r="BL1182" s="6">
        <v>2500000</v>
      </c>
      <c r="BM1182" s="2">
        <v>5000000</v>
      </c>
      <c r="BN1182">
        <f>InvoiceTable[[#This Row],[Giảm giá]]*InvoiceTable[[#This Row],[Số lượng]]</f>
        <v>4000000</v>
      </c>
    </row>
    <row r="1183" spans="1:66" x14ac:dyDescent="0.25">
      <c r="A1183" t="s">
        <v>65</v>
      </c>
      <c r="B1183" t="s">
        <v>3297</v>
      </c>
      <c r="F1183" s="2"/>
      <c r="G1183" s="3">
        <v>46003.729801967595</v>
      </c>
      <c r="H1183" s="3">
        <v>46003.729790509256</v>
      </c>
      <c r="I1183" s="4" t="s">
        <v>3298</v>
      </c>
      <c r="J1183" t="s">
        <v>67</v>
      </c>
      <c r="K1183" t="s">
        <v>67</v>
      </c>
      <c r="L1183" t="s">
        <v>1099</v>
      </c>
      <c r="M1183" t="s">
        <v>1100</v>
      </c>
      <c r="N1183" t="s">
        <v>67</v>
      </c>
      <c r="O1183" t="s">
        <v>1101</v>
      </c>
      <c r="P1183" t="s">
        <v>1102</v>
      </c>
      <c r="S1183" s="5"/>
      <c r="T1183" t="s">
        <v>72</v>
      </c>
      <c r="U1183" t="s">
        <v>87</v>
      </c>
      <c r="V1183" t="s">
        <v>74</v>
      </c>
      <c r="W1183" t="s">
        <v>87</v>
      </c>
      <c r="AE1183" s="2"/>
      <c r="AF1183" s="2"/>
      <c r="AG1183" s="2"/>
      <c r="AH1183" s="2"/>
      <c r="AL1183" s="2">
        <v>11300000</v>
      </c>
      <c r="AM1183" s="2">
        <v>0</v>
      </c>
      <c r="AN1183" s="2"/>
      <c r="AO1183" s="2">
        <v>0</v>
      </c>
      <c r="AP1183" s="2">
        <v>11300000</v>
      </c>
      <c r="AQ1183" s="2">
        <v>0</v>
      </c>
      <c r="AR1183" s="2">
        <v>0</v>
      </c>
      <c r="AS1183" s="2">
        <v>0</v>
      </c>
      <c r="AT1183" s="2">
        <v>0</v>
      </c>
      <c r="AU1183" s="2">
        <v>0</v>
      </c>
      <c r="AV1183" s="2">
        <v>0</v>
      </c>
      <c r="AW1183" s="4"/>
      <c r="AX1183" t="s">
        <v>75</v>
      </c>
      <c r="AZ1183" t="s">
        <v>1678</v>
      </c>
      <c r="BB1183" t="s">
        <v>1679</v>
      </c>
      <c r="BC1183" t="s">
        <v>590</v>
      </c>
      <c r="BD1183" t="s">
        <v>79</v>
      </c>
      <c r="BE1183" t="s">
        <v>1231</v>
      </c>
      <c r="BF1183" s="5">
        <v>47239</v>
      </c>
      <c r="BH1183">
        <v>1</v>
      </c>
      <c r="BI1183" s="6">
        <v>7490000</v>
      </c>
      <c r="BJ1183" s="6">
        <v>0</v>
      </c>
      <c r="BK1183" s="6">
        <v>1190000</v>
      </c>
      <c r="BL1183" s="6">
        <v>6300000</v>
      </c>
      <c r="BM1183" s="2">
        <v>6300000</v>
      </c>
      <c r="BN1183">
        <f>InvoiceTable[[#This Row],[Giảm giá]]*InvoiceTable[[#This Row],[Số lượng]]</f>
        <v>1190000</v>
      </c>
    </row>
    <row r="1184" spans="1:66" x14ac:dyDescent="0.25">
      <c r="A1184" t="s">
        <v>65</v>
      </c>
      <c r="B1184" t="s">
        <v>3299</v>
      </c>
      <c r="F1184" s="2"/>
      <c r="G1184" s="3">
        <v>46003.724415312499</v>
      </c>
      <c r="H1184" s="3">
        <v>46003.724415659723</v>
      </c>
      <c r="I1184" s="4" t="s">
        <v>67</v>
      </c>
      <c r="J1184" t="s">
        <v>67</v>
      </c>
      <c r="K1184" t="s">
        <v>67</v>
      </c>
      <c r="L1184" t="s">
        <v>1952</v>
      </c>
      <c r="M1184" t="s">
        <v>1953</v>
      </c>
      <c r="N1184" t="s">
        <v>67</v>
      </c>
      <c r="Q1184" t="s">
        <v>67</v>
      </c>
      <c r="R1184" t="s">
        <v>67</v>
      </c>
      <c r="S1184" s="5"/>
      <c r="T1184" t="s">
        <v>72</v>
      </c>
      <c r="U1184" t="s">
        <v>87</v>
      </c>
      <c r="V1184" t="s">
        <v>74</v>
      </c>
      <c r="W1184" t="s">
        <v>87</v>
      </c>
      <c r="AE1184" s="2"/>
      <c r="AF1184" s="2"/>
      <c r="AG1184" s="2"/>
      <c r="AH1184" s="2"/>
      <c r="AK1184" t="s">
        <v>354</v>
      </c>
      <c r="AL1184" s="2">
        <v>9300000</v>
      </c>
      <c r="AM1184" s="2">
        <v>4650000</v>
      </c>
      <c r="AN1184" s="2"/>
      <c r="AO1184" s="2">
        <v>0</v>
      </c>
      <c r="AP1184" s="2">
        <v>4650000</v>
      </c>
      <c r="AQ1184" s="2">
        <v>0</v>
      </c>
      <c r="AR1184" s="2">
        <v>0</v>
      </c>
      <c r="AS1184" s="2">
        <v>0</v>
      </c>
      <c r="AT1184" s="2">
        <v>0</v>
      </c>
      <c r="AU1184" s="2">
        <v>0</v>
      </c>
      <c r="AV1184" s="2">
        <v>0</v>
      </c>
      <c r="AW1184" s="4"/>
      <c r="AX1184" t="s">
        <v>75</v>
      </c>
      <c r="AZ1184" t="s">
        <v>806</v>
      </c>
      <c r="BA1184" t="s">
        <v>67</v>
      </c>
      <c r="BB1184" t="s">
        <v>807</v>
      </c>
      <c r="BC1184" t="s">
        <v>78</v>
      </c>
      <c r="BD1184" t="s">
        <v>79</v>
      </c>
      <c r="BE1184" t="s">
        <v>188</v>
      </c>
      <c r="BF1184" s="5">
        <v>46905</v>
      </c>
      <c r="BH1184">
        <v>1</v>
      </c>
      <c r="BI1184" s="6">
        <v>5300000</v>
      </c>
      <c r="BJ1184" s="6">
        <v>0</v>
      </c>
      <c r="BK1184" s="6">
        <v>0</v>
      </c>
      <c r="BL1184" s="6">
        <v>5300000</v>
      </c>
      <c r="BM1184" s="2">
        <v>5300000</v>
      </c>
      <c r="BN1184">
        <f>InvoiceTable[[#This Row],[Giảm giá]]*InvoiceTable[[#This Row],[Số lượng]]</f>
        <v>0</v>
      </c>
    </row>
    <row r="1185" spans="1:66" x14ac:dyDescent="0.25">
      <c r="A1185" t="s">
        <v>65</v>
      </c>
      <c r="B1185" t="s">
        <v>3299</v>
      </c>
      <c r="F1185" s="2"/>
      <c r="G1185" s="3">
        <v>46003.724415312499</v>
      </c>
      <c r="H1185" s="3">
        <v>46003.724415659723</v>
      </c>
      <c r="I1185" s="4" t="s">
        <v>67</v>
      </c>
      <c r="J1185" t="s">
        <v>67</v>
      </c>
      <c r="K1185" t="s">
        <v>67</v>
      </c>
      <c r="L1185" t="s">
        <v>1952</v>
      </c>
      <c r="M1185" t="s">
        <v>1953</v>
      </c>
      <c r="N1185" t="s">
        <v>67</v>
      </c>
      <c r="Q1185" t="s">
        <v>67</v>
      </c>
      <c r="R1185" t="s">
        <v>67</v>
      </c>
      <c r="S1185" s="5"/>
      <c r="T1185" t="s">
        <v>72</v>
      </c>
      <c r="U1185" t="s">
        <v>87</v>
      </c>
      <c r="V1185" t="s">
        <v>74</v>
      </c>
      <c r="W1185" t="s">
        <v>87</v>
      </c>
      <c r="AE1185" s="2"/>
      <c r="AF1185" s="2"/>
      <c r="AG1185" s="2"/>
      <c r="AH1185" s="2"/>
      <c r="AK1185" t="s">
        <v>354</v>
      </c>
      <c r="AL1185" s="2">
        <v>9300000</v>
      </c>
      <c r="AM1185" s="2">
        <v>4650000</v>
      </c>
      <c r="AN1185" s="2"/>
      <c r="AO1185" s="2">
        <v>0</v>
      </c>
      <c r="AP1185" s="2">
        <v>4650000</v>
      </c>
      <c r="AQ1185" s="2">
        <v>0</v>
      </c>
      <c r="AR1185" s="2">
        <v>0</v>
      </c>
      <c r="AS1185" s="2">
        <v>0</v>
      </c>
      <c r="AT1185" s="2">
        <v>0</v>
      </c>
      <c r="AU1185" s="2">
        <v>0</v>
      </c>
      <c r="AV1185" s="2">
        <v>0</v>
      </c>
      <c r="AW1185" s="4"/>
      <c r="AX1185" t="s">
        <v>75</v>
      </c>
      <c r="AZ1185" t="s">
        <v>1634</v>
      </c>
      <c r="BA1185" t="s">
        <v>67</v>
      </c>
      <c r="BB1185" t="s">
        <v>1635</v>
      </c>
      <c r="BC1185" t="s">
        <v>78</v>
      </c>
      <c r="BD1185" t="s">
        <v>79</v>
      </c>
      <c r="BE1185" t="s">
        <v>142</v>
      </c>
      <c r="BF1185" s="5">
        <v>46844</v>
      </c>
      <c r="BH1185">
        <v>50</v>
      </c>
      <c r="BI1185" s="6">
        <v>80000</v>
      </c>
      <c r="BJ1185" s="6">
        <v>0</v>
      </c>
      <c r="BK1185" s="6">
        <v>0</v>
      </c>
      <c r="BL1185" s="6">
        <v>80000</v>
      </c>
      <c r="BM1185" s="2">
        <v>4000000</v>
      </c>
      <c r="BN1185">
        <f>InvoiceTable[[#This Row],[Giảm giá]]*InvoiceTable[[#This Row],[Số lượng]]</f>
        <v>0</v>
      </c>
    </row>
    <row r="1186" spans="1:66" x14ac:dyDescent="0.25">
      <c r="A1186" t="s">
        <v>65</v>
      </c>
      <c r="B1186" t="s">
        <v>3300</v>
      </c>
      <c r="F1186" s="2"/>
      <c r="G1186" s="3">
        <v>46003.723198344909</v>
      </c>
      <c r="H1186" s="3">
        <v>46003.723198414351</v>
      </c>
      <c r="I1186" s="4" t="s">
        <v>67</v>
      </c>
      <c r="J1186" t="s">
        <v>67</v>
      </c>
      <c r="K1186" t="s">
        <v>67</v>
      </c>
      <c r="L1186" t="s">
        <v>499</v>
      </c>
      <c r="M1186" t="s">
        <v>500</v>
      </c>
      <c r="N1186" t="s">
        <v>67</v>
      </c>
      <c r="O1186" t="s">
        <v>501</v>
      </c>
      <c r="P1186" t="s">
        <v>502</v>
      </c>
      <c r="S1186" s="5"/>
      <c r="T1186" t="s">
        <v>72</v>
      </c>
      <c r="U1186" t="s">
        <v>87</v>
      </c>
      <c r="V1186" t="s">
        <v>74</v>
      </c>
      <c r="W1186" t="s">
        <v>87</v>
      </c>
      <c r="AE1186" s="2"/>
      <c r="AF1186" s="2"/>
      <c r="AG1186" s="2"/>
      <c r="AH1186" s="2"/>
      <c r="AL1186" s="2">
        <v>11940000</v>
      </c>
      <c r="AM1186" s="2">
        <v>5970000</v>
      </c>
      <c r="AN1186" s="2"/>
      <c r="AO1186" s="2">
        <v>0</v>
      </c>
      <c r="AP1186" s="2">
        <v>5970000</v>
      </c>
      <c r="AQ1186" s="2">
        <v>0</v>
      </c>
      <c r="AR1186" s="2">
        <v>0</v>
      </c>
      <c r="AS1186" s="2">
        <v>0</v>
      </c>
      <c r="AT1186" s="2">
        <v>0</v>
      </c>
      <c r="AU1186" s="2">
        <v>0</v>
      </c>
      <c r="AV1186" s="2">
        <v>0</v>
      </c>
      <c r="AW1186" s="4"/>
      <c r="AX1186" t="s">
        <v>75</v>
      </c>
      <c r="AZ1186" t="s">
        <v>509</v>
      </c>
      <c r="BA1186" t="s">
        <v>67</v>
      </c>
      <c r="BB1186" t="s">
        <v>510</v>
      </c>
      <c r="BC1186" t="s">
        <v>78</v>
      </c>
      <c r="BD1186" t="s">
        <v>79</v>
      </c>
      <c r="BE1186" t="s">
        <v>198</v>
      </c>
      <c r="BF1186" s="5">
        <v>46753</v>
      </c>
      <c r="BG1186" t="s">
        <v>67</v>
      </c>
      <c r="BH1186">
        <v>1</v>
      </c>
      <c r="BI1186" s="6">
        <v>3750000</v>
      </c>
      <c r="BJ1186" s="6">
        <v>0</v>
      </c>
      <c r="BK1186" s="6">
        <v>0</v>
      </c>
      <c r="BL1186" s="6">
        <v>3750000</v>
      </c>
      <c r="BM1186" s="2">
        <v>3750000</v>
      </c>
      <c r="BN1186">
        <f>InvoiceTable[[#This Row],[Giảm giá]]*InvoiceTable[[#This Row],[Số lượng]]</f>
        <v>0</v>
      </c>
    </row>
    <row r="1187" spans="1:66" x14ac:dyDescent="0.25">
      <c r="A1187" t="s">
        <v>65</v>
      </c>
      <c r="B1187" t="s">
        <v>3300</v>
      </c>
      <c r="F1187" s="2"/>
      <c r="G1187" s="3">
        <v>46003.723198344909</v>
      </c>
      <c r="H1187" s="3">
        <v>46003.723198414351</v>
      </c>
      <c r="I1187" s="4" t="s">
        <v>67</v>
      </c>
      <c r="J1187" t="s">
        <v>67</v>
      </c>
      <c r="K1187" t="s">
        <v>67</v>
      </c>
      <c r="L1187" t="s">
        <v>499</v>
      </c>
      <c r="M1187" t="s">
        <v>500</v>
      </c>
      <c r="N1187" t="s">
        <v>67</v>
      </c>
      <c r="O1187" t="s">
        <v>501</v>
      </c>
      <c r="P1187" t="s">
        <v>502</v>
      </c>
      <c r="S1187" s="5"/>
      <c r="T1187" t="s">
        <v>72</v>
      </c>
      <c r="U1187" t="s">
        <v>87</v>
      </c>
      <c r="V1187" t="s">
        <v>74</v>
      </c>
      <c r="W1187" t="s">
        <v>87</v>
      </c>
      <c r="AE1187" s="2"/>
      <c r="AF1187" s="2"/>
      <c r="AG1187" s="2"/>
      <c r="AH1187" s="2"/>
      <c r="AL1187" s="2">
        <v>11940000</v>
      </c>
      <c r="AM1187" s="2">
        <v>5970000</v>
      </c>
      <c r="AN1187" s="2"/>
      <c r="AO1187" s="2">
        <v>0</v>
      </c>
      <c r="AP1187" s="2">
        <v>5970000</v>
      </c>
      <c r="AQ1187" s="2">
        <v>0</v>
      </c>
      <c r="AR1187" s="2">
        <v>0</v>
      </c>
      <c r="AS1187" s="2">
        <v>0</v>
      </c>
      <c r="AT1187" s="2">
        <v>0</v>
      </c>
      <c r="AU1187" s="2">
        <v>0</v>
      </c>
      <c r="AV1187" s="2">
        <v>0</v>
      </c>
      <c r="AW1187" s="4"/>
      <c r="AX1187" t="s">
        <v>75</v>
      </c>
      <c r="AZ1187" t="s">
        <v>504</v>
      </c>
      <c r="BA1187" t="s">
        <v>67</v>
      </c>
      <c r="BB1187" t="s">
        <v>505</v>
      </c>
      <c r="BC1187" t="s">
        <v>78</v>
      </c>
      <c r="BD1187" t="s">
        <v>79</v>
      </c>
      <c r="BE1187" t="s">
        <v>1231</v>
      </c>
      <c r="BF1187" s="5">
        <v>47239</v>
      </c>
      <c r="BH1187">
        <v>1</v>
      </c>
      <c r="BI1187" s="6">
        <v>1990000</v>
      </c>
      <c r="BJ1187" s="6">
        <v>0</v>
      </c>
      <c r="BK1187" s="6">
        <v>0</v>
      </c>
      <c r="BL1187" s="6">
        <v>1990000</v>
      </c>
      <c r="BM1187" s="2">
        <v>1990000</v>
      </c>
      <c r="BN1187">
        <f>InvoiceTable[[#This Row],[Giảm giá]]*InvoiceTable[[#This Row],[Số lượng]]</f>
        <v>0</v>
      </c>
    </row>
    <row r="1188" spans="1:66" x14ac:dyDescent="0.25">
      <c r="A1188" t="s">
        <v>65</v>
      </c>
      <c r="B1188" t="s">
        <v>3300</v>
      </c>
      <c r="F1188" s="2"/>
      <c r="G1188" s="3">
        <v>46003.723198344909</v>
      </c>
      <c r="H1188" s="3">
        <v>46003.723198414351</v>
      </c>
      <c r="I1188" s="4" t="s">
        <v>67</v>
      </c>
      <c r="J1188" t="s">
        <v>67</v>
      </c>
      <c r="K1188" t="s">
        <v>67</v>
      </c>
      <c r="L1188" t="s">
        <v>499</v>
      </c>
      <c r="M1188" t="s">
        <v>500</v>
      </c>
      <c r="N1188" t="s">
        <v>67</v>
      </c>
      <c r="O1188" t="s">
        <v>501</v>
      </c>
      <c r="P1188" t="s">
        <v>502</v>
      </c>
      <c r="S1188" s="5"/>
      <c r="T1188" t="s">
        <v>72</v>
      </c>
      <c r="U1188" t="s">
        <v>87</v>
      </c>
      <c r="V1188" t="s">
        <v>74</v>
      </c>
      <c r="W1188" t="s">
        <v>87</v>
      </c>
      <c r="AE1188" s="2"/>
      <c r="AF1188" s="2"/>
      <c r="AG1188" s="2"/>
      <c r="AH1188" s="2"/>
      <c r="AL1188" s="2">
        <v>11940000</v>
      </c>
      <c r="AM1188" s="2">
        <v>5970000</v>
      </c>
      <c r="AN1188" s="2"/>
      <c r="AO1188" s="2">
        <v>0</v>
      </c>
      <c r="AP1188" s="2">
        <v>5970000</v>
      </c>
      <c r="AQ1188" s="2">
        <v>0</v>
      </c>
      <c r="AR1188" s="2">
        <v>0</v>
      </c>
      <c r="AS1188" s="2">
        <v>0</v>
      </c>
      <c r="AT1188" s="2">
        <v>0</v>
      </c>
      <c r="AU1188" s="2">
        <v>0</v>
      </c>
      <c r="AV1188" s="2">
        <v>0</v>
      </c>
      <c r="AW1188" s="4"/>
      <c r="AX1188" t="s">
        <v>75</v>
      </c>
      <c r="AZ1188" t="s">
        <v>518</v>
      </c>
      <c r="BA1188" t="s">
        <v>67</v>
      </c>
      <c r="BB1188" t="s">
        <v>519</v>
      </c>
      <c r="BC1188" t="s">
        <v>78</v>
      </c>
      <c r="BD1188" t="s">
        <v>79</v>
      </c>
      <c r="BE1188" t="s">
        <v>80</v>
      </c>
      <c r="BF1188" s="5">
        <v>47300</v>
      </c>
      <c r="BH1188">
        <v>1</v>
      </c>
      <c r="BI1188" s="6">
        <v>3500000</v>
      </c>
      <c r="BJ1188" s="6">
        <v>0</v>
      </c>
      <c r="BK1188" s="6">
        <v>0</v>
      </c>
      <c r="BL1188" s="6">
        <v>3500000</v>
      </c>
      <c r="BM1188" s="2">
        <v>3500000</v>
      </c>
      <c r="BN1188">
        <f>InvoiceTable[[#This Row],[Giảm giá]]*InvoiceTable[[#This Row],[Số lượng]]</f>
        <v>0</v>
      </c>
    </row>
    <row r="1189" spans="1:66" x14ac:dyDescent="0.25">
      <c r="A1189" t="s">
        <v>65</v>
      </c>
      <c r="B1189" t="s">
        <v>3300</v>
      </c>
      <c r="F1189" s="2"/>
      <c r="G1189" s="3">
        <v>46003.723198344909</v>
      </c>
      <c r="H1189" s="3">
        <v>46003.723198414351</v>
      </c>
      <c r="I1189" s="4" t="s">
        <v>67</v>
      </c>
      <c r="J1189" t="s">
        <v>67</v>
      </c>
      <c r="K1189" t="s">
        <v>67</v>
      </c>
      <c r="L1189" t="s">
        <v>499</v>
      </c>
      <c r="M1189" t="s">
        <v>500</v>
      </c>
      <c r="N1189" t="s">
        <v>67</v>
      </c>
      <c r="O1189" t="s">
        <v>501</v>
      </c>
      <c r="P1189" t="s">
        <v>502</v>
      </c>
      <c r="S1189" s="5"/>
      <c r="T1189" t="s">
        <v>72</v>
      </c>
      <c r="U1189" t="s">
        <v>87</v>
      </c>
      <c r="V1189" t="s">
        <v>74</v>
      </c>
      <c r="W1189" t="s">
        <v>87</v>
      </c>
      <c r="AE1189" s="2"/>
      <c r="AF1189" s="2"/>
      <c r="AG1189" s="2"/>
      <c r="AH1189" s="2"/>
      <c r="AL1189" s="2">
        <v>11940000</v>
      </c>
      <c r="AM1189" s="2">
        <v>5970000</v>
      </c>
      <c r="AN1189" s="2"/>
      <c r="AO1189" s="2">
        <v>0</v>
      </c>
      <c r="AP1189" s="2">
        <v>5970000</v>
      </c>
      <c r="AQ1189" s="2">
        <v>0</v>
      </c>
      <c r="AR1189" s="2">
        <v>0</v>
      </c>
      <c r="AS1189" s="2">
        <v>0</v>
      </c>
      <c r="AT1189" s="2">
        <v>0</v>
      </c>
      <c r="AU1189" s="2">
        <v>0</v>
      </c>
      <c r="AV1189" s="2">
        <v>0</v>
      </c>
      <c r="AW1189" s="4"/>
      <c r="AX1189" t="s">
        <v>75</v>
      </c>
      <c r="AZ1189" t="s">
        <v>1199</v>
      </c>
      <c r="BA1189" t="s">
        <v>67</v>
      </c>
      <c r="BB1189" t="s">
        <v>1200</v>
      </c>
      <c r="BC1189" t="s">
        <v>78</v>
      </c>
      <c r="BD1189" t="s">
        <v>79</v>
      </c>
      <c r="BE1189" t="s">
        <v>131</v>
      </c>
      <c r="BF1189" s="5">
        <v>46874</v>
      </c>
      <c r="BH1189">
        <v>1</v>
      </c>
      <c r="BI1189" s="6">
        <v>2700000</v>
      </c>
      <c r="BJ1189" s="6">
        <v>0</v>
      </c>
      <c r="BK1189" s="6">
        <v>0</v>
      </c>
      <c r="BL1189" s="6">
        <v>2700000</v>
      </c>
      <c r="BM1189" s="2">
        <v>2700000</v>
      </c>
      <c r="BN1189">
        <f>InvoiceTable[[#This Row],[Giảm giá]]*InvoiceTable[[#This Row],[Số lượng]]</f>
        <v>0</v>
      </c>
    </row>
    <row r="1190" spans="1:66" x14ac:dyDescent="0.25">
      <c r="A1190" t="s">
        <v>65</v>
      </c>
      <c r="B1190" t="s">
        <v>3301</v>
      </c>
      <c r="F1190" s="2"/>
      <c r="G1190" s="3">
        <v>46003.722445520834</v>
      </c>
      <c r="H1190" s="3">
        <v>46003.722445717591</v>
      </c>
      <c r="I1190" s="4" t="s">
        <v>67</v>
      </c>
      <c r="J1190" t="s">
        <v>67</v>
      </c>
      <c r="K1190" t="s">
        <v>67</v>
      </c>
      <c r="L1190" t="s">
        <v>1195</v>
      </c>
      <c r="M1190" t="s">
        <v>1196</v>
      </c>
      <c r="N1190" t="s">
        <v>67</v>
      </c>
      <c r="Q1190" t="s">
        <v>67</v>
      </c>
      <c r="R1190" t="s">
        <v>67</v>
      </c>
      <c r="S1190" s="5"/>
      <c r="T1190" t="s">
        <v>72</v>
      </c>
      <c r="U1190" t="s">
        <v>87</v>
      </c>
      <c r="V1190" t="s">
        <v>74</v>
      </c>
      <c r="W1190" t="s">
        <v>87</v>
      </c>
      <c r="AE1190" s="2"/>
      <c r="AF1190" s="2"/>
      <c r="AG1190" s="2"/>
      <c r="AH1190" s="2"/>
      <c r="AK1190" t="s">
        <v>3302</v>
      </c>
      <c r="AL1190" s="2">
        <v>25100000</v>
      </c>
      <c r="AM1190" s="2">
        <v>12550000</v>
      </c>
      <c r="AN1190" s="2"/>
      <c r="AO1190" s="2">
        <v>0</v>
      </c>
      <c r="AP1190" s="2">
        <v>12550000</v>
      </c>
      <c r="AQ1190" s="2">
        <v>0</v>
      </c>
      <c r="AR1190" s="2">
        <v>0</v>
      </c>
      <c r="AS1190" s="2">
        <v>0</v>
      </c>
      <c r="AT1190" s="2">
        <v>0</v>
      </c>
      <c r="AU1190" s="2">
        <v>0</v>
      </c>
      <c r="AV1190" s="2">
        <v>0</v>
      </c>
      <c r="AW1190" s="4"/>
      <c r="AX1190" t="s">
        <v>75</v>
      </c>
      <c r="AZ1190" t="s">
        <v>3303</v>
      </c>
      <c r="BA1190" t="s">
        <v>67</v>
      </c>
      <c r="BB1190" t="s">
        <v>3304</v>
      </c>
      <c r="BC1190" t="s">
        <v>78</v>
      </c>
      <c r="BD1190" t="s">
        <v>79</v>
      </c>
      <c r="BE1190" t="s">
        <v>106</v>
      </c>
      <c r="BF1190" s="5">
        <v>46327</v>
      </c>
      <c r="BG1190" t="s">
        <v>67</v>
      </c>
      <c r="BH1190">
        <v>1</v>
      </c>
      <c r="BI1190" s="6">
        <v>5500000</v>
      </c>
      <c r="BJ1190" s="6">
        <v>0</v>
      </c>
      <c r="BK1190" s="6">
        <v>0</v>
      </c>
      <c r="BL1190" s="6">
        <v>5500000</v>
      </c>
      <c r="BM1190" s="2">
        <v>5500000</v>
      </c>
      <c r="BN1190">
        <f>InvoiceTable[[#This Row],[Giảm giá]]*InvoiceTable[[#This Row],[Số lượng]]</f>
        <v>0</v>
      </c>
    </row>
    <row r="1191" spans="1:66" x14ac:dyDescent="0.25">
      <c r="A1191" t="s">
        <v>65</v>
      </c>
      <c r="B1191" t="s">
        <v>3301</v>
      </c>
      <c r="F1191" s="2"/>
      <c r="G1191" s="3">
        <v>46003.722445520834</v>
      </c>
      <c r="H1191" s="3">
        <v>46003.722445717591</v>
      </c>
      <c r="I1191" s="4" t="s">
        <v>67</v>
      </c>
      <c r="J1191" t="s">
        <v>67</v>
      </c>
      <c r="K1191" t="s">
        <v>67</v>
      </c>
      <c r="L1191" t="s">
        <v>1195</v>
      </c>
      <c r="M1191" t="s">
        <v>1196</v>
      </c>
      <c r="N1191" t="s">
        <v>67</v>
      </c>
      <c r="Q1191" t="s">
        <v>67</v>
      </c>
      <c r="R1191" t="s">
        <v>67</v>
      </c>
      <c r="S1191" s="5"/>
      <c r="T1191" t="s">
        <v>72</v>
      </c>
      <c r="U1191" t="s">
        <v>87</v>
      </c>
      <c r="V1191" t="s">
        <v>74</v>
      </c>
      <c r="W1191" t="s">
        <v>87</v>
      </c>
      <c r="AE1191" s="2"/>
      <c r="AF1191" s="2"/>
      <c r="AG1191" s="2"/>
      <c r="AH1191" s="2"/>
      <c r="AK1191" t="s">
        <v>3302</v>
      </c>
      <c r="AL1191" s="2">
        <v>25100000</v>
      </c>
      <c r="AM1191" s="2">
        <v>12550000</v>
      </c>
      <c r="AN1191" s="2"/>
      <c r="AO1191" s="2">
        <v>0</v>
      </c>
      <c r="AP1191" s="2">
        <v>12550000</v>
      </c>
      <c r="AQ1191" s="2">
        <v>0</v>
      </c>
      <c r="AR1191" s="2">
        <v>0</v>
      </c>
      <c r="AS1191" s="2">
        <v>0</v>
      </c>
      <c r="AT1191" s="2">
        <v>0</v>
      </c>
      <c r="AU1191" s="2">
        <v>0</v>
      </c>
      <c r="AV1191" s="2">
        <v>0</v>
      </c>
      <c r="AW1191" s="4"/>
      <c r="AX1191" t="s">
        <v>75</v>
      </c>
      <c r="AZ1191" t="s">
        <v>515</v>
      </c>
      <c r="BA1191" t="s">
        <v>67</v>
      </c>
      <c r="BB1191" t="s">
        <v>516</v>
      </c>
      <c r="BC1191" t="s">
        <v>78</v>
      </c>
      <c r="BD1191" t="s">
        <v>79</v>
      </c>
      <c r="BE1191" t="s">
        <v>517</v>
      </c>
      <c r="BF1191" s="5">
        <v>47665</v>
      </c>
      <c r="BG1191" t="s">
        <v>67</v>
      </c>
      <c r="BH1191">
        <v>1</v>
      </c>
      <c r="BI1191" s="6">
        <v>3700000</v>
      </c>
      <c r="BJ1191" s="6">
        <v>0</v>
      </c>
      <c r="BK1191" s="6">
        <v>0</v>
      </c>
      <c r="BL1191" s="6">
        <v>3700000</v>
      </c>
      <c r="BM1191" s="2">
        <v>3700000</v>
      </c>
      <c r="BN1191">
        <f>InvoiceTable[[#This Row],[Giảm giá]]*InvoiceTable[[#This Row],[Số lượng]]</f>
        <v>0</v>
      </c>
    </row>
    <row r="1192" spans="1:66" x14ac:dyDescent="0.25">
      <c r="A1192" t="s">
        <v>65</v>
      </c>
      <c r="B1192" t="s">
        <v>3301</v>
      </c>
      <c r="F1192" s="2"/>
      <c r="G1192" s="3">
        <v>46003.722445520834</v>
      </c>
      <c r="H1192" s="3">
        <v>46003.722445717591</v>
      </c>
      <c r="I1192" s="4" t="s">
        <v>67</v>
      </c>
      <c r="J1192" t="s">
        <v>67</v>
      </c>
      <c r="K1192" t="s">
        <v>67</v>
      </c>
      <c r="L1192" t="s">
        <v>1195</v>
      </c>
      <c r="M1192" t="s">
        <v>1196</v>
      </c>
      <c r="N1192" t="s">
        <v>67</v>
      </c>
      <c r="Q1192" t="s">
        <v>67</v>
      </c>
      <c r="R1192" t="s">
        <v>67</v>
      </c>
      <c r="S1192" s="5"/>
      <c r="T1192" t="s">
        <v>72</v>
      </c>
      <c r="U1192" t="s">
        <v>87</v>
      </c>
      <c r="V1192" t="s">
        <v>74</v>
      </c>
      <c r="W1192" t="s">
        <v>87</v>
      </c>
      <c r="AE1192" s="2"/>
      <c r="AF1192" s="2"/>
      <c r="AG1192" s="2"/>
      <c r="AH1192" s="2"/>
      <c r="AK1192" t="s">
        <v>3302</v>
      </c>
      <c r="AL1192" s="2">
        <v>25100000</v>
      </c>
      <c r="AM1192" s="2">
        <v>12550000</v>
      </c>
      <c r="AN1192" s="2"/>
      <c r="AO1192" s="2">
        <v>0</v>
      </c>
      <c r="AP1192" s="2">
        <v>12550000</v>
      </c>
      <c r="AQ1192" s="2">
        <v>0</v>
      </c>
      <c r="AR1192" s="2">
        <v>0</v>
      </c>
      <c r="AS1192" s="2">
        <v>0</v>
      </c>
      <c r="AT1192" s="2">
        <v>0</v>
      </c>
      <c r="AU1192" s="2">
        <v>0</v>
      </c>
      <c r="AV1192" s="2">
        <v>0</v>
      </c>
      <c r="AW1192" s="4"/>
      <c r="AX1192" t="s">
        <v>75</v>
      </c>
      <c r="AZ1192" t="s">
        <v>806</v>
      </c>
      <c r="BA1192" t="s">
        <v>67</v>
      </c>
      <c r="BB1192" t="s">
        <v>807</v>
      </c>
      <c r="BC1192" t="s">
        <v>78</v>
      </c>
      <c r="BD1192" t="s">
        <v>79</v>
      </c>
      <c r="BE1192" t="s">
        <v>188</v>
      </c>
      <c r="BF1192" s="5">
        <v>46905</v>
      </c>
      <c r="BH1192">
        <v>3</v>
      </c>
      <c r="BI1192" s="6">
        <v>5300000</v>
      </c>
      <c r="BJ1192" s="6">
        <v>0</v>
      </c>
      <c r="BK1192" s="6">
        <v>0</v>
      </c>
      <c r="BL1192" s="6">
        <v>5300000</v>
      </c>
      <c r="BM1192" s="2">
        <v>15900000</v>
      </c>
      <c r="BN1192">
        <f>InvoiceTable[[#This Row],[Giảm giá]]*InvoiceTable[[#This Row],[Số lượng]]</f>
        <v>0</v>
      </c>
    </row>
    <row r="1193" spans="1:66" x14ac:dyDescent="0.25">
      <c r="A1193" t="s">
        <v>65</v>
      </c>
      <c r="B1193" t="s">
        <v>3305</v>
      </c>
      <c r="F1193" s="2"/>
      <c r="G1193" s="3">
        <v>46003.721541817133</v>
      </c>
      <c r="H1193" s="3">
        <v>46003.72154189815</v>
      </c>
      <c r="I1193" s="4" t="s">
        <v>67</v>
      </c>
      <c r="J1193" t="s">
        <v>67</v>
      </c>
      <c r="K1193" t="s">
        <v>67</v>
      </c>
      <c r="L1193" t="s">
        <v>111</v>
      </c>
      <c r="M1193" t="s">
        <v>112</v>
      </c>
      <c r="N1193" t="s">
        <v>67</v>
      </c>
      <c r="O1193" t="s">
        <v>113</v>
      </c>
      <c r="P1193" t="s">
        <v>114</v>
      </c>
      <c r="Q1193" t="s">
        <v>67</v>
      </c>
      <c r="R1193" t="s">
        <v>67</v>
      </c>
      <c r="S1193" s="5"/>
      <c r="T1193" t="s">
        <v>72</v>
      </c>
      <c r="U1193" t="s">
        <v>87</v>
      </c>
      <c r="V1193" t="s">
        <v>74</v>
      </c>
      <c r="W1193" t="s">
        <v>87</v>
      </c>
      <c r="AE1193" s="2"/>
      <c r="AF1193" s="2"/>
      <c r="AG1193" s="2"/>
      <c r="AH1193" s="2"/>
      <c r="AK1193" t="s">
        <v>3306</v>
      </c>
      <c r="AL1193" s="2">
        <v>56800000</v>
      </c>
      <c r="AM1193" s="2">
        <v>28400000</v>
      </c>
      <c r="AN1193" s="2"/>
      <c r="AO1193" s="2">
        <v>0</v>
      </c>
      <c r="AP1193" s="2">
        <v>28400000</v>
      </c>
      <c r="AQ1193" s="2">
        <v>0</v>
      </c>
      <c r="AR1193" s="2">
        <v>0</v>
      </c>
      <c r="AS1193" s="2">
        <v>0</v>
      </c>
      <c r="AT1193" s="2">
        <v>0</v>
      </c>
      <c r="AU1193" s="2">
        <v>0</v>
      </c>
      <c r="AV1193" s="2">
        <v>0</v>
      </c>
      <c r="AW1193" s="4"/>
      <c r="AX1193" t="s">
        <v>75</v>
      </c>
      <c r="AZ1193" t="s">
        <v>518</v>
      </c>
      <c r="BA1193" t="s">
        <v>67</v>
      </c>
      <c r="BB1193" t="s">
        <v>519</v>
      </c>
      <c r="BC1193" t="s">
        <v>78</v>
      </c>
      <c r="BD1193" t="s">
        <v>79</v>
      </c>
      <c r="BE1193" t="s">
        <v>80</v>
      </c>
      <c r="BF1193" s="5">
        <v>47300</v>
      </c>
      <c r="BH1193">
        <v>1</v>
      </c>
      <c r="BI1193" s="6">
        <v>3500000</v>
      </c>
      <c r="BJ1193" s="6">
        <v>0</v>
      </c>
      <c r="BK1193" s="6">
        <v>0</v>
      </c>
      <c r="BL1193" s="6">
        <v>3500000</v>
      </c>
      <c r="BM1193" s="2">
        <v>3500000</v>
      </c>
      <c r="BN1193">
        <f>InvoiceTable[[#This Row],[Giảm giá]]*InvoiceTable[[#This Row],[Số lượng]]</f>
        <v>0</v>
      </c>
    </row>
    <row r="1194" spans="1:66" x14ac:dyDescent="0.25">
      <c r="A1194" t="s">
        <v>65</v>
      </c>
      <c r="B1194" t="s">
        <v>3305</v>
      </c>
      <c r="F1194" s="2"/>
      <c r="G1194" s="3">
        <v>46003.721541817133</v>
      </c>
      <c r="H1194" s="3">
        <v>46003.72154189815</v>
      </c>
      <c r="I1194" s="4" t="s">
        <v>67</v>
      </c>
      <c r="J1194" t="s">
        <v>67</v>
      </c>
      <c r="K1194" t="s">
        <v>67</v>
      </c>
      <c r="L1194" t="s">
        <v>111</v>
      </c>
      <c r="M1194" t="s">
        <v>112</v>
      </c>
      <c r="N1194" t="s">
        <v>67</v>
      </c>
      <c r="O1194" t="s">
        <v>113</v>
      </c>
      <c r="P1194" t="s">
        <v>114</v>
      </c>
      <c r="Q1194" t="s">
        <v>67</v>
      </c>
      <c r="R1194" t="s">
        <v>67</v>
      </c>
      <c r="S1194" s="5"/>
      <c r="T1194" t="s">
        <v>72</v>
      </c>
      <c r="U1194" t="s">
        <v>87</v>
      </c>
      <c r="V1194" t="s">
        <v>74</v>
      </c>
      <c r="W1194" t="s">
        <v>87</v>
      </c>
      <c r="AE1194" s="2"/>
      <c r="AF1194" s="2"/>
      <c r="AG1194" s="2"/>
      <c r="AH1194" s="2"/>
      <c r="AK1194" t="s">
        <v>3306</v>
      </c>
      <c r="AL1194" s="2">
        <v>56800000</v>
      </c>
      <c r="AM1194" s="2">
        <v>28400000</v>
      </c>
      <c r="AN1194" s="2"/>
      <c r="AO1194" s="2">
        <v>0</v>
      </c>
      <c r="AP1194" s="2">
        <v>28400000</v>
      </c>
      <c r="AQ1194" s="2">
        <v>0</v>
      </c>
      <c r="AR1194" s="2">
        <v>0</v>
      </c>
      <c r="AS1194" s="2">
        <v>0</v>
      </c>
      <c r="AT1194" s="2">
        <v>0</v>
      </c>
      <c r="AU1194" s="2">
        <v>0</v>
      </c>
      <c r="AV1194" s="2">
        <v>0</v>
      </c>
      <c r="AW1194" s="4"/>
      <c r="AX1194" t="s">
        <v>75</v>
      </c>
      <c r="AZ1194" t="s">
        <v>3307</v>
      </c>
      <c r="BA1194" t="s">
        <v>67</v>
      </c>
      <c r="BB1194" t="s">
        <v>3308</v>
      </c>
      <c r="BC1194" t="s">
        <v>78</v>
      </c>
      <c r="BD1194" t="s">
        <v>79</v>
      </c>
      <c r="BE1194" t="s">
        <v>348</v>
      </c>
      <c r="BF1194" s="5">
        <v>47484</v>
      </c>
      <c r="BG1194" t="s">
        <v>67</v>
      </c>
      <c r="BH1194">
        <v>10</v>
      </c>
      <c r="BI1194" s="6">
        <v>2200000</v>
      </c>
      <c r="BJ1194" s="6">
        <v>0</v>
      </c>
      <c r="BK1194" s="6">
        <v>0</v>
      </c>
      <c r="BL1194" s="6">
        <v>2200000</v>
      </c>
      <c r="BM1194" s="2">
        <v>22000000</v>
      </c>
      <c r="BN1194">
        <f>InvoiceTable[[#This Row],[Giảm giá]]*InvoiceTable[[#This Row],[Số lượng]]</f>
        <v>0</v>
      </c>
    </row>
    <row r="1195" spans="1:66" x14ac:dyDescent="0.25">
      <c r="A1195" t="s">
        <v>65</v>
      </c>
      <c r="B1195" t="s">
        <v>3305</v>
      </c>
      <c r="F1195" s="2"/>
      <c r="G1195" s="3">
        <v>46003.721541817133</v>
      </c>
      <c r="H1195" s="3">
        <v>46003.72154189815</v>
      </c>
      <c r="I1195" s="4" t="s">
        <v>67</v>
      </c>
      <c r="J1195" t="s">
        <v>67</v>
      </c>
      <c r="K1195" t="s">
        <v>67</v>
      </c>
      <c r="L1195" t="s">
        <v>111</v>
      </c>
      <c r="M1195" t="s">
        <v>112</v>
      </c>
      <c r="N1195" t="s">
        <v>67</v>
      </c>
      <c r="O1195" t="s">
        <v>113</v>
      </c>
      <c r="P1195" t="s">
        <v>114</v>
      </c>
      <c r="Q1195" t="s">
        <v>67</v>
      </c>
      <c r="R1195" t="s">
        <v>67</v>
      </c>
      <c r="S1195" s="5"/>
      <c r="T1195" t="s">
        <v>72</v>
      </c>
      <c r="U1195" t="s">
        <v>87</v>
      </c>
      <c r="V1195" t="s">
        <v>74</v>
      </c>
      <c r="W1195" t="s">
        <v>87</v>
      </c>
      <c r="AE1195" s="2"/>
      <c r="AF1195" s="2"/>
      <c r="AG1195" s="2"/>
      <c r="AH1195" s="2"/>
      <c r="AK1195" t="s">
        <v>3306</v>
      </c>
      <c r="AL1195" s="2">
        <v>56800000</v>
      </c>
      <c r="AM1195" s="2">
        <v>28400000</v>
      </c>
      <c r="AN1195" s="2"/>
      <c r="AO1195" s="2">
        <v>0</v>
      </c>
      <c r="AP1195" s="2">
        <v>28400000</v>
      </c>
      <c r="AQ1195" s="2">
        <v>0</v>
      </c>
      <c r="AR1195" s="2">
        <v>0</v>
      </c>
      <c r="AS1195" s="2">
        <v>0</v>
      </c>
      <c r="AT1195" s="2">
        <v>0</v>
      </c>
      <c r="AU1195" s="2">
        <v>0</v>
      </c>
      <c r="AV1195" s="2">
        <v>0</v>
      </c>
      <c r="AW1195" s="4"/>
      <c r="AX1195" t="s">
        <v>75</v>
      </c>
      <c r="AZ1195" t="s">
        <v>806</v>
      </c>
      <c r="BA1195" t="s">
        <v>67</v>
      </c>
      <c r="BB1195" t="s">
        <v>807</v>
      </c>
      <c r="BC1195" t="s">
        <v>78</v>
      </c>
      <c r="BD1195" t="s">
        <v>79</v>
      </c>
      <c r="BE1195" t="s">
        <v>188</v>
      </c>
      <c r="BF1195" s="5">
        <v>46905</v>
      </c>
      <c r="BH1195">
        <v>1</v>
      </c>
      <c r="BI1195" s="6">
        <v>5300000</v>
      </c>
      <c r="BJ1195" s="6">
        <v>0</v>
      </c>
      <c r="BK1195" s="6">
        <v>0</v>
      </c>
      <c r="BL1195" s="6">
        <v>5300000</v>
      </c>
      <c r="BM1195" s="2">
        <v>5300000</v>
      </c>
      <c r="BN1195">
        <f>InvoiceTable[[#This Row],[Giảm giá]]*InvoiceTable[[#This Row],[Số lượng]]</f>
        <v>0</v>
      </c>
    </row>
    <row r="1196" spans="1:66" x14ac:dyDescent="0.25">
      <c r="A1196" t="s">
        <v>65</v>
      </c>
      <c r="B1196" t="s">
        <v>3305</v>
      </c>
      <c r="F1196" s="2"/>
      <c r="G1196" s="3">
        <v>46003.721541817133</v>
      </c>
      <c r="H1196" s="3">
        <v>46003.72154189815</v>
      </c>
      <c r="I1196" s="4" t="s">
        <v>67</v>
      </c>
      <c r="J1196" t="s">
        <v>67</v>
      </c>
      <c r="K1196" t="s">
        <v>67</v>
      </c>
      <c r="L1196" t="s">
        <v>111</v>
      </c>
      <c r="M1196" t="s">
        <v>112</v>
      </c>
      <c r="N1196" t="s">
        <v>67</v>
      </c>
      <c r="O1196" t="s">
        <v>113</v>
      </c>
      <c r="P1196" t="s">
        <v>114</v>
      </c>
      <c r="Q1196" t="s">
        <v>67</v>
      </c>
      <c r="R1196" t="s">
        <v>67</v>
      </c>
      <c r="S1196" s="5"/>
      <c r="T1196" t="s">
        <v>72</v>
      </c>
      <c r="U1196" t="s">
        <v>87</v>
      </c>
      <c r="V1196" t="s">
        <v>74</v>
      </c>
      <c r="W1196" t="s">
        <v>87</v>
      </c>
      <c r="AE1196" s="2"/>
      <c r="AF1196" s="2"/>
      <c r="AG1196" s="2"/>
      <c r="AH1196" s="2"/>
      <c r="AK1196" t="s">
        <v>3306</v>
      </c>
      <c r="AL1196" s="2">
        <v>56800000</v>
      </c>
      <c r="AM1196" s="2">
        <v>28400000</v>
      </c>
      <c r="AN1196" s="2"/>
      <c r="AO1196" s="2">
        <v>0</v>
      </c>
      <c r="AP1196" s="2">
        <v>28400000</v>
      </c>
      <c r="AQ1196" s="2">
        <v>0</v>
      </c>
      <c r="AR1196" s="2">
        <v>0</v>
      </c>
      <c r="AS1196" s="2">
        <v>0</v>
      </c>
      <c r="AT1196" s="2">
        <v>0</v>
      </c>
      <c r="AU1196" s="2">
        <v>0</v>
      </c>
      <c r="AV1196" s="2">
        <v>0</v>
      </c>
      <c r="AW1196" s="4"/>
      <c r="AX1196" t="s">
        <v>75</v>
      </c>
      <c r="AZ1196" t="s">
        <v>504</v>
      </c>
      <c r="BA1196" t="s">
        <v>67</v>
      </c>
      <c r="BB1196" t="s">
        <v>505</v>
      </c>
      <c r="BC1196" t="s">
        <v>78</v>
      </c>
      <c r="BD1196" t="s">
        <v>79</v>
      </c>
      <c r="BE1196" t="s">
        <v>1231</v>
      </c>
      <c r="BF1196" s="5">
        <v>47239</v>
      </c>
      <c r="BH1196">
        <v>10</v>
      </c>
      <c r="BI1196" s="6">
        <v>1990000</v>
      </c>
      <c r="BJ1196" s="6">
        <v>0</v>
      </c>
      <c r="BK1196" s="6">
        <v>0</v>
      </c>
      <c r="BL1196" s="6">
        <v>1990000</v>
      </c>
      <c r="BM1196" s="2">
        <v>19900000</v>
      </c>
      <c r="BN1196">
        <f>InvoiceTable[[#This Row],[Giảm giá]]*InvoiceTable[[#This Row],[Số lượng]]</f>
        <v>0</v>
      </c>
    </row>
    <row r="1197" spans="1:66" x14ac:dyDescent="0.25">
      <c r="A1197" t="s">
        <v>65</v>
      </c>
      <c r="B1197" t="s">
        <v>3305</v>
      </c>
      <c r="F1197" s="2"/>
      <c r="G1197" s="3">
        <v>46003.721541817133</v>
      </c>
      <c r="H1197" s="3">
        <v>46003.72154189815</v>
      </c>
      <c r="I1197" s="4" t="s">
        <v>67</v>
      </c>
      <c r="J1197" t="s">
        <v>67</v>
      </c>
      <c r="K1197" t="s">
        <v>67</v>
      </c>
      <c r="L1197" t="s">
        <v>111</v>
      </c>
      <c r="M1197" t="s">
        <v>112</v>
      </c>
      <c r="N1197" t="s">
        <v>67</v>
      </c>
      <c r="O1197" t="s">
        <v>113</v>
      </c>
      <c r="P1197" t="s">
        <v>114</v>
      </c>
      <c r="Q1197" t="s">
        <v>67</v>
      </c>
      <c r="R1197" t="s">
        <v>67</v>
      </c>
      <c r="S1197" s="5"/>
      <c r="T1197" t="s">
        <v>72</v>
      </c>
      <c r="U1197" t="s">
        <v>87</v>
      </c>
      <c r="V1197" t="s">
        <v>74</v>
      </c>
      <c r="W1197" t="s">
        <v>87</v>
      </c>
      <c r="AE1197" s="2"/>
      <c r="AF1197" s="2"/>
      <c r="AG1197" s="2"/>
      <c r="AH1197" s="2"/>
      <c r="AK1197" t="s">
        <v>3306</v>
      </c>
      <c r="AL1197" s="2">
        <v>56800000</v>
      </c>
      <c r="AM1197" s="2">
        <v>28400000</v>
      </c>
      <c r="AN1197" s="2"/>
      <c r="AO1197" s="2">
        <v>0</v>
      </c>
      <c r="AP1197" s="2">
        <v>28400000</v>
      </c>
      <c r="AQ1197" s="2">
        <v>0</v>
      </c>
      <c r="AR1197" s="2">
        <v>0</v>
      </c>
      <c r="AS1197" s="2">
        <v>0</v>
      </c>
      <c r="AT1197" s="2">
        <v>0</v>
      </c>
      <c r="AU1197" s="2">
        <v>0</v>
      </c>
      <c r="AV1197" s="2">
        <v>0</v>
      </c>
      <c r="AW1197" s="4"/>
      <c r="AX1197" t="s">
        <v>75</v>
      </c>
      <c r="AZ1197" t="s">
        <v>129</v>
      </c>
      <c r="BA1197" t="s">
        <v>67</v>
      </c>
      <c r="BB1197" t="s">
        <v>130</v>
      </c>
      <c r="BC1197" t="s">
        <v>78</v>
      </c>
      <c r="BD1197" t="s">
        <v>79</v>
      </c>
      <c r="BE1197" t="s">
        <v>131</v>
      </c>
      <c r="BF1197" s="5">
        <v>46874</v>
      </c>
      <c r="BG1197" t="s">
        <v>67</v>
      </c>
      <c r="BH1197">
        <v>2</v>
      </c>
      <c r="BI1197" s="6">
        <v>3050000</v>
      </c>
      <c r="BJ1197" s="6">
        <v>0</v>
      </c>
      <c r="BK1197" s="6">
        <v>0</v>
      </c>
      <c r="BL1197" s="6">
        <v>3050000</v>
      </c>
      <c r="BM1197" s="2">
        <v>6100000</v>
      </c>
      <c r="BN1197">
        <f>InvoiceTable[[#This Row],[Giảm giá]]*InvoiceTable[[#This Row],[Số lượng]]</f>
        <v>0</v>
      </c>
    </row>
    <row r="1198" spans="1:66" x14ac:dyDescent="0.25">
      <c r="A1198" t="s">
        <v>65</v>
      </c>
      <c r="B1198" t="s">
        <v>3309</v>
      </c>
      <c r="F1198" s="2"/>
      <c r="G1198" s="3">
        <v>46003.718307060182</v>
      </c>
      <c r="H1198" s="3">
        <v>46003.718307175928</v>
      </c>
      <c r="I1198" s="4" t="s">
        <v>67</v>
      </c>
      <c r="J1198" t="s">
        <v>67</v>
      </c>
      <c r="K1198" t="s">
        <v>67</v>
      </c>
      <c r="L1198" t="s">
        <v>111</v>
      </c>
      <c r="M1198" t="s">
        <v>112</v>
      </c>
      <c r="N1198" t="s">
        <v>67</v>
      </c>
      <c r="O1198" t="s">
        <v>113</v>
      </c>
      <c r="P1198" t="s">
        <v>114</v>
      </c>
      <c r="Q1198" t="s">
        <v>67</v>
      </c>
      <c r="R1198" t="s">
        <v>67</v>
      </c>
      <c r="S1198" s="5"/>
      <c r="T1198" t="s">
        <v>72</v>
      </c>
      <c r="U1198" t="s">
        <v>87</v>
      </c>
      <c r="V1198" t="s">
        <v>74</v>
      </c>
      <c r="W1198" t="s">
        <v>87</v>
      </c>
      <c r="AE1198" s="2"/>
      <c r="AF1198" s="2"/>
      <c r="AG1198" s="2"/>
      <c r="AH1198" s="2"/>
      <c r="AK1198" t="s">
        <v>3310</v>
      </c>
      <c r="AL1198" s="2">
        <v>2290000</v>
      </c>
      <c r="AM1198" s="2">
        <v>1145000</v>
      </c>
      <c r="AN1198" s="2"/>
      <c r="AO1198" s="2">
        <v>0</v>
      </c>
      <c r="AP1198" s="2">
        <v>1145000</v>
      </c>
      <c r="AQ1198" s="2">
        <v>0</v>
      </c>
      <c r="AR1198" s="2">
        <v>0</v>
      </c>
      <c r="AS1198" s="2">
        <v>0</v>
      </c>
      <c r="AT1198" s="2">
        <v>0</v>
      </c>
      <c r="AU1198" s="2">
        <v>0</v>
      </c>
      <c r="AV1198" s="2">
        <v>0</v>
      </c>
      <c r="AW1198" s="4"/>
      <c r="AX1198" t="s">
        <v>75</v>
      </c>
      <c r="AZ1198" t="s">
        <v>1970</v>
      </c>
      <c r="BA1198" t="s">
        <v>67</v>
      </c>
      <c r="BB1198" t="s">
        <v>1971</v>
      </c>
      <c r="BC1198" t="s">
        <v>138</v>
      </c>
      <c r="BD1198" t="s">
        <v>79</v>
      </c>
      <c r="BE1198" t="s">
        <v>117</v>
      </c>
      <c r="BF1198" s="5">
        <v>46569</v>
      </c>
      <c r="BH1198">
        <v>1</v>
      </c>
      <c r="BI1198" s="6">
        <v>1300000</v>
      </c>
      <c r="BJ1198" s="6">
        <v>0</v>
      </c>
      <c r="BK1198" s="6">
        <v>0</v>
      </c>
      <c r="BL1198" s="6">
        <v>1300000</v>
      </c>
      <c r="BM1198" s="2">
        <v>1300000</v>
      </c>
      <c r="BN1198">
        <f>InvoiceTable[[#This Row],[Giảm giá]]*InvoiceTable[[#This Row],[Số lượng]]</f>
        <v>0</v>
      </c>
    </row>
    <row r="1199" spans="1:66" x14ac:dyDescent="0.25">
      <c r="A1199" t="s">
        <v>65</v>
      </c>
      <c r="B1199" t="s">
        <v>3309</v>
      </c>
      <c r="F1199" s="2"/>
      <c r="G1199" s="3">
        <v>46003.718307060182</v>
      </c>
      <c r="H1199" s="3">
        <v>46003.718307175928</v>
      </c>
      <c r="I1199" s="4" t="s">
        <v>67</v>
      </c>
      <c r="J1199" t="s">
        <v>67</v>
      </c>
      <c r="K1199" t="s">
        <v>67</v>
      </c>
      <c r="L1199" t="s">
        <v>111</v>
      </c>
      <c r="M1199" t="s">
        <v>112</v>
      </c>
      <c r="N1199" t="s">
        <v>67</v>
      </c>
      <c r="O1199" t="s">
        <v>113</v>
      </c>
      <c r="P1199" t="s">
        <v>114</v>
      </c>
      <c r="Q1199" t="s">
        <v>67</v>
      </c>
      <c r="R1199" t="s">
        <v>67</v>
      </c>
      <c r="S1199" s="5"/>
      <c r="T1199" t="s">
        <v>72</v>
      </c>
      <c r="U1199" t="s">
        <v>87</v>
      </c>
      <c r="V1199" t="s">
        <v>74</v>
      </c>
      <c r="W1199" t="s">
        <v>87</v>
      </c>
      <c r="AE1199" s="2"/>
      <c r="AF1199" s="2"/>
      <c r="AG1199" s="2"/>
      <c r="AH1199" s="2"/>
      <c r="AK1199" t="s">
        <v>3310</v>
      </c>
      <c r="AL1199" s="2">
        <v>2290000</v>
      </c>
      <c r="AM1199" s="2">
        <v>1145000</v>
      </c>
      <c r="AN1199" s="2"/>
      <c r="AO1199" s="2">
        <v>0</v>
      </c>
      <c r="AP1199" s="2">
        <v>1145000</v>
      </c>
      <c r="AQ1199" s="2">
        <v>0</v>
      </c>
      <c r="AR1199" s="2">
        <v>0</v>
      </c>
      <c r="AS1199" s="2">
        <v>0</v>
      </c>
      <c r="AT1199" s="2">
        <v>0</v>
      </c>
      <c r="AU1199" s="2">
        <v>0</v>
      </c>
      <c r="AV1199" s="2">
        <v>0</v>
      </c>
      <c r="AW1199" s="4"/>
      <c r="AX1199" t="s">
        <v>75</v>
      </c>
      <c r="AZ1199" t="s">
        <v>3311</v>
      </c>
      <c r="BA1199" t="s">
        <v>67</v>
      </c>
      <c r="BB1199" t="s">
        <v>3312</v>
      </c>
      <c r="BC1199" t="s">
        <v>138</v>
      </c>
      <c r="BD1199" t="s">
        <v>79</v>
      </c>
      <c r="BE1199" t="s">
        <v>117</v>
      </c>
      <c r="BF1199" s="5">
        <v>46569</v>
      </c>
      <c r="BH1199">
        <v>1</v>
      </c>
      <c r="BI1199" s="6">
        <v>990000</v>
      </c>
      <c r="BJ1199" s="6">
        <v>0</v>
      </c>
      <c r="BK1199" s="6">
        <v>0</v>
      </c>
      <c r="BL1199" s="6">
        <v>990000</v>
      </c>
      <c r="BM1199" s="2">
        <v>990000</v>
      </c>
      <c r="BN1199">
        <f>InvoiceTable[[#This Row],[Giảm giá]]*InvoiceTable[[#This Row],[Số lượng]]</f>
        <v>0</v>
      </c>
    </row>
    <row r="1200" spans="1:66" x14ac:dyDescent="0.25">
      <c r="A1200" t="s">
        <v>65</v>
      </c>
      <c r="B1200" t="s">
        <v>3313</v>
      </c>
      <c r="F1200" s="2"/>
      <c r="G1200" s="3">
        <v>46003.709400347223</v>
      </c>
      <c r="H1200" s="3">
        <v>46003.709400462962</v>
      </c>
      <c r="I1200" s="4" t="s">
        <v>67</v>
      </c>
      <c r="J1200" t="s">
        <v>3314</v>
      </c>
      <c r="K1200" t="s">
        <v>67</v>
      </c>
      <c r="L1200" t="s">
        <v>398</v>
      </c>
      <c r="M1200" t="s">
        <v>399</v>
      </c>
      <c r="N1200" t="s">
        <v>400</v>
      </c>
      <c r="O1200" t="s">
        <v>401</v>
      </c>
      <c r="P1200" t="s">
        <v>402</v>
      </c>
      <c r="S1200" s="5"/>
      <c r="T1200" t="s">
        <v>72</v>
      </c>
      <c r="U1200" t="s">
        <v>102</v>
      </c>
      <c r="V1200" t="s">
        <v>74</v>
      </c>
      <c r="W1200" t="s">
        <v>87</v>
      </c>
      <c r="AE1200" s="2"/>
      <c r="AF1200" s="2"/>
      <c r="AG1200" s="2"/>
      <c r="AH1200" s="2"/>
      <c r="AL1200" s="2">
        <v>532350</v>
      </c>
      <c r="AM1200" s="2">
        <v>0</v>
      </c>
      <c r="AN1200" s="2"/>
      <c r="AO1200" s="2">
        <v>0</v>
      </c>
      <c r="AP1200" s="2">
        <v>532350</v>
      </c>
      <c r="AQ1200" s="2">
        <v>0</v>
      </c>
      <c r="AR1200" s="2">
        <v>0</v>
      </c>
      <c r="AS1200" s="2">
        <v>0</v>
      </c>
      <c r="AT1200" s="2">
        <v>0</v>
      </c>
      <c r="AU1200" s="2">
        <v>0</v>
      </c>
      <c r="AV1200" s="2">
        <v>0</v>
      </c>
      <c r="AW1200" s="4"/>
      <c r="AX1200" t="s">
        <v>75</v>
      </c>
      <c r="AZ1200" t="s">
        <v>1105</v>
      </c>
      <c r="BA1200" t="s">
        <v>67</v>
      </c>
      <c r="BB1200" t="s">
        <v>1106</v>
      </c>
      <c r="BC1200" t="s">
        <v>939</v>
      </c>
      <c r="BD1200" t="s">
        <v>79</v>
      </c>
      <c r="BE1200" t="s">
        <v>378</v>
      </c>
      <c r="BF1200" s="5">
        <v>46997</v>
      </c>
      <c r="BH1200">
        <v>1</v>
      </c>
      <c r="BI1200" s="6">
        <v>845000</v>
      </c>
      <c r="BJ1200" s="6">
        <v>37</v>
      </c>
      <c r="BK1200" s="6">
        <v>312650</v>
      </c>
      <c r="BL1200" s="6">
        <v>532350</v>
      </c>
      <c r="BM1200" s="2">
        <v>532350</v>
      </c>
      <c r="BN1200">
        <f>InvoiceTable[[#This Row],[Giảm giá]]*InvoiceTable[[#This Row],[Số lượng]]</f>
        <v>312650</v>
      </c>
    </row>
    <row r="1201" spans="1:66" x14ac:dyDescent="0.25">
      <c r="A1201" t="s">
        <v>65</v>
      </c>
      <c r="B1201" t="s">
        <v>3315</v>
      </c>
      <c r="F1201" s="2"/>
      <c r="G1201" s="3">
        <v>46003.697981168982</v>
      </c>
      <c r="H1201" s="3">
        <v>46003.697969710651</v>
      </c>
      <c r="I1201" s="4" t="s">
        <v>3298</v>
      </c>
      <c r="J1201" t="s">
        <v>67</v>
      </c>
      <c r="K1201" t="s">
        <v>67</v>
      </c>
      <c r="L1201" t="s">
        <v>3316</v>
      </c>
      <c r="M1201" t="s">
        <v>3317</v>
      </c>
      <c r="N1201" t="s">
        <v>67</v>
      </c>
      <c r="O1201" t="s">
        <v>3318</v>
      </c>
      <c r="P1201" t="s">
        <v>3319</v>
      </c>
      <c r="S1201" s="5"/>
      <c r="T1201" t="s">
        <v>72</v>
      </c>
      <c r="U1201" t="s">
        <v>102</v>
      </c>
      <c r="V1201" t="s">
        <v>74</v>
      </c>
      <c r="W1201" t="s">
        <v>102</v>
      </c>
      <c r="AE1201" s="2"/>
      <c r="AF1201" s="2"/>
      <c r="AG1201" s="2"/>
      <c r="AH1201" s="2"/>
      <c r="AL1201" s="2">
        <v>3196000</v>
      </c>
      <c r="AM1201" s="2">
        <v>0</v>
      </c>
      <c r="AN1201" s="2"/>
      <c r="AO1201" s="2">
        <v>0</v>
      </c>
      <c r="AP1201" s="2">
        <v>3196000</v>
      </c>
      <c r="AQ1201" s="2">
        <v>0</v>
      </c>
      <c r="AR1201" s="2">
        <v>0</v>
      </c>
      <c r="AS1201" s="2">
        <v>0</v>
      </c>
      <c r="AT1201" s="2">
        <v>0</v>
      </c>
      <c r="AU1201" s="2">
        <v>0</v>
      </c>
      <c r="AV1201" s="2">
        <v>0</v>
      </c>
      <c r="AW1201" s="4"/>
      <c r="AX1201" t="s">
        <v>75</v>
      </c>
      <c r="AZ1201" t="s">
        <v>958</v>
      </c>
      <c r="BA1201" t="s">
        <v>67</v>
      </c>
      <c r="BB1201" t="s">
        <v>959</v>
      </c>
      <c r="BC1201" t="s">
        <v>960</v>
      </c>
      <c r="BD1201" t="s">
        <v>79</v>
      </c>
      <c r="BE1201" t="s">
        <v>324</v>
      </c>
      <c r="BF1201" s="5">
        <v>47058</v>
      </c>
      <c r="BH1201">
        <v>2</v>
      </c>
      <c r="BI1201" s="6">
        <v>1600000</v>
      </c>
      <c r="BJ1201" s="6">
        <v>47</v>
      </c>
      <c r="BK1201" s="6">
        <v>752000</v>
      </c>
      <c r="BL1201" s="6">
        <v>848000</v>
      </c>
      <c r="BM1201" s="2">
        <v>1696000</v>
      </c>
      <c r="BN1201">
        <f>InvoiceTable[[#This Row],[Giảm giá]]*InvoiceTable[[#This Row],[Số lượng]]</f>
        <v>1504000</v>
      </c>
    </row>
    <row r="1202" spans="1:66" x14ac:dyDescent="0.25">
      <c r="A1202" t="s">
        <v>65</v>
      </c>
      <c r="B1202" t="s">
        <v>3315</v>
      </c>
      <c r="F1202" s="2"/>
      <c r="G1202" s="3">
        <v>46003.697981168982</v>
      </c>
      <c r="H1202" s="3">
        <v>46003.697969710651</v>
      </c>
      <c r="I1202" s="4" t="s">
        <v>3298</v>
      </c>
      <c r="J1202" t="s">
        <v>67</v>
      </c>
      <c r="K1202" t="s">
        <v>67</v>
      </c>
      <c r="L1202" t="s">
        <v>3316</v>
      </c>
      <c r="M1202" t="s">
        <v>3317</v>
      </c>
      <c r="N1202" t="s">
        <v>67</v>
      </c>
      <c r="O1202" t="s">
        <v>3318</v>
      </c>
      <c r="P1202" t="s">
        <v>3319</v>
      </c>
      <c r="S1202" s="5"/>
      <c r="T1202" t="s">
        <v>72</v>
      </c>
      <c r="U1202" t="s">
        <v>102</v>
      </c>
      <c r="V1202" t="s">
        <v>74</v>
      </c>
      <c r="W1202" t="s">
        <v>102</v>
      </c>
      <c r="AE1202" s="2"/>
      <c r="AF1202" s="2"/>
      <c r="AG1202" s="2"/>
      <c r="AH1202" s="2"/>
      <c r="AL1202" s="2">
        <v>3196000</v>
      </c>
      <c r="AM1202" s="2">
        <v>0</v>
      </c>
      <c r="AN1202" s="2"/>
      <c r="AO1202" s="2">
        <v>0</v>
      </c>
      <c r="AP1202" s="2">
        <v>3196000</v>
      </c>
      <c r="AQ1202" s="2">
        <v>0</v>
      </c>
      <c r="AR1202" s="2">
        <v>0</v>
      </c>
      <c r="AS1202" s="2">
        <v>0</v>
      </c>
      <c r="AT1202" s="2">
        <v>0</v>
      </c>
      <c r="AU1202" s="2">
        <v>0</v>
      </c>
      <c r="AV1202" s="2">
        <v>0</v>
      </c>
      <c r="AW1202" s="4"/>
      <c r="AX1202" t="s">
        <v>75</v>
      </c>
      <c r="AZ1202" t="s">
        <v>2676</v>
      </c>
      <c r="BA1202" t="s">
        <v>67</v>
      </c>
      <c r="BB1202" t="s">
        <v>2677</v>
      </c>
      <c r="BC1202" t="s">
        <v>2678</v>
      </c>
      <c r="BD1202" t="s">
        <v>79</v>
      </c>
      <c r="BE1202" t="s">
        <v>168</v>
      </c>
      <c r="BF1202" s="5">
        <v>46388</v>
      </c>
      <c r="BH1202">
        <v>125</v>
      </c>
      <c r="BI1202" s="6">
        <v>25000</v>
      </c>
      <c r="BJ1202" s="6">
        <v>0</v>
      </c>
      <c r="BK1202" s="6">
        <v>13000</v>
      </c>
      <c r="BL1202" s="6">
        <v>12000</v>
      </c>
      <c r="BM1202" s="2">
        <v>1500000</v>
      </c>
      <c r="BN1202">
        <f>InvoiceTable[[#This Row],[Giảm giá]]*InvoiceTable[[#This Row],[Số lượng]]</f>
        <v>1625000</v>
      </c>
    </row>
    <row r="1203" spans="1:66" x14ac:dyDescent="0.25">
      <c r="A1203" t="s">
        <v>65</v>
      </c>
      <c r="B1203" t="s">
        <v>3320</v>
      </c>
      <c r="F1203" s="2"/>
      <c r="G1203" s="3">
        <v>46003.697138807867</v>
      </c>
      <c r="H1203" s="3">
        <v>46003.697139004631</v>
      </c>
      <c r="I1203" s="4" t="s">
        <v>67</v>
      </c>
      <c r="J1203" t="s">
        <v>3321</v>
      </c>
      <c r="K1203" t="s">
        <v>67</v>
      </c>
      <c r="L1203" t="s">
        <v>3316</v>
      </c>
      <c r="M1203" t="s">
        <v>3317</v>
      </c>
      <c r="N1203" t="s">
        <v>67</v>
      </c>
      <c r="O1203" t="s">
        <v>3318</v>
      </c>
      <c r="P1203" t="s">
        <v>3319</v>
      </c>
      <c r="S1203" s="5"/>
      <c r="T1203" t="s">
        <v>72</v>
      </c>
      <c r="U1203" t="s">
        <v>102</v>
      </c>
      <c r="V1203" t="s">
        <v>74</v>
      </c>
      <c r="W1203" t="s">
        <v>102</v>
      </c>
      <c r="AE1203" s="2"/>
      <c r="AF1203" s="2"/>
      <c r="AG1203" s="2"/>
      <c r="AH1203" s="2"/>
      <c r="AK1203" t="s">
        <v>3322</v>
      </c>
      <c r="AL1203" s="2">
        <v>2339600</v>
      </c>
      <c r="AM1203" s="2">
        <v>0</v>
      </c>
      <c r="AN1203" s="2"/>
      <c r="AO1203" s="2">
        <v>0</v>
      </c>
      <c r="AP1203" s="2">
        <v>2339600</v>
      </c>
      <c r="AQ1203" s="2">
        <v>0</v>
      </c>
      <c r="AR1203" s="2">
        <v>0</v>
      </c>
      <c r="AS1203" s="2">
        <v>0</v>
      </c>
      <c r="AT1203" s="2">
        <v>0</v>
      </c>
      <c r="AU1203" s="2">
        <v>0</v>
      </c>
      <c r="AV1203" s="2">
        <v>0</v>
      </c>
      <c r="AW1203" s="4"/>
      <c r="AX1203" t="s">
        <v>75</v>
      </c>
      <c r="AZ1203" t="s">
        <v>3248</v>
      </c>
      <c r="BA1203" t="s">
        <v>67</v>
      </c>
      <c r="BB1203" t="s">
        <v>3249</v>
      </c>
      <c r="BC1203" t="s">
        <v>721</v>
      </c>
      <c r="BD1203" t="s">
        <v>79</v>
      </c>
      <c r="BE1203" t="s">
        <v>216</v>
      </c>
      <c r="BF1203" s="5">
        <v>46784</v>
      </c>
      <c r="BH1203">
        <v>2</v>
      </c>
      <c r="BI1203" s="6">
        <v>980000</v>
      </c>
      <c r="BJ1203" s="6">
        <v>44</v>
      </c>
      <c r="BK1203" s="6">
        <v>431200</v>
      </c>
      <c r="BL1203" s="6">
        <v>548800</v>
      </c>
      <c r="BM1203" s="2">
        <v>1097600</v>
      </c>
      <c r="BN1203">
        <f>InvoiceTable[[#This Row],[Giảm giá]]*InvoiceTable[[#This Row],[Số lượng]]</f>
        <v>862400</v>
      </c>
    </row>
    <row r="1204" spans="1:66" x14ac:dyDescent="0.25">
      <c r="A1204" t="s">
        <v>65</v>
      </c>
      <c r="B1204" t="s">
        <v>3320</v>
      </c>
      <c r="F1204" s="2"/>
      <c r="G1204" s="3">
        <v>46003.697138807867</v>
      </c>
      <c r="H1204" s="3">
        <v>46003.697139004631</v>
      </c>
      <c r="I1204" s="4" t="s">
        <v>67</v>
      </c>
      <c r="J1204" t="s">
        <v>3321</v>
      </c>
      <c r="K1204" t="s">
        <v>67</v>
      </c>
      <c r="L1204" t="s">
        <v>3316</v>
      </c>
      <c r="M1204" t="s">
        <v>3317</v>
      </c>
      <c r="N1204" t="s">
        <v>67</v>
      </c>
      <c r="O1204" t="s">
        <v>3318</v>
      </c>
      <c r="P1204" t="s">
        <v>3319</v>
      </c>
      <c r="S1204" s="5"/>
      <c r="T1204" t="s">
        <v>72</v>
      </c>
      <c r="U1204" t="s">
        <v>102</v>
      </c>
      <c r="V1204" t="s">
        <v>74</v>
      </c>
      <c r="W1204" t="s">
        <v>102</v>
      </c>
      <c r="AE1204" s="2"/>
      <c r="AF1204" s="2"/>
      <c r="AG1204" s="2"/>
      <c r="AH1204" s="2"/>
      <c r="AK1204" t="s">
        <v>3322</v>
      </c>
      <c r="AL1204" s="2">
        <v>2339600</v>
      </c>
      <c r="AM1204" s="2">
        <v>0</v>
      </c>
      <c r="AN1204" s="2"/>
      <c r="AO1204" s="2">
        <v>0</v>
      </c>
      <c r="AP1204" s="2">
        <v>2339600</v>
      </c>
      <c r="AQ1204" s="2">
        <v>0</v>
      </c>
      <c r="AR1204" s="2">
        <v>0</v>
      </c>
      <c r="AS1204" s="2">
        <v>0</v>
      </c>
      <c r="AT1204" s="2">
        <v>0</v>
      </c>
      <c r="AU1204" s="2">
        <v>0</v>
      </c>
      <c r="AV1204" s="2">
        <v>0</v>
      </c>
      <c r="AW1204" s="4"/>
      <c r="AX1204" t="s">
        <v>75</v>
      </c>
      <c r="AZ1204" t="s">
        <v>276</v>
      </c>
      <c r="BA1204" t="s">
        <v>67</v>
      </c>
      <c r="BB1204" t="s">
        <v>277</v>
      </c>
      <c r="BC1204" t="s">
        <v>278</v>
      </c>
      <c r="BD1204" t="s">
        <v>79</v>
      </c>
      <c r="BE1204" t="s">
        <v>168</v>
      </c>
      <c r="BF1204" s="5">
        <v>46388</v>
      </c>
      <c r="BH1204">
        <v>1</v>
      </c>
      <c r="BI1204" s="6">
        <v>690000</v>
      </c>
      <c r="BJ1204" s="6">
        <v>40</v>
      </c>
      <c r="BK1204" s="6">
        <v>276000</v>
      </c>
      <c r="BL1204" s="6">
        <v>414000</v>
      </c>
      <c r="BM1204" s="2">
        <v>414000</v>
      </c>
      <c r="BN1204">
        <f>InvoiceTable[[#This Row],[Giảm giá]]*InvoiceTable[[#This Row],[Số lượng]]</f>
        <v>276000</v>
      </c>
    </row>
    <row r="1205" spans="1:66" x14ac:dyDescent="0.25">
      <c r="A1205" t="s">
        <v>65</v>
      </c>
      <c r="B1205" t="s">
        <v>3320</v>
      </c>
      <c r="F1205" s="2"/>
      <c r="G1205" s="3">
        <v>46003.697138807867</v>
      </c>
      <c r="H1205" s="3">
        <v>46003.697139004631</v>
      </c>
      <c r="I1205" s="4" t="s">
        <v>67</v>
      </c>
      <c r="J1205" t="s">
        <v>3321</v>
      </c>
      <c r="K1205" t="s">
        <v>67</v>
      </c>
      <c r="L1205" t="s">
        <v>3316</v>
      </c>
      <c r="M1205" t="s">
        <v>3317</v>
      </c>
      <c r="N1205" t="s">
        <v>67</v>
      </c>
      <c r="O1205" t="s">
        <v>3318</v>
      </c>
      <c r="P1205" t="s">
        <v>3319</v>
      </c>
      <c r="S1205" s="5"/>
      <c r="T1205" t="s">
        <v>72</v>
      </c>
      <c r="U1205" t="s">
        <v>102</v>
      </c>
      <c r="V1205" t="s">
        <v>74</v>
      </c>
      <c r="W1205" t="s">
        <v>102</v>
      </c>
      <c r="AE1205" s="2"/>
      <c r="AF1205" s="2"/>
      <c r="AG1205" s="2"/>
      <c r="AH1205" s="2"/>
      <c r="AK1205" t="s">
        <v>3322</v>
      </c>
      <c r="AL1205" s="2">
        <v>2339600</v>
      </c>
      <c r="AM1205" s="2">
        <v>0</v>
      </c>
      <c r="AN1205" s="2"/>
      <c r="AO1205" s="2">
        <v>0</v>
      </c>
      <c r="AP1205" s="2">
        <v>2339600</v>
      </c>
      <c r="AQ1205" s="2">
        <v>0</v>
      </c>
      <c r="AR1205" s="2">
        <v>0</v>
      </c>
      <c r="AS1205" s="2">
        <v>0</v>
      </c>
      <c r="AT1205" s="2">
        <v>0</v>
      </c>
      <c r="AU1205" s="2">
        <v>0</v>
      </c>
      <c r="AV1205" s="2">
        <v>0</v>
      </c>
      <c r="AW1205" s="4"/>
      <c r="AX1205" t="s">
        <v>75</v>
      </c>
      <c r="AZ1205" t="s">
        <v>276</v>
      </c>
      <c r="BA1205" t="s">
        <v>67</v>
      </c>
      <c r="BB1205" t="s">
        <v>277</v>
      </c>
      <c r="BC1205" t="s">
        <v>278</v>
      </c>
      <c r="BD1205" t="s">
        <v>79</v>
      </c>
      <c r="BE1205" t="s">
        <v>279</v>
      </c>
      <c r="BF1205" s="5">
        <v>46977</v>
      </c>
      <c r="BG1205" t="s">
        <v>67</v>
      </c>
      <c r="BH1205">
        <v>2</v>
      </c>
      <c r="BI1205" s="6">
        <v>690000</v>
      </c>
      <c r="BJ1205" s="6">
        <v>40</v>
      </c>
      <c r="BK1205" s="6">
        <v>276000</v>
      </c>
      <c r="BL1205" s="6">
        <v>414000</v>
      </c>
      <c r="BM1205" s="2">
        <v>828000</v>
      </c>
      <c r="BN1205">
        <f>InvoiceTable[[#This Row],[Giảm giá]]*InvoiceTable[[#This Row],[Số lượng]]</f>
        <v>552000</v>
      </c>
    </row>
    <row r="1206" spans="1:66" x14ac:dyDescent="0.25">
      <c r="A1206" t="s">
        <v>65</v>
      </c>
      <c r="B1206" t="s">
        <v>3323</v>
      </c>
      <c r="F1206" s="2"/>
      <c r="G1206" s="3">
        <v>46003.697058645834</v>
      </c>
      <c r="H1206" s="3">
        <v>46003.697058912039</v>
      </c>
      <c r="I1206" s="4" t="s">
        <v>67</v>
      </c>
      <c r="J1206" t="s">
        <v>3324</v>
      </c>
      <c r="K1206" t="s">
        <v>67</v>
      </c>
      <c r="L1206" t="s">
        <v>1609</v>
      </c>
      <c r="M1206" t="s">
        <v>1610</v>
      </c>
      <c r="N1206" t="s">
        <v>67</v>
      </c>
      <c r="O1206" t="s">
        <v>1611</v>
      </c>
      <c r="P1206" t="s">
        <v>1612</v>
      </c>
      <c r="Q1206" t="s">
        <v>67</v>
      </c>
      <c r="R1206" t="s">
        <v>67</v>
      </c>
      <c r="S1206" s="5"/>
      <c r="T1206" t="s">
        <v>72</v>
      </c>
      <c r="U1206" t="s">
        <v>87</v>
      </c>
      <c r="V1206" t="s">
        <v>74</v>
      </c>
      <c r="W1206" t="s">
        <v>87</v>
      </c>
      <c r="AE1206" s="2"/>
      <c r="AF1206" s="2"/>
      <c r="AG1206" s="2"/>
      <c r="AH1206" s="2"/>
      <c r="AL1206" s="2">
        <v>1364800</v>
      </c>
      <c r="AM1206" s="2">
        <v>0</v>
      </c>
      <c r="AN1206" s="2"/>
      <c r="AO1206" s="2">
        <v>0</v>
      </c>
      <c r="AP1206" s="2">
        <v>1364800</v>
      </c>
      <c r="AQ1206" s="2">
        <v>1363600</v>
      </c>
      <c r="AR1206" s="2">
        <v>0</v>
      </c>
      <c r="AS1206" s="2">
        <v>0</v>
      </c>
      <c r="AT1206" s="2">
        <v>0</v>
      </c>
      <c r="AU1206" s="2">
        <v>1363600</v>
      </c>
      <c r="AV1206" s="2">
        <v>0</v>
      </c>
      <c r="AW1206" s="4"/>
      <c r="AX1206" t="s">
        <v>75</v>
      </c>
      <c r="AZ1206" t="s">
        <v>1712</v>
      </c>
      <c r="BA1206" t="s">
        <v>67</v>
      </c>
      <c r="BB1206" t="s">
        <v>1713</v>
      </c>
      <c r="BC1206" t="s">
        <v>1714</v>
      </c>
      <c r="BD1206" t="s">
        <v>79</v>
      </c>
      <c r="BE1206" t="s">
        <v>317</v>
      </c>
      <c r="BF1206" s="5">
        <v>46935</v>
      </c>
      <c r="BH1206">
        <v>2</v>
      </c>
      <c r="BI1206" s="6">
        <v>545000</v>
      </c>
      <c r="BJ1206" s="6">
        <v>38</v>
      </c>
      <c r="BK1206" s="6">
        <v>207100</v>
      </c>
      <c r="BL1206" s="6">
        <v>337900</v>
      </c>
      <c r="BM1206" s="2">
        <v>675800</v>
      </c>
      <c r="BN1206">
        <f>InvoiceTable[[#This Row],[Giảm giá]]*InvoiceTable[[#This Row],[Số lượng]]</f>
        <v>414200</v>
      </c>
    </row>
    <row r="1207" spans="1:66" x14ac:dyDescent="0.25">
      <c r="A1207" t="s">
        <v>65</v>
      </c>
      <c r="B1207" t="s">
        <v>3323</v>
      </c>
      <c r="F1207" s="2"/>
      <c r="G1207" s="3">
        <v>46003.697058645834</v>
      </c>
      <c r="H1207" s="3">
        <v>46003.697058912039</v>
      </c>
      <c r="I1207" s="4" t="s">
        <v>67</v>
      </c>
      <c r="J1207" t="s">
        <v>3324</v>
      </c>
      <c r="K1207" t="s">
        <v>67</v>
      </c>
      <c r="L1207" t="s">
        <v>1609</v>
      </c>
      <c r="M1207" t="s">
        <v>1610</v>
      </c>
      <c r="N1207" t="s">
        <v>67</v>
      </c>
      <c r="O1207" t="s">
        <v>1611</v>
      </c>
      <c r="P1207" t="s">
        <v>1612</v>
      </c>
      <c r="Q1207" t="s">
        <v>67</v>
      </c>
      <c r="R1207" t="s">
        <v>67</v>
      </c>
      <c r="S1207" s="5"/>
      <c r="T1207" t="s">
        <v>72</v>
      </c>
      <c r="U1207" t="s">
        <v>87</v>
      </c>
      <c r="V1207" t="s">
        <v>74</v>
      </c>
      <c r="W1207" t="s">
        <v>87</v>
      </c>
      <c r="AE1207" s="2"/>
      <c r="AF1207" s="2"/>
      <c r="AG1207" s="2"/>
      <c r="AH1207" s="2"/>
      <c r="AL1207" s="2">
        <v>1364800</v>
      </c>
      <c r="AM1207" s="2">
        <v>0</v>
      </c>
      <c r="AN1207" s="2"/>
      <c r="AO1207" s="2">
        <v>0</v>
      </c>
      <c r="AP1207" s="2">
        <v>1364800</v>
      </c>
      <c r="AQ1207" s="2">
        <v>1363600</v>
      </c>
      <c r="AR1207" s="2">
        <v>0</v>
      </c>
      <c r="AS1207" s="2">
        <v>0</v>
      </c>
      <c r="AT1207" s="2">
        <v>0</v>
      </c>
      <c r="AU1207" s="2">
        <v>1363600</v>
      </c>
      <c r="AV1207" s="2">
        <v>0</v>
      </c>
      <c r="AW1207" s="4"/>
      <c r="AX1207" t="s">
        <v>75</v>
      </c>
      <c r="AZ1207" t="s">
        <v>1897</v>
      </c>
      <c r="BA1207" t="s">
        <v>67</v>
      </c>
      <c r="BB1207" t="s">
        <v>1898</v>
      </c>
      <c r="BC1207" t="s">
        <v>703</v>
      </c>
      <c r="BD1207" t="s">
        <v>79</v>
      </c>
      <c r="BE1207" t="s">
        <v>1899</v>
      </c>
      <c r="BF1207" s="5">
        <v>47150</v>
      </c>
      <c r="BH1207">
        <v>2</v>
      </c>
      <c r="BI1207" s="6">
        <v>650000</v>
      </c>
      <c r="BJ1207" s="6">
        <v>47</v>
      </c>
      <c r="BK1207" s="6">
        <v>305500</v>
      </c>
      <c r="BL1207" s="6">
        <v>344500</v>
      </c>
      <c r="BM1207" s="2">
        <v>689000</v>
      </c>
      <c r="BN1207">
        <f>InvoiceTable[[#This Row],[Giảm giá]]*InvoiceTable[[#This Row],[Số lượng]]</f>
        <v>611000</v>
      </c>
    </row>
    <row r="1208" spans="1:66" x14ac:dyDescent="0.25">
      <c r="A1208" t="s">
        <v>65</v>
      </c>
      <c r="B1208" t="s">
        <v>3325</v>
      </c>
      <c r="F1208" s="2"/>
      <c r="G1208" s="3">
        <v>46003.69648017361</v>
      </c>
      <c r="H1208" s="3">
        <v>46003.696480289349</v>
      </c>
      <c r="I1208" s="4" t="s">
        <v>3326</v>
      </c>
      <c r="J1208" t="s">
        <v>67</v>
      </c>
      <c r="K1208" t="s">
        <v>67</v>
      </c>
      <c r="L1208" t="s">
        <v>3075</v>
      </c>
      <c r="M1208" t="s">
        <v>3076</v>
      </c>
      <c r="N1208" t="s">
        <v>3077</v>
      </c>
      <c r="O1208" t="s">
        <v>3078</v>
      </c>
      <c r="P1208" t="s">
        <v>3079</v>
      </c>
      <c r="S1208" s="5"/>
      <c r="T1208" t="s">
        <v>72</v>
      </c>
      <c r="U1208" t="s">
        <v>87</v>
      </c>
      <c r="V1208" t="s">
        <v>74</v>
      </c>
      <c r="W1208" t="s">
        <v>87</v>
      </c>
      <c r="AE1208" s="2"/>
      <c r="AF1208" s="2"/>
      <c r="AG1208" s="2"/>
      <c r="AH1208" s="2"/>
      <c r="AK1208" t="s">
        <v>3327</v>
      </c>
      <c r="AL1208" s="2">
        <v>574200</v>
      </c>
      <c r="AM1208" s="2">
        <v>0</v>
      </c>
      <c r="AN1208" s="2"/>
      <c r="AO1208" s="2">
        <v>0</v>
      </c>
      <c r="AP1208" s="2">
        <v>574200</v>
      </c>
      <c r="AQ1208" s="2">
        <v>574200</v>
      </c>
      <c r="AR1208" s="2">
        <v>0</v>
      </c>
      <c r="AS1208" s="2">
        <v>0</v>
      </c>
      <c r="AT1208" s="2">
        <v>0</v>
      </c>
      <c r="AU1208" s="2">
        <v>574200</v>
      </c>
      <c r="AV1208" s="2">
        <v>0</v>
      </c>
      <c r="AW1208" s="4"/>
      <c r="AX1208" t="s">
        <v>75</v>
      </c>
      <c r="AZ1208" t="s">
        <v>3328</v>
      </c>
      <c r="BA1208" t="s">
        <v>67</v>
      </c>
      <c r="BB1208" t="s">
        <v>3329</v>
      </c>
      <c r="BC1208" t="s">
        <v>2169</v>
      </c>
      <c r="BD1208" t="s">
        <v>79</v>
      </c>
      <c r="BE1208" t="s">
        <v>159</v>
      </c>
      <c r="BF1208" s="5">
        <v>46478</v>
      </c>
      <c r="BH1208">
        <v>1</v>
      </c>
      <c r="BI1208" s="6">
        <v>990000</v>
      </c>
      <c r="BJ1208" s="6">
        <v>42</v>
      </c>
      <c r="BK1208" s="6">
        <v>415800</v>
      </c>
      <c r="BL1208" s="6">
        <v>574200</v>
      </c>
      <c r="BM1208" s="2">
        <v>574200</v>
      </c>
      <c r="BN1208">
        <f>InvoiceTable[[#This Row],[Giảm giá]]*InvoiceTable[[#This Row],[Số lượng]]</f>
        <v>415800</v>
      </c>
    </row>
    <row r="1209" spans="1:66" x14ac:dyDescent="0.25">
      <c r="A1209" t="s">
        <v>65</v>
      </c>
      <c r="B1209" t="s">
        <v>3330</v>
      </c>
      <c r="F1209" s="2"/>
      <c r="G1209" s="3">
        <v>46003.687615196759</v>
      </c>
      <c r="H1209" s="3">
        <v>46003.687499571759</v>
      </c>
      <c r="I1209" s="4" t="s">
        <v>1515</v>
      </c>
      <c r="J1209" t="s">
        <v>67</v>
      </c>
      <c r="K1209" t="s">
        <v>67</v>
      </c>
      <c r="L1209" t="s">
        <v>1353</v>
      </c>
      <c r="M1209" t="s">
        <v>1354</v>
      </c>
      <c r="N1209" t="s">
        <v>1355</v>
      </c>
      <c r="O1209" t="s">
        <v>1356</v>
      </c>
      <c r="P1209" t="s">
        <v>1357</v>
      </c>
      <c r="S1209" s="5"/>
      <c r="T1209" t="s">
        <v>72</v>
      </c>
      <c r="U1209" t="s">
        <v>102</v>
      </c>
      <c r="V1209" t="s">
        <v>74</v>
      </c>
      <c r="W1209" t="s">
        <v>102</v>
      </c>
      <c r="AE1209" s="2"/>
      <c r="AF1209" s="2"/>
      <c r="AG1209" s="2"/>
      <c r="AH1209" s="2"/>
      <c r="AL1209" s="2">
        <v>2507450</v>
      </c>
      <c r="AM1209" s="2">
        <v>0</v>
      </c>
      <c r="AN1209" s="2"/>
      <c r="AO1209" s="2">
        <v>0</v>
      </c>
      <c r="AP1209" s="2">
        <v>2507450</v>
      </c>
      <c r="AQ1209" s="2">
        <v>0</v>
      </c>
      <c r="AR1209" s="2">
        <v>0</v>
      </c>
      <c r="AS1209" s="2">
        <v>0</v>
      </c>
      <c r="AT1209" s="2">
        <v>0</v>
      </c>
      <c r="AU1209" s="2">
        <v>0</v>
      </c>
      <c r="AV1209" s="2">
        <v>0</v>
      </c>
      <c r="AW1209" s="4"/>
      <c r="AX1209" t="s">
        <v>75</v>
      </c>
      <c r="AZ1209" t="s">
        <v>3331</v>
      </c>
      <c r="BA1209" t="s">
        <v>67</v>
      </c>
      <c r="BB1209" t="s">
        <v>3332</v>
      </c>
      <c r="BC1209" t="s">
        <v>3333</v>
      </c>
      <c r="BD1209" t="s">
        <v>79</v>
      </c>
      <c r="BE1209" t="s">
        <v>317</v>
      </c>
      <c r="BF1209" s="5">
        <v>46935</v>
      </c>
      <c r="BH1209">
        <v>5</v>
      </c>
      <c r="BI1209" s="6">
        <v>748000</v>
      </c>
      <c r="BJ1209" s="6">
        <v>40</v>
      </c>
      <c r="BK1209" s="6">
        <v>299200</v>
      </c>
      <c r="BL1209" s="6">
        <v>448800</v>
      </c>
      <c r="BM1209" s="2">
        <v>2244000</v>
      </c>
      <c r="BN1209">
        <f>InvoiceTable[[#This Row],[Giảm giá]]*InvoiceTable[[#This Row],[Số lượng]]</f>
        <v>1496000</v>
      </c>
    </row>
    <row r="1210" spans="1:66" x14ac:dyDescent="0.25">
      <c r="A1210" t="s">
        <v>65</v>
      </c>
      <c r="B1210" t="s">
        <v>3330</v>
      </c>
      <c r="F1210" s="2"/>
      <c r="G1210" s="3">
        <v>46003.687615196759</v>
      </c>
      <c r="H1210" s="3">
        <v>46003.687499571759</v>
      </c>
      <c r="I1210" s="4" t="s">
        <v>1515</v>
      </c>
      <c r="J1210" t="s">
        <v>67</v>
      </c>
      <c r="K1210" t="s">
        <v>67</v>
      </c>
      <c r="L1210" t="s">
        <v>1353</v>
      </c>
      <c r="M1210" t="s">
        <v>1354</v>
      </c>
      <c r="N1210" t="s">
        <v>1355</v>
      </c>
      <c r="O1210" t="s">
        <v>1356</v>
      </c>
      <c r="P1210" t="s">
        <v>1357</v>
      </c>
      <c r="S1210" s="5"/>
      <c r="T1210" t="s">
        <v>72</v>
      </c>
      <c r="U1210" t="s">
        <v>102</v>
      </c>
      <c r="V1210" t="s">
        <v>74</v>
      </c>
      <c r="W1210" t="s">
        <v>102</v>
      </c>
      <c r="AE1210" s="2"/>
      <c r="AF1210" s="2"/>
      <c r="AG1210" s="2"/>
      <c r="AH1210" s="2"/>
      <c r="AL1210" s="2">
        <v>2507450</v>
      </c>
      <c r="AM1210" s="2">
        <v>0</v>
      </c>
      <c r="AN1210" s="2"/>
      <c r="AO1210" s="2">
        <v>0</v>
      </c>
      <c r="AP1210" s="2">
        <v>2507450</v>
      </c>
      <c r="AQ1210" s="2">
        <v>0</v>
      </c>
      <c r="AR1210" s="2">
        <v>0</v>
      </c>
      <c r="AS1210" s="2">
        <v>0</v>
      </c>
      <c r="AT1210" s="2">
        <v>0</v>
      </c>
      <c r="AU1210" s="2">
        <v>0</v>
      </c>
      <c r="AV1210" s="2">
        <v>0</v>
      </c>
      <c r="AW1210" s="4"/>
      <c r="AX1210" t="s">
        <v>75</v>
      </c>
      <c r="AZ1210" t="s">
        <v>1359</v>
      </c>
      <c r="BA1210" t="s">
        <v>67</v>
      </c>
      <c r="BB1210" t="s">
        <v>1360</v>
      </c>
      <c r="BC1210" t="s">
        <v>1361</v>
      </c>
      <c r="BD1210" t="s">
        <v>79</v>
      </c>
      <c r="BE1210" t="s">
        <v>1362</v>
      </c>
      <c r="BF1210" s="5">
        <v>46926</v>
      </c>
      <c r="BG1210" t="s">
        <v>67</v>
      </c>
      <c r="BH1210">
        <v>1</v>
      </c>
      <c r="BI1210" s="6">
        <v>479000</v>
      </c>
      <c r="BJ1210" s="6">
        <v>45</v>
      </c>
      <c r="BK1210" s="6">
        <v>215550</v>
      </c>
      <c r="BL1210" s="6">
        <v>263450</v>
      </c>
      <c r="BM1210" s="2">
        <v>263450</v>
      </c>
      <c r="BN1210">
        <f>InvoiceTable[[#This Row],[Giảm giá]]*InvoiceTable[[#This Row],[Số lượng]]</f>
        <v>215550</v>
      </c>
    </row>
    <row r="1211" spans="1:66" x14ac:dyDescent="0.25">
      <c r="A1211" t="s">
        <v>65</v>
      </c>
      <c r="B1211" t="s">
        <v>3334</v>
      </c>
      <c r="F1211" s="2"/>
      <c r="G1211" s="3">
        <v>46003.685225775465</v>
      </c>
      <c r="H1211" s="3">
        <v>46003.685225891204</v>
      </c>
      <c r="I1211" s="4" t="s">
        <v>67</v>
      </c>
      <c r="J1211" t="s">
        <v>67</v>
      </c>
      <c r="K1211" t="s">
        <v>67</v>
      </c>
      <c r="L1211" t="s">
        <v>654</v>
      </c>
      <c r="M1211" t="s">
        <v>655</v>
      </c>
      <c r="N1211" t="s">
        <v>67</v>
      </c>
      <c r="O1211" t="s">
        <v>656</v>
      </c>
      <c r="P1211" t="s">
        <v>657</v>
      </c>
      <c r="Q1211" t="s">
        <v>658</v>
      </c>
      <c r="R1211" t="s">
        <v>67</v>
      </c>
      <c r="S1211" s="5"/>
      <c r="T1211" t="s">
        <v>72</v>
      </c>
      <c r="U1211" t="s">
        <v>87</v>
      </c>
      <c r="V1211" t="s">
        <v>74</v>
      </c>
      <c r="W1211" t="s">
        <v>87</v>
      </c>
      <c r="AE1211" s="2"/>
      <c r="AF1211" s="2"/>
      <c r="AG1211" s="2"/>
      <c r="AH1211" s="2"/>
      <c r="AL1211" s="2">
        <v>1750000</v>
      </c>
      <c r="AM1211" s="2">
        <v>0</v>
      </c>
      <c r="AN1211" s="2"/>
      <c r="AO1211" s="2">
        <v>0</v>
      </c>
      <c r="AP1211" s="2">
        <v>1750000</v>
      </c>
      <c r="AQ1211" s="2">
        <v>0</v>
      </c>
      <c r="AR1211" s="2">
        <v>0</v>
      </c>
      <c r="AS1211" s="2">
        <v>0</v>
      </c>
      <c r="AT1211" s="2">
        <v>0</v>
      </c>
      <c r="AU1211" s="2">
        <v>0</v>
      </c>
      <c r="AV1211" s="2">
        <v>0</v>
      </c>
      <c r="AW1211" s="4"/>
      <c r="AX1211" t="s">
        <v>75</v>
      </c>
      <c r="AZ1211" t="s">
        <v>3335</v>
      </c>
      <c r="BA1211" t="s">
        <v>67</v>
      </c>
      <c r="BB1211" t="s">
        <v>3336</v>
      </c>
      <c r="BC1211" t="s">
        <v>3337</v>
      </c>
      <c r="BD1211" t="s">
        <v>79</v>
      </c>
      <c r="BE1211" t="s">
        <v>216</v>
      </c>
      <c r="BF1211" s="5">
        <v>46784</v>
      </c>
      <c r="BG1211" t="s">
        <v>67</v>
      </c>
      <c r="BH1211">
        <v>1</v>
      </c>
      <c r="BI1211" s="6">
        <v>3500000</v>
      </c>
      <c r="BJ1211" s="6">
        <v>50</v>
      </c>
      <c r="BK1211" s="6">
        <v>1750000</v>
      </c>
      <c r="BL1211" s="6">
        <v>1750000</v>
      </c>
      <c r="BM1211" s="2">
        <v>1750000</v>
      </c>
      <c r="BN1211">
        <f>InvoiceTable[[#This Row],[Giảm giá]]*InvoiceTable[[#This Row],[Số lượng]]</f>
        <v>1750000</v>
      </c>
    </row>
    <row r="1212" spans="1:66" x14ac:dyDescent="0.25">
      <c r="A1212" t="s">
        <v>65</v>
      </c>
      <c r="B1212" t="s">
        <v>3338</v>
      </c>
      <c r="F1212" s="2"/>
      <c r="G1212" s="3">
        <v>46003.684752743058</v>
      </c>
      <c r="H1212" s="3">
        <v>46003.684718136574</v>
      </c>
      <c r="I1212" s="4" t="s">
        <v>3066</v>
      </c>
      <c r="J1212" t="s">
        <v>67</v>
      </c>
      <c r="K1212" t="s">
        <v>67</v>
      </c>
      <c r="L1212" t="s">
        <v>654</v>
      </c>
      <c r="M1212" t="s">
        <v>655</v>
      </c>
      <c r="N1212" t="s">
        <v>67</v>
      </c>
      <c r="O1212" t="s">
        <v>656</v>
      </c>
      <c r="P1212" t="s">
        <v>657</v>
      </c>
      <c r="Q1212" t="s">
        <v>658</v>
      </c>
      <c r="R1212" t="s">
        <v>67</v>
      </c>
      <c r="S1212" s="5"/>
      <c r="T1212" t="s">
        <v>72</v>
      </c>
      <c r="U1212" t="s">
        <v>87</v>
      </c>
      <c r="V1212" t="s">
        <v>74</v>
      </c>
      <c r="W1212" t="s">
        <v>87</v>
      </c>
      <c r="AE1212" s="2"/>
      <c r="AF1212" s="2"/>
      <c r="AG1212" s="2"/>
      <c r="AH1212" s="2"/>
      <c r="AL1212" s="2">
        <v>1747200</v>
      </c>
      <c r="AM1212" s="2">
        <v>0</v>
      </c>
      <c r="AN1212" s="2"/>
      <c r="AO1212" s="2">
        <v>0</v>
      </c>
      <c r="AP1212" s="2">
        <v>1747200</v>
      </c>
      <c r="AQ1212" s="2">
        <v>0</v>
      </c>
      <c r="AR1212" s="2">
        <v>0</v>
      </c>
      <c r="AS1212" s="2">
        <v>0</v>
      </c>
      <c r="AT1212" s="2">
        <v>0</v>
      </c>
      <c r="AU1212" s="2">
        <v>0</v>
      </c>
      <c r="AV1212" s="2">
        <v>0</v>
      </c>
      <c r="AW1212" s="4"/>
      <c r="AX1212" t="s">
        <v>75</v>
      </c>
      <c r="AZ1212" t="s">
        <v>283</v>
      </c>
      <c r="BA1212" t="s">
        <v>67</v>
      </c>
      <c r="BB1212" t="s">
        <v>284</v>
      </c>
      <c r="BC1212" t="s">
        <v>285</v>
      </c>
      <c r="BD1212" t="s">
        <v>79</v>
      </c>
      <c r="BE1212" t="s">
        <v>117</v>
      </c>
      <c r="BF1212" s="5">
        <v>46569</v>
      </c>
      <c r="BH1212">
        <v>2</v>
      </c>
      <c r="BI1212" s="6">
        <v>1680000</v>
      </c>
      <c r="BJ1212" s="6">
        <v>48</v>
      </c>
      <c r="BK1212" s="6">
        <v>806400</v>
      </c>
      <c r="BL1212" s="6">
        <v>873600</v>
      </c>
      <c r="BM1212" s="2">
        <v>1747200</v>
      </c>
      <c r="BN1212">
        <f>InvoiceTable[[#This Row],[Giảm giá]]*InvoiceTable[[#This Row],[Số lượng]]</f>
        <v>1612800</v>
      </c>
    </row>
    <row r="1213" spans="1:66" x14ac:dyDescent="0.25">
      <c r="A1213" t="s">
        <v>65</v>
      </c>
      <c r="B1213" t="s">
        <v>3339</v>
      </c>
      <c r="F1213" s="2"/>
      <c r="G1213" s="3">
        <v>46003.682724108796</v>
      </c>
      <c r="H1213" s="3">
        <v>46003.682724270831</v>
      </c>
      <c r="I1213" s="4" t="s">
        <v>67</v>
      </c>
      <c r="J1213" t="s">
        <v>3340</v>
      </c>
      <c r="K1213" t="s">
        <v>67</v>
      </c>
      <c r="L1213" t="s">
        <v>1353</v>
      </c>
      <c r="M1213" t="s">
        <v>1354</v>
      </c>
      <c r="N1213" t="s">
        <v>1355</v>
      </c>
      <c r="O1213" t="s">
        <v>1356</v>
      </c>
      <c r="P1213" t="s">
        <v>1357</v>
      </c>
      <c r="S1213" s="5"/>
      <c r="T1213" t="s">
        <v>72</v>
      </c>
      <c r="U1213" t="s">
        <v>102</v>
      </c>
      <c r="V1213" t="s">
        <v>74</v>
      </c>
      <c r="W1213" t="s">
        <v>102</v>
      </c>
      <c r="AE1213" s="2"/>
      <c r="AF1213" s="2"/>
      <c r="AG1213" s="2"/>
      <c r="AH1213" s="2"/>
      <c r="AK1213" t="s">
        <v>67</v>
      </c>
      <c r="AL1213" s="2">
        <v>5916690</v>
      </c>
      <c r="AM1213" s="2">
        <v>0</v>
      </c>
      <c r="AN1213" s="2"/>
      <c r="AO1213" s="2">
        <v>0</v>
      </c>
      <c r="AP1213" s="2">
        <v>5916690</v>
      </c>
      <c r="AQ1213" s="2">
        <v>0</v>
      </c>
      <c r="AR1213" s="2">
        <v>0</v>
      </c>
      <c r="AS1213" s="2">
        <v>0</v>
      </c>
      <c r="AT1213" s="2">
        <v>0</v>
      </c>
      <c r="AU1213" s="2">
        <v>0</v>
      </c>
      <c r="AV1213" s="2">
        <v>0</v>
      </c>
      <c r="AW1213" s="4"/>
      <c r="AX1213" t="s">
        <v>75</v>
      </c>
      <c r="AZ1213" t="s">
        <v>2595</v>
      </c>
      <c r="BA1213" t="s">
        <v>67</v>
      </c>
      <c r="BB1213" t="s">
        <v>2596</v>
      </c>
      <c r="BC1213" t="s">
        <v>347</v>
      </c>
      <c r="BD1213" t="s">
        <v>79</v>
      </c>
      <c r="BE1213" t="s">
        <v>423</v>
      </c>
      <c r="BF1213" s="5">
        <v>47543</v>
      </c>
      <c r="BH1213">
        <v>3</v>
      </c>
      <c r="BI1213" s="6">
        <v>480000</v>
      </c>
      <c r="BJ1213" s="6">
        <v>35</v>
      </c>
      <c r="BK1213" s="6">
        <v>168000</v>
      </c>
      <c r="BL1213" s="6">
        <v>312000</v>
      </c>
      <c r="BM1213" s="2">
        <v>936000</v>
      </c>
      <c r="BN1213">
        <f>InvoiceTable[[#This Row],[Giảm giá]]*InvoiceTable[[#This Row],[Số lượng]]</f>
        <v>504000</v>
      </c>
    </row>
    <row r="1214" spans="1:66" x14ac:dyDescent="0.25">
      <c r="A1214" t="s">
        <v>65</v>
      </c>
      <c r="B1214" t="s">
        <v>3339</v>
      </c>
      <c r="F1214" s="2"/>
      <c r="G1214" s="3">
        <v>46003.682724108796</v>
      </c>
      <c r="H1214" s="3">
        <v>46003.682724270831</v>
      </c>
      <c r="I1214" s="4" t="s">
        <v>67</v>
      </c>
      <c r="J1214" t="s">
        <v>3340</v>
      </c>
      <c r="K1214" t="s">
        <v>67</v>
      </c>
      <c r="L1214" t="s">
        <v>1353</v>
      </c>
      <c r="M1214" t="s">
        <v>1354</v>
      </c>
      <c r="N1214" t="s">
        <v>1355</v>
      </c>
      <c r="O1214" t="s">
        <v>1356</v>
      </c>
      <c r="P1214" t="s">
        <v>1357</v>
      </c>
      <c r="S1214" s="5"/>
      <c r="T1214" t="s">
        <v>72</v>
      </c>
      <c r="U1214" t="s">
        <v>102</v>
      </c>
      <c r="V1214" t="s">
        <v>74</v>
      </c>
      <c r="W1214" t="s">
        <v>102</v>
      </c>
      <c r="AE1214" s="2"/>
      <c r="AF1214" s="2"/>
      <c r="AG1214" s="2"/>
      <c r="AH1214" s="2"/>
      <c r="AK1214" t="s">
        <v>67</v>
      </c>
      <c r="AL1214" s="2">
        <v>5916690</v>
      </c>
      <c r="AM1214" s="2">
        <v>0</v>
      </c>
      <c r="AN1214" s="2"/>
      <c r="AO1214" s="2">
        <v>0</v>
      </c>
      <c r="AP1214" s="2">
        <v>5916690</v>
      </c>
      <c r="AQ1214" s="2">
        <v>0</v>
      </c>
      <c r="AR1214" s="2">
        <v>0</v>
      </c>
      <c r="AS1214" s="2">
        <v>0</v>
      </c>
      <c r="AT1214" s="2">
        <v>0</v>
      </c>
      <c r="AU1214" s="2">
        <v>0</v>
      </c>
      <c r="AV1214" s="2">
        <v>0</v>
      </c>
      <c r="AW1214" s="4"/>
      <c r="AX1214" t="s">
        <v>75</v>
      </c>
      <c r="AZ1214" t="s">
        <v>1072</v>
      </c>
      <c r="BA1214" t="s">
        <v>67</v>
      </c>
      <c r="BB1214" t="s">
        <v>1073</v>
      </c>
      <c r="BC1214" t="s">
        <v>204</v>
      </c>
      <c r="BD1214" t="s">
        <v>79</v>
      </c>
      <c r="BE1214" t="s">
        <v>1074</v>
      </c>
      <c r="BF1214" s="5">
        <v>47423</v>
      </c>
      <c r="BH1214">
        <v>3</v>
      </c>
      <c r="BI1214" s="6">
        <v>545000</v>
      </c>
      <c r="BJ1214" s="6">
        <v>37</v>
      </c>
      <c r="BK1214" s="6">
        <v>201650</v>
      </c>
      <c r="BL1214" s="6">
        <v>343350</v>
      </c>
      <c r="BM1214" s="2">
        <v>1030050</v>
      </c>
      <c r="BN1214">
        <f>InvoiceTable[[#This Row],[Giảm giá]]*InvoiceTable[[#This Row],[Số lượng]]</f>
        <v>604950</v>
      </c>
    </row>
    <row r="1215" spans="1:66" x14ac:dyDescent="0.25">
      <c r="A1215" t="s">
        <v>65</v>
      </c>
      <c r="B1215" t="s">
        <v>3339</v>
      </c>
      <c r="F1215" s="2"/>
      <c r="G1215" s="3">
        <v>46003.682724108796</v>
      </c>
      <c r="H1215" s="3">
        <v>46003.682724270831</v>
      </c>
      <c r="I1215" s="4" t="s">
        <v>67</v>
      </c>
      <c r="J1215" t="s">
        <v>3340</v>
      </c>
      <c r="K1215" t="s">
        <v>67</v>
      </c>
      <c r="L1215" t="s">
        <v>1353</v>
      </c>
      <c r="M1215" t="s">
        <v>1354</v>
      </c>
      <c r="N1215" t="s">
        <v>1355</v>
      </c>
      <c r="O1215" t="s">
        <v>1356</v>
      </c>
      <c r="P1215" t="s">
        <v>1357</v>
      </c>
      <c r="S1215" s="5"/>
      <c r="T1215" t="s">
        <v>72</v>
      </c>
      <c r="U1215" t="s">
        <v>102</v>
      </c>
      <c r="V1215" t="s">
        <v>74</v>
      </c>
      <c r="W1215" t="s">
        <v>102</v>
      </c>
      <c r="AE1215" s="2"/>
      <c r="AF1215" s="2"/>
      <c r="AG1215" s="2"/>
      <c r="AH1215" s="2"/>
      <c r="AK1215" t="s">
        <v>67</v>
      </c>
      <c r="AL1215" s="2">
        <v>5916690</v>
      </c>
      <c r="AM1215" s="2">
        <v>0</v>
      </c>
      <c r="AN1215" s="2"/>
      <c r="AO1215" s="2">
        <v>0</v>
      </c>
      <c r="AP1215" s="2">
        <v>5916690</v>
      </c>
      <c r="AQ1215" s="2">
        <v>0</v>
      </c>
      <c r="AR1215" s="2">
        <v>0</v>
      </c>
      <c r="AS1215" s="2">
        <v>0</v>
      </c>
      <c r="AT1215" s="2">
        <v>0</v>
      </c>
      <c r="AU1215" s="2">
        <v>0</v>
      </c>
      <c r="AV1215" s="2">
        <v>0</v>
      </c>
      <c r="AW1215" s="4"/>
      <c r="AX1215" t="s">
        <v>75</v>
      </c>
      <c r="AZ1215" t="s">
        <v>984</v>
      </c>
      <c r="BB1215" t="s">
        <v>985</v>
      </c>
      <c r="BC1215" t="s">
        <v>986</v>
      </c>
      <c r="BD1215" t="s">
        <v>79</v>
      </c>
      <c r="BE1215" t="s">
        <v>188</v>
      </c>
      <c r="BF1215" s="5">
        <v>46905</v>
      </c>
      <c r="BH1215">
        <v>1</v>
      </c>
      <c r="BI1215" s="6">
        <v>2484000</v>
      </c>
      <c r="BJ1215" s="6">
        <v>38</v>
      </c>
      <c r="BK1215" s="6">
        <v>943920</v>
      </c>
      <c r="BL1215" s="6">
        <v>1540080</v>
      </c>
      <c r="BM1215" s="2">
        <v>1540080</v>
      </c>
      <c r="BN1215">
        <f>InvoiceTable[[#This Row],[Giảm giá]]*InvoiceTable[[#This Row],[Số lượng]]</f>
        <v>943920</v>
      </c>
    </row>
    <row r="1216" spans="1:66" x14ac:dyDescent="0.25">
      <c r="A1216" t="s">
        <v>65</v>
      </c>
      <c r="B1216" t="s">
        <v>3339</v>
      </c>
      <c r="F1216" s="2"/>
      <c r="G1216" s="3">
        <v>46003.682724108796</v>
      </c>
      <c r="H1216" s="3">
        <v>46003.682724270831</v>
      </c>
      <c r="I1216" s="4" t="s">
        <v>67</v>
      </c>
      <c r="J1216" t="s">
        <v>3340</v>
      </c>
      <c r="K1216" t="s">
        <v>67</v>
      </c>
      <c r="L1216" t="s">
        <v>1353</v>
      </c>
      <c r="M1216" t="s">
        <v>1354</v>
      </c>
      <c r="N1216" t="s">
        <v>1355</v>
      </c>
      <c r="O1216" t="s">
        <v>1356</v>
      </c>
      <c r="P1216" t="s">
        <v>1357</v>
      </c>
      <c r="S1216" s="5"/>
      <c r="T1216" t="s">
        <v>72</v>
      </c>
      <c r="U1216" t="s">
        <v>102</v>
      </c>
      <c r="V1216" t="s">
        <v>74</v>
      </c>
      <c r="W1216" t="s">
        <v>102</v>
      </c>
      <c r="AE1216" s="2"/>
      <c r="AF1216" s="2"/>
      <c r="AG1216" s="2"/>
      <c r="AH1216" s="2"/>
      <c r="AK1216" t="s">
        <v>67</v>
      </c>
      <c r="AL1216" s="2">
        <v>5916690</v>
      </c>
      <c r="AM1216" s="2">
        <v>0</v>
      </c>
      <c r="AN1216" s="2"/>
      <c r="AO1216" s="2">
        <v>0</v>
      </c>
      <c r="AP1216" s="2">
        <v>5916690</v>
      </c>
      <c r="AQ1216" s="2">
        <v>0</v>
      </c>
      <c r="AR1216" s="2">
        <v>0</v>
      </c>
      <c r="AS1216" s="2">
        <v>0</v>
      </c>
      <c r="AT1216" s="2">
        <v>0</v>
      </c>
      <c r="AU1216" s="2">
        <v>0</v>
      </c>
      <c r="AV1216" s="2">
        <v>0</v>
      </c>
      <c r="AW1216" s="4"/>
      <c r="AX1216" t="s">
        <v>75</v>
      </c>
      <c r="AZ1216" t="s">
        <v>2696</v>
      </c>
      <c r="BA1216" t="s">
        <v>67</v>
      </c>
      <c r="BB1216" t="s">
        <v>2697</v>
      </c>
      <c r="BC1216" t="s">
        <v>986</v>
      </c>
      <c r="BD1216" t="s">
        <v>79</v>
      </c>
      <c r="BE1216" t="s">
        <v>2698</v>
      </c>
      <c r="BF1216" s="5">
        <v>46786</v>
      </c>
      <c r="BH1216">
        <v>2</v>
      </c>
      <c r="BI1216" s="6">
        <v>1944000</v>
      </c>
      <c r="BJ1216" s="6">
        <v>38</v>
      </c>
      <c r="BK1216" s="6">
        <v>738720</v>
      </c>
      <c r="BL1216" s="6">
        <v>1205280</v>
      </c>
      <c r="BM1216" s="2">
        <v>2410560</v>
      </c>
      <c r="BN1216">
        <f>InvoiceTable[[#This Row],[Giảm giá]]*InvoiceTable[[#This Row],[Số lượng]]</f>
        <v>1477440</v>
      </c>
    </row>
    <row r="1217" spans="1:66" x14ac:dyDescent="0.25">
      <c r="A1217" t="s">
        <v>65</v>
      </c>
      <c r="B1217" t="s">
        <v>3341</v>
      </c>
      <c r="F1217" s="2"/>
      <c r="G1217" s="3">
        <v>46003.68136412037</v>
      </c>
      <c r="H1217" s="3">
        <v>46003.681341284719</v>
      </c>
      <c r="I1217" s="4" t="s">
        <v>3281</v>
      </c>
      <c r="J1217" t="s">
        <v>67</v>
      </c>
      <c r="K1217" t="s">
        <v>67</v>
      </c>
      <c r="L1217" t="s">
        <v>3342</v>
      </c>
      <c r="M1217" t="s">
        <v>3343</v>
      </c>
      <c r="N1217" t="s">
        <v>67</v>
      </c>
      <c r="O1217" t="s">
        <v>3344</v>
      </c>
      <c r="P1217" t="s">
        <v>3345</v>
      </c>
      <c r="Q1217" t="s">
        <v>67</v>
      </c>
      <c r="R1217" t="s">
        <v>67</v>
      </c>
      <c r="S1217" s="5"/>
      <c r="T1217" t="s">
        <v>72</v>
      </c>
      <c r="U1217" t="s">
        <v>87</v>
      </c>
      <c r="V1217" t="s">
        <v>74</v>
      </c>
      <c r="W1217" t="s">
        <v>87</v>
      </c>
      <c r="AE1217" s="2"/>
      <c r="AF1217" s="2"/>
      <c r="AG1217" s="2"/>
      <c r="AH1217" s="2"/>
      <c r="AL1217" s="2">
        <v>550000</v>
      </c>
      <c r="AM1217" s="2">
        <v>0</v>
      </c>
      <c r="AN1217" s="2"/>
      <c r="AO1217" s="2">
        <v>0</v>
      </c>
      <c r="AP1217" s="2">
        <v>550000</v>
      </c>
      <c r="AQ1217" s="2">
        <v>0</v>
      </c>
      <c r="AR1217" s="2">
        <v>0</v>
      </c>
      <c r="AS1217" s="2">
        <v>0</v>
      </c>
      <c r="AT1217" s="2">
        <v>0</v>
      </c>
      <c r="AU1217" s="2">
        <v>0</v>
      </c>
      <c r="AV1217" s="2">
        <v>0</v>
      </c>
      <c r="AW1217" s="4"/>
      <c r="AX1217" t="s">
        <v>75</v>
      </c>
      <c r="AZ1217" t="s">
        <v>604</v>
      </c>
      <c r="BA1217" t="s">
        <v>67</v>
      </c>
      <c r="BB1217" t="s">
        <v>605</v>
      </c>
      <c r="BC1217" t="s">
        <v>606</v>
      </c>
      <c r="BD1217" t="s">
        <v>79</v>
      </c>
      <c r="BE1217" t="s">
        <v>168</v>
      </c>
      <c r="BF1217" s="5">
        <v>46388</v>
      </c>
      <c r="BH1217">
        <v>1</v>
      </c>
      <c r="BI1217" s="6">
        <v>1100000</v>
      </c>
      <c r="BJ1217" s="6">
        <v>0</v>
      </c>
      <c r="BK1217" s="6">
        <v>550000</v>
      </c>
      <c r="BL1217" s="6">
        <v>550000</v>
      </c>
      <c r="BM1217" s="2">
        <v>550000</v>
      </c>
      <c r="BN1217">
        <f>InvoiceTable[[#This Row],[Giảm giá]]*InvoiceTable[[#This Row],[Số lượng]]</f>
        <v>550000</v>
      </c>
    </row>
    <row r="1218" spans="1:66" x14ac:dyDescent="0.25">
      <c r="A1218" t="s">
        <v>65</v>
      </c>
      <c r="B1218" t="s">
        <v>3346</v>
      </c>
      <c r="F1218" s="2"/>
      <c r="G1218" s="3">
        <v>46003.675671261575</v>
      </c>
      <c r="H1218" s="3">
        <v>46003.675625081021</v>
      </c>
      <c r="I1218" s="4" t="s">
        <v>2803</v>
      </c>
      <c r="J1218" t="s">
        <v>3347</v>
      </c>
      <c r="K1218" t="s">
        <v>67</v>
      </c>
      <c r="L1218" t="s">
        <v>1772</v>
      </c>
      <c r="M1218" t="s">
        <v>1773</v>
      </c>
      <c r="N1218" t="s">
        <v>67</v>
      </c>
      <c r="O1218" t="s">
        <v>1774</v>
      </c>
      <c r="P1218" t="s">
        <v>1775</v>
      </c>
      <c r="Q1218" t="s">
        <v>67</v>
      </c>
      <c r="R1218" t="s">
        <v>67</v>
      </c>
      <c r="S1218" s="5"/>
      <c r="T1218" t="s">
        <v>72</v>
      </c>
      <c r="U1218" t="s">
        <v>87</v>
      </c>
      <c r="V1218" t="s">
        <v>74</v>
      </c>
      <c r="W1218" t="s">
        <v>87</v>
      </c>
      <c r="AE1218" s="2"/>
      <c r="AF1218" s="2"/>
      <c r="AG1218" s="2"/>
      <c r="AH1218" s="2"/>
      <c r="AL1218" s="2">
        <v>100858500</v>
      </c>
      <c r="AM1218" s="2">
        <v>0</v>
      </c>
      <c r="AN1218" s="2"/>
      <c r="AO1218" s="2">
        <v>0</v>
      </c>
      <c r="AP1218" s="2">
        <v>100858500</v>
      </c>
      <c r="AQ1218" s="2">
        <v>0</v>
      </c>
      <c r="AR1218" s="2">
        <v>0</v>
      </c>
      <c r="AS1218" s="2">
        <v>0</v>
      </c>
      <c r="AT1218" s="2">
        <v>0</v>
      </c>
      <c r="AU1218" s="2">
        <v>0</v>
      </c>
      <c r="AV1218" s="2">
        <v>0</v>
      </c>
      <c r="AW1218" s="4"/>
      <c r="AX1218" t="s">
        <v>75</v>
      </c>
      <c r="AZ1218" t="s">
        <v>536</v>
      </c>
      <c r="BA1218" t="s">
        <v>67</v>
      </c>
      <c r="BB1218" t="s">
        <v>537</v>
      </c>
      <c r="BC1218" t="s">
        <v>105</v>
      </c>
      <c r="BD1218" t="s">
        <v>79</v>
      </c>
      <c r="BE1218" t="s">
        <v>94</v>
      </c>
      <c r="BF1218" s="5">
        <v>46692</v>
      </c>
      <c r="BH1218">
        <v>6</v>
      </c>
      <c r="BI1218" s="6">
        <v>7665000</v>
      </c>
      <c r="BJ1218" s="6">
        <v>0</v>
      </c>
      <c r="BK1218" s="6">
        <v>1465000</v>
      </c>
      <c r="BL1218" s="6">
        <v>6200000</v>
      </c>
      <c r="BM1218" s="2">
        <v>37200000</v>
      </c>
      <c r="BN1218">
        <f>InvoiceTable[[#This Row],[Giảm giá]]*InvoiceTable[[#This Row],[Số lượng]]</f>
        <v>8790000</v>
      </c>
    </row>
    <row r="1219" spans="1:66" x14ac:dyDescent="0.25">
      <c r="A1219" t="s">
        <v>65</v>
      </c>
      <c r="B1219" t="s">
        <v>3346</v>
      </c>
      <c r="F1219" s="2"/>
      <c r="G1219" s="3">
        <v>46003.675671261575</v>
      </c>
      <c r="H1219" s="3">
        <v>46003.675625081021</v>
      </c>
      <c r="I1219" s="4" t="s">
        <v>2803</v>
      </c>
      <c r="J1219" t="s">
        <v>3347</v>
      </c>
      <c r="K1219" t="s">
        <v>67</v>
      </c>
      <c r="L1219" t="s">
        <v>1772</v>
      </c>
      <c r="M1219" t="s">
        <v>1773</v>
      </c>
      <c r="N1219" t="s">
        <v>67</v>
      </c>
      <c r="O1219" t="s">
        <v>1774</v>
      </c>
      <c r="P1219" t="s">
        <v>1775</v>
      </c>
      <c r="Q1219" t="s">
        <v>67</v>
      </c>
      <c r="R1219" t="s">
        <v>67</v>
      </c>
      <c r="S1219" s="5"/>
      <c r="T1219" t="s">
        <v>72</v>
      </c>
      <c r="U1219" t="s">
        <v>87</v>
      </c>
      <c r="V1219" t="s">
        <v>74</v>
      </c>
      <c r="W1219" t="s">
        <v>87</v>
      </c>
      <c r="AE1219" s="2"/>
      <c r="AF1219" s="2"/>
      <c r="AG1219" s="2"/>
      <c r="AH1219" s="2"/>
      <c r="AL1219" s="2">
        <v>100858500</v>
      </c>
      <c r="AM1219" s="2">
        <v>0</v>
      </c>
      <c r="AN1219" s="2"/>
      <c r="AO1219" s="2">
        <v>0</v>
      </c>
      <c r="AP1219" s="2">
        <v>100858500</v>
      </c>
      <c r="AQ1219" s="2">
        <v>0</v>
      </c>
      <c r="AR1219" s="2">
        <v>0</v>
      </c>
      <c r="AS1219" s="2">
        <v>0</v>
      </c>
      <c r="AT1219" s="2">
        <v>0</v>
      </c>
      <c r="AU1219" s="2">
        <v>0</v>
      </c>
      <c r="AV1219" s="2">
        <v>0</v>
      </c>
      <c r="AW1219" s="4"/>
      <c r="AX1219" t="s">
        <v>75</v>
      </c>
      <c r="AZ1219" t="s">
        <v>601</v>
      </c>
      <c r="BA1219" t="s">
        <v>67</v>
      </c>
      <c r="BB1219" t="s">
        <v>602</v>
      </c>
      <c r="BC1219" t="s">
        <v>301</v>
      </c>
      <c r="BD1219" t="s">
        <v>79</v>
      </c>
      <c r="BE1219" t="s">
        <v>603</v>
      </c>
      <c r="BF1219" s="5">
        <v>46802</v>
      </c>
      <c r="BH1219">
        <v>13</v>
      </c>
      <c r="BI1219" s="6">
        <v>2650000</v>
      </c>
      <c r="BJ1219" s="6">
        <v>47</v>
      </c>
      <c r="BK1219" s="6">
        <v>1245500</v>
      </c>
      <c r="BL1219" s="6">
        <v>1404500</v>
      </c>
      <c r="BM1219" s="2">
        <v>18258500</v>
      </c>
      <c r="BN1219">
        <f>InvoiceTable[[#This Row],[Giảm giá]]*InvoiceTable[[#This Row],[Số lượng]]</f>
        <v>16191500</v>
      </c>
    </row>
    <row r="1220" spans="1:66" x14ac:dyDescent="0.25">
      <c r="A1220" t="s">
        <v>65</v>
      </c>
      <c r="B1220" t="s">
        <v>3346</v>
      </c>
      <c r="F1220" s="2"/>
      <c r="G1220" s="3">
        <v>46003.675671261575</v>
      </c>
      <c r="H1220" s="3">
        <v>46003.675625081021</v>
      </c>
      <c r="I1220" s="4" t="s">
        <v>2803</v>
      </c>
      <c r="J1220" t="s">
        <v>3347</v>
      </c>
      <c r="K1220" t="s">
        <v>67</v>
      </c>
      <c r="L1220" t="s">
        <v>1772</v>
      </c>
      <c r="M1220" t="s">
        <v>1773</v>
      </c>
      <c r="N1220" t="s">
        <v>67</v>
      </c>
      <c r="O1220" t="s">
        <v>1774</v>
      </c>
      <c r="P1220" t="s">
        <v>1775</v>
      </c>
      <c r="Q1220" t="s">
        <v>67</v>
      </c>
      <c r="R1220" t="s">
        <v>67</v>
      </c>
      <c r="S1220" s="5"/>
      <c r="T1220" t="s">
        <v>72</v>
      </c>
      <c r="U1220" t="s">
        <v>87</v>
      </c>
      <c r="V1220" t="s">
        <v>74</v>
      </c>
      <c r="W1220" t="s">
        <v>87</v>
      </c>
      <c r="AE1220" s="2"/>
      <c r="AF1220" s="2"/>
      <c r="AG1220" s="2"/>
      <c r="AH1220" s="2"/>
      <c r="AL1220" s="2">
        <v>100858500</v>
      </c>
      <c r="AM1220" s="2">
        <v>0</v>
      </c>
      <c r="AN1220" s="2"/>
      <c r="AO1220" s="2">
        <v>0</v>
      </c>
      <c r="AP1220" s="2">
        <v>100858500</v>
      </c>
      <c r="AQ1220" s="2">
        <v>0</v>
      </c>
      <c r="AR1220" s="2">
        <v>0</v>
      </c>
      <c r="AS1220" s="2">
        <v>0</v>
      </c>
      <c r="AT1220" s="2">
        <v>0</v>
      </c>
      <c r="AU1220" s="2">
        <v>0</v>
      </c>
      <c r="AV1220" s="2">
        <v>0</v>
      </c>
      <c r="AW1220" s="4"/>
      <c r="AX1220" t="s">
        <v>75</v>
      </c>
      <c r="AZ1220" t="s">
        <v>103</v>
      </c>
      <c r="BB1220" t="s">
        <v>104</v>
      </c>
      <c r="BC1220" t="s">
        <v>105</v>
      </c>
      <c r="BD1220" t="s">
        <v>79</v>
      </c>
      <c r="BE1220" t="s">
        <v>106</v>
      </c>
      <c r="BF1220" s="5">
        <v>46327</v>
      </c>
      <c r="BH1220">
        <v>6</v>
      </c>
      <c r="BI1220" s="6">
        <v>6930000</v>
      </c>
      <c r="BJ1220" s="6">
        <v>0</v>
      </c>
      <c r="BK1220" s="6">
        <v>2830000</v>
      </c>
      <c r="BL1220" s="6">
        <v>4100000</v>
      </c>
      <c r="BM1220" s="2">
        <v>24600000</v>
      </c>
      <c r="BN1220">
        <f>InvoiceTable[[#This Row],[Giảm giá]]*InvoiceTable[[#This Row],[Số lượng]]</f>
        <v>16980000</v>
      </c>
    </row>
    <row r="1221" spans="1:66" x14ac:dyDescent="0.25">
      <c r="A1221" t="s">
        <v>65</v>
      </c>
      <c r="B1221" t="s">
        <v>3346</v>
      </c>
      <c r="F1221" s="2"/>
      <c r="G1221" s="3">
        <v>46003.675671261575</v>
      </c>
      <c r="H1221" s="3">
        <v>46003.675625081021</v>
      </c>
      <c r="I1221" s="4" t="s">
        <v>2803</v>
      </c>
      <c r="J1221" t="s">
        <v>3347</v>
      </c>
      <c r="K1221" t="s">
        <v>67</v>
      </c>
      <c r="L1221" t="s">
        <v>1772</v>
      </c>
      <c r="M1221" t="s">
        <v>1773</v>
      </c>
      <c r="N1221" t="s">
        <v>67</v>
      </c>
      <c r="O1221" t="s">
        <v>1774</v>
      </c>
      <c r="P1221" t="s">
        <v>1775</v>
      </c>
      <c r="Q1221" t="s">
        <v>67</v>
      </c>
      <c r="R1221" t="s">
        <v>67</v>
      </c>
      <c r="S1221" s="5"/>
      <c r="T1221" t="s">
        <v>72</v>
      </c>
      <c r="U1221" t="s">
        <v>87</v>
      </c>
      <c r="V1221" t="s">
        <v>74</v>
      </c>
      <c r="W1221" t="s">
        <v>87</v>
      </c>
      <c r="AE1221" s="2"/>
      <c r="AF1221" s="2"/>
      <c r="AG1221" s="2"/>
      <c r="AH1221" s="2"/>
      <c r="AL1221" s="2">
        <v>100858500</v>
      </c>
      <c r="AM1221" s="2">
        <v>0</v>
      </c>
      <c r="AN1221" s="2"/>
      <c r="AO1221" s="2">
        <v>0</v>
      </c>
      <c r="AP1221" s="2">
        <v>100858500</v>
      </c>
      <c r="AQ1221" s="2">
        <v>0</v>
      </c>
      <c r="AR1221" s="2">
        <v>0</v>
      </c>
      <c r="AS1221" s="2">
        <v>0</v>
      </c>
      <c r="AT1221" s="2">
        <v>0</v>
      </c>
      <c r="AU1221" s="2">
        <v>0</v>
      </c>
      <c r="AV1221" s="2">
        <v>0</v>
      </c>
      <c r="AW1221" s="4"/>
      <c r="AX1221" t="s">
        <v>75</v>
      </c>
      <c r="AZ1221" t="s">
        <v>3348</v>
      </c>
      <c r="BA1221" t="s">
        <v>67</v>
      </c>
      <c r="BB1221" t="s">
        <v>3349</v>
      </c>
      <c r="BC1221" t="s">
        <v>3350</v>
      </c>
      <c r="BD1221" t="s">
        <v>79</v>
      </c>
      <c r="BE1221" t="s">
        <v>142</v>
      </c>
      <c r="BF1221" s="5">
        <v>46844</v>
      </c>
      <c r="BH1221">
        <v>4</v>
      </c>
      <c r="BI1221" s="6">
        <v>7600000</v>
      </c>
      <c r="BJ1221" s="6">
        <v>0</v>
      </c>
      <c r="BK1221" s="6">
        <v>2400000</v>
      </c>
      <c r="BL1221" s="6">
        <v>5200000</v>
      </c>
      <c r="BM1221" s="2">
        <v>20800000</v>
      </c>
      <c r="BN1221">
        <f>InvoiceTable[[#This Row],[Giảm giá]]*InvoiceTable[[#This Row],[Số lượng]]</f>
        <v>9600000</v>
      </c>
    </row>
    <row r="1222" spans="1:66" x14ac:dyDescent="0.25">
      <c r="A1222" t="s">
        <v>65</v>
      </c>
      <c r="B1222" t="s">
        <v>3351</v>
      </c>
      <c r="F1222" s="2"/>
      <c r="G1222" s="3">
        <v>46003.670453668979</v>
      </c>
      <c r="H1222" s="3">
        <v>46003.670453784725</v>
      </c>
      <c r="I1222" s="4" t="s">
        <v>67</v>
      </c>
      <c r="J1222" t="s">
        <v>3352</v>
      </c>
      <c r="K1222" t="s">
        <v>67</v>
      </c>
      <c r="L1222" t="s">
        <v>3353</v>
      </c>
      <c r="M1222" t="s">
        <v>3354</v>
      </c>
      <c r="N1222" t="s">
        <v>67</v>
      </c>
      <c r="O1222" t="s">
        <v>3355</v>
      </c>
      <c r="S1222" s="5"/>
      <c r="T1222" t="s">
        <v>72</v>
      </c>
      <c r="U1222" t="s">
        <v>102</v>
      </c>
      <c r="V1222" t="s">
        <v>74</v>
      </c>
      <c r="W1222" t="s">
        <v>87</v>
      </c>
      <c r="AE1222" s="2"/>
      <c r="AF1222" s="2"/>
      <c r="AG1222" s="2"/>
      <c r="AH1222" s="2"/>
      <c r="AK1222" t="s">
        <v>1652</v>
      </c>
      <c r="AL1222" s="2">
        <v>998250</v>
      </c>
      <c r="AM1222" s="2">
        <v>0</v>
      </c>
      <c r="AN1222" s="2"/>
      <c r="AO1222" s="2">
        <v>0</v>
      </c>
      <c r="AP1222" s="2">
        <v>998250</v>
      </c>
      <c r="AQ1222" s="2">
        <v>0</v>
      </c>
      <c r="AR1222" s="2">
        <v>0</v>
      </c>
      <c r="AS1222" s="2">
        <v>0</v>
      </c>
      <c r="AT1222" s="2">
        <v>0</v>
      </c>
      <c r="AU1222" s="2">
        <v>0</v>
      </c>
      <c r="AV1222" s="2">
        <v>0</v>
      </c>
      <c r="AW1222" s="4"/>
      <c r="AX1222" t="s">
        <v>75</v>
      </c>
      <c r="AZ1222" t="s">
        <v>3356</v>
      </c>
      <c r="BA1222" t="s">
        <v>67</v>
      </c>
      <c r="BB1222" t="s">
        <v>3357</v>
      </c>
      <c r="BC1222" t="s">
        <v>1492</v>
      </c>
      <c r="BD1222" t="s">
        <v>79</v>
      </c>
      <c r="BE1222" t="s">
        <v>198</v>
      </c>
      <c r="BF1222" s="5">
        <v>46753</v>
      </c>
      <c r="BG1222" t="s">
        <v>67</v>
      </c>
      <c r="BH1222">
        <v>1</v>
      </c>
      <c r="BI1222" s="6">
        <v>1815000</v>
      </c>
      <c r="BJ1222" s="6">
        <v>45</v>
      </c>
      <c r="BK1222" s="6">
        <v>816750</v>
      </c>
      <c r="BL1222" s="6">
        <v>998250</v>
      </c>
      <c r="BM1222" s="2">
        <v>998250</v>
      </c>
      <c r="BN1222">
        <f>InvoiceTable[[#This Row],[Giảm giá]]*InvoiceTable[[#This Row],[Số lượng]]</f>
        <v>816750</v>
      </c>
    </row>
    <row r="1223" spans="1:66" x14ac:dyDescent="0.25">
      <c r="A1223" t="s">
        <v>65</v>
      </c>
      <c r="B1223" t="s">
        <v>3358</v>
      </c>
      <c r="F1223" s="2"/>
      <c r="G1223" s="3">
        <v>46003.667046759256</v>
      </c>
      <c r="H1223" s="3">
        <v>46003.66704699074</v>
      </c>
      <c r="I1223" s="4" t="s">
        <v>67</v>
      </c>
      <c r="J1223" t="s">
        <v>3359</v>
      </c>
      <c r="K1223" t="s">
        <v>67</v>
      </c>
      <c r="L1223" t="s">
        <v>3316</v>
      </c>
      <c r="M1223" t="s">
        <v>3317</v>
      </c>
      <c r="N1223" t="s">
        <v>67</v>
      </c>
      <c r="O1223" t="s">
        <v>3318</v>
      </c>
      <c r="P1223" t="s">
        <v>3319</v>
      </c>
      <c r="S1223" s="5"/>
      <c r="T1223" t="s">
        <v>72</v>
      </c>
      <c r="U1223" t="s">
        <v>102</v>
      </c>
      <c r="V1223" t="s">
        <v>74</v>
      </c>
      <c r="W1223" t="s">
        <v>87</v>
      </c>
      <c r="AE1223" s="2"/>
      <c r="AF1223" s="2"/>
      <c r="AG1223" s="2"/>
      <c r="AH1223" s="2"/>
      <c r="AK1223" t="s">
        <v>1003</v>
      </c>
      <c r="AL1223" s="2">
        <v>2304453</v>
      </c>
      <c r="AM1223" s="2">
        <v>0</v>
      </c>
      <c r="AN1223" s="2"/>
      <c r="AO1223" s="2">
        <v>0</v>
      </c>
      <c r="AP1223" s="2">
        <v>2304453</v>
      </c>
      <c r="AQ1223" s="2">
        <v>0</v>
      </c>
      <c r="AR1223" s="2">
        <v>0</v>
      </c>
      <c r="AS1223" s="2">
        <v>0</v>
      </c>
      <c r="AT1223" s="2">
        <v>0</v>
      </c>
      <c r="AU1223" s="2">
        <v>0</v>
      </c>
      <c r="AV1223" s="2">
        <v>0</v>
      </c>
      <c r="AW1223" s="4"/>
      <c r="AX1223" t="s">
        <v>75</v>
      </c>
      <c r="AZ1223" t="s">
        <v>919</v>
      </c>
      <c r="BA1223" t="s">
        <v>67</v>
      </c>
      <c r="BB1223" t="s">
        <v>920</v>
      </c>
      <c r="BC1223" t="s">
        <v>822</v>
      </c>
      <c r="BD1223" t="s">
        <v>79</v>
      </c>
      <c r="BE1223" t="s">
        <v>921</v>
      </c>
      <c r="BF1223" s="5">
        <v>47392</v>
      </c>
      <c r="BG1223" t="s">
        <v>67</v>
      </c>
      <c r="BH1223">
        <v>1</v>
      </c>
      <c r="BI1223" s="6">
        <v>1364727</v>
      </c>
      <c r="BJ1223" s="6">
        <v>46</v>
      </c>
      <c r="BK1223" s="6">
        <v>627774.42000000004</v>
      </c>
      <c r="BL1223" s="6">
        <v>736952.58</v>
      </c>
      <c r="BM1223" s="2">
        <v>736953</v>
      </c>
      <c r="BN1223">
        <f>InvoiceTable[[#This Row],[Giảm giá]]*InvoiceTable[[#This Row],[Số lượng]]</f>
        <v>627774.42000000004</v>
      </c>
    </row>
    <row r="1224" spans="1:66" x14ac:dyDescent="0.25">
      <c r="A1224" t="s">
        <v>65</v>
      </c>
      <c r="B1224" t="s">
        <v>3358</v>
      </c>
      <c r="F1224" s="2"/>
      <c r="G1224" s="3">
        <v>46003.667046759256</v>
      </c>
      <c r="H1224" s="3">
        <v>46003.66704699074</v>
      </c>
      <c r="I1224" s="4" t="s">
        <v>67</v>
      </c>
      <c r="J1224" t="s">
        <v>3359</v>
      </c>
      <c r="K1224" t="s">
        <v>67</v>
      </c>
      <c r="L1224" t="s">
        <v>3316</v>
      </c>
      <c r="M1224" t="s">
        <v>3317</v>
      </c>
      <c r="N1224" t="s">
        <v>67</v>
      </c>
      <c r="O1224" t="s">
        <v>3318</v>
      </c>
      <c r="P1224" t="s">
        <v>3319</v>
      </c>
      <c r="S1224" s="5"/>
      <c r="T1224" t="s">
        <v>72</v>
      </c>
      <c r="U1224" t="s">
        <v>102</v>
      </c>
      <c r="V1224" t="s">
        <v>74</v>
      </c>
      <c r="W1224" t="s">
        <v>87</v>
      </c>
      <c r="AE1224" s="2"/>
      <c r="AF1224" s="2"/>
      <c r="AG1224" s="2"/>
      <c r="AH1224" s="2"/>
      <c r="AK1224" t="s">
        <v>1003</v>
      </c>
      <c r="AL1224" s="2">
        <v>2304453</v>
      </c>
      <c r="AM1224" s="2">
        <v>0</v>
      </c>
      <c r="AN1224" s="2"/>
      <c r="AO1224" s="2">
        <v>0</v>
      </c>
      <c r="AP1224" s="2">
        <v>2304453</v>
      </c>
      <c r="AQ1224" s="2">
        <v>0</v>
      </c>
      <c r="AR1224" s="2">
        <v>0</v>
      </c>
      <c r="AS1224" s="2">
        <v>0</v>
      </c>
      <c r="AT1224" s="2">
        <v>0</v>
      </c>
      <c r="AU1224" s="2">
        <v>0</v>
      </c>
      <c r="AV1224" s="2">
        <v>0</v>
      </c>
      <c r="AW1224" s="4"/>
      <c r="AX1224" t="s">
        <v>75</v>
      </c>
      <c r="AZ1224" t="s">
        <v>2385</v>
      </c>
      <c r="BA1224" t="s">
        <v>67</v>
      </c>
      <c r="BB1224" t="s">
        <v>2386</v>
      </c>
      <c r="BC1224" t="s">
        <v>391</v>
      </c>
      <c r="BD1224" t="s">
        <v>79</v>
      </c>
      <c r="BE1224" t="s">
        <v>198</v>
      </c>
      <c r="BF1224" s="5">
        <v>46753</v>
      </c>
      <c r="BH1224">
        <v>1</v>
      </c>
      <c r="BI1224" s="6">
        <v>2850000</v>
      </c>
      <c r="BJ1224" s="6">
        <v>45</v>
      </c>
      <c r="BK1224" s="6">
        <v>1282500</v>
      </c>
      <c r="BL1224" s="6">
        <v>1567500</v>
      </c>
      <c r="BM1224" s="2">
        <v>1567500</v>
      </c>
      <c r="BN1224">
        <f>InvoiceTable[[#This Row],[Giảm giá]]*InvoiceTable[[#This Row],[Số lượng]]</f>
        <v>1282500</v>
      </c>
    </row>
    <row r="1225" spans="1:66" x14ac:dyDescent="0.25">
      <c r="A1225" t="s">
        <v>65</v>
      </c>
      <c r="B1225" t="s">
        <v>3360</v>
      </c>
      <c r="F1225" s="2"/>
      <c r="G1225" s="3">
        <v>46003.662113078703</v>
      </c>
      <c r="H1225" s="3">
        <v>46003.662113194441</v>
      </c>
      <c r="I1225" s="4" t="s">
        <v>67</v>
      </c>
      <c r="J1225" t="s">
        <v>3361</v>
      </c>
      <c r="K1225" t="s">
        <v>67</v>
      </c>
      <c r="L1225" t="s">
        <v>3362</v>
      </c>
      <c r="M1225" t="s">
        <v>3363</v>
      </c>
      <c r="N1225" t="s">
        <v>67</v>
      </c>
      <c r="Q1225" t="s">
        <v>67</v>
      </c>
      <c r="R1225" t="s">
        <v>67</v>
      </c>
      <c r="S1225" s="5"/>
      <c r="T1225" t="s">
        <v>72</v>
      </c>
      <c r="U1225" t="s">
        <v>87</v>
      </c>
      <c r="V1225" t="s">
        <v>74</v>
      </c>
      <c r="W1225" t="s">
        <v>87</v>
      </c>
      <c r="AE1225" s="2"/>
      <c r="AF1225" s="2"/>
      <c r="AG1225" s="2"/>
      <c r="AH1225" s="2"/>
      <c r="AK1225" t="s">
        <v>3364</v>
      </c>
      <c r="AL1225" s="2">
        <v>2042280</v>
      </c>
      <c r="AM1225" s="2">
        <v>0</v>
      </c>
      <c r="AN1225" s="2"/>
      <c r="AO1225" s="2">
        <v>0</v>
      </c>
      <c r="AP1225" s="2">
        <v>2042280</v>
      </c>
      <c r="AQ1225" s="2">
        <v>0</v>
      </c>
      <c r="AR1225" s="2">
        <v>0</v>
      </c>
      <c r="AS1225" s="2">
        <v>0</v>
      </c>
      <c r="AT1225" s="2">
        <v>0</v>
      </c>
      <c r="AU1225" s="2">
        <v>0</v>
      </c>
      <c r="AV1225" s="2">
        <v>0</v>
      </c>
      <c r="AW1225" s="4"/>
      <c r="AX1225" t="s">
        <v>75</v>
      </c>
      <c r="AZ1225" t="s">
        <v>3365</v>
      </c>
      <c r="BA1225" t="s">
        <v>67</v>
      </c>
      <c r="BB1225" t="s">
        <v>3366</v>
      </c>
      <c r="BC1225" t="s">
        <v>1786</v>
      </c>
      <c r="BE1225" t="s">
        <v>3367</v>
      </c>
      <c r="BF1225" s="5">
        <v>46985</v>
      </c>
      <c r="BG1225" t="s">
        <v>67</v>
      </c>
      <c r="BH1225">
        <v>1</v>
      </c>
      <c r="BI1225" s="6">
        <v>1620000</v>
      </c>
      <c r="BJ1225" s="6">
        <v>38</v>
      </c>
      <c r="BK1225" s="6">
        <v>615600</v>
      </c>
      <c r="BL1225" s="6">
        <v>1004400</v>
      </c>
      <c r="BM1225" s="2">
        <v>1004400</v>
      </c>
      <c r="BN1225">
        <f>InvoiceTable[[#This Row],[Giảm giá]]*InvoiceTable[[#This Row],[Số lượng]]</f>
        <v>615600</v>
      </c>
    </row>
    <row r="1226" spans="1:66" x14ac:dyDescent="0.25">
      <c r="A1226" t="s">
        <v>65</v>
      </c>
      <c r="B1226" t="s">
        <v>3360</v>
      </c>
      <c r="F1226" s="2"/>
      <c r="G1226" s="3">
        <v>46003.662113078703</v>
      </c>
      <c r="H1226" s="3">
        <v>46003.662113194441</v>
      </c>
      <c r="I1226" s="4" t="s">
        <v>67</v>
      </c>
      <c r="J1226" t="s">
        <v>3361</v>
      </c>
      <c r="K1226" t="s">
        <v>67</v>
      </c>
      <c r="L1226" t="s">
        <v>3362</v>
      </c>
      <c r="M1226" t="s">
        <v>3363</v>
      </c>
      <c r="N1226" t="s">
        <v>67</v>
      </c>
      <c r="Q1226" t="s">
        <v>67</v>
      </c>
      <c r="R1226" t="s">
        <v>67</v>
      </c>
      <c r="S1226" s="5"/>
      <c r="T1226" t="s">
        <v>72</v>
      </c>
      <c r="U1226" t="s">
        <v>87</v>
      </c>
      <c r="V1226" t="s">
        <v>74</v>
      </c>
      <c r="W1226" t="s">
        <v>87</v>
      </c>
      <c r="AE1226" s="2"/>
      <c r="AF1226" s="2"/>
      <c r="AG1226" s="2"/>
      <c r="AH1226" s="2"/>
      <c r="AK1226" t="s">
        <v>3364</v>
      </c>
      <c r="AL1226" s="2">
        <v>2042280</v>
      </c>
      <c r="AM1226" s="2">
        <v>0</v>
      </c>
      <c r="AN1226" s="2"/>
      <c r="AO1226" s="2">
        <v>0</v>
      </c>
      <c r="AP1226" s="2">
        <v>2042280</v>
      </c>
      <c r="AQ1226" s="2">
        <v>0</v>
      </c>
      <c r="AR1226" s="2">
        <v>0</v>
      </c>
      <c r="AS1226" s="2">
        <v>0</v>
      </c>
      <c r="AT1226" s="2">
        <v>0</v>
      </c>
      <c r="AU1226" s="2">
        <v>0</v>
      </c>
      <c r="AV1226" s="2">
        <v>0</v>
      </c>
      <c r="AW1226" s="4"/>
      <c r="AX1226" t="s">
        <v>75</v>
      </c>
      <c r="AZ1226" t="s">
        <v>3368</v>
      </c>
      <c r="BA1226" t="s">
        <v>67</v>
      </c>
      <c r="BB1226" t="s">
        <v>3369</v>
      </c>
      <c r="BC1226" t="s">
        <v>1786</v>
      </c>
      <c r="BD1226" t="s">
        <v>79</v>
      </c>
      <c r="BE1226" t="s">
        <v>3370</v>
      </c>
      <c r="BF1226" s="5">
        <v>46949</v>
      </c>
      <c r="BG1226" t="s">
        <v>67</v>
      </c>
      <c r="BH1226">
        <v>1</v>
      </c>
      <c r="BI1226" s="6">
        <v>1674000</v>
      </c>
      <c r="BJ1226" s="6">
        <v>38</v>
      </c>
      <c r="BK1226" s="6">
        <v>636120</v>
      </c>
      <c r="BL1226" s="6">
        <v>1037880</v>
      </c>
      <c r="BM1226" s="2">
        <v>1037880</v>
      </c>
      <c r="BN1226">
        <f>InvoiceTable[[#This Row],[Giảm giá]]*InvoiceTable[[#This Row],[Số lượng]]</f>
        <v>636120</v>
      </c>
    </row>
    <row r="1227" spans="1:66" x14ac:dyDescent="0.25">
      <c r="A1227" t="s">
        <v>65</v>
      </c>
      <c r="B1227" t="s">
        <v>3371</v>
      </c>
      <c r="F1227" s="2"/>
      <c r="G1227" s="3">
        <v>46003.661785960649</v>
      </c>
      <c r="H1227" s="3">
        <v>46003.661786111108</v>
      </c>
      <c r="I1227" s="4" t="s">
        <v>67</v>
      </c>
      <c r="J1227" t="s">
        <v>3372</v>
      </c>
      <c r="K1227" t="s">
        <v>67</v>
      </c>
      <c r="L1227" t="s">
        <v>1353</v>
      </c>
      <c r="M1227" t="s">
        <v>1354</v>
      </c>
      <c r="N1227" t="s">
        <v>1355</v>
      </c>
      <c r="O1227" t="s">
        <v>1356</v>
      </c>
      <c r="P1227" t="s">
        <v>1357</v>
      </c>
      <c r="S1227" s="5"/>
      <c r="T1227" t="s">
        <v>72</v>
      </c>
      <c r="U1227" t="s">
        <v>102</v>
      </c>
      <c r="V1227" t="s">
        <v>74</v>
      </c>
      <c r="W1227" t="s">
        <v>87</v>
      </c>
      <c r="AE1227" s="2"/>
      <c r="AF1227" s="2"/>
      <c r="AG1227" s="2"/>
      <c r="AH1227" s="2"/>
      <c r="AK1227" t="s">
        <v>1242</v>
      </c>
      <c r="AL1227" s="2">
        <v>660000</v>
      </c>
      <c r="AM1227" s="2">
        <v>0</v>
      </c>
      <c r="AN1227" s="2"/>
      <c r="AO1227" s="2">
        <v>0</v>
      </c>
      <c r="AP1227" s="2">
        <v>660000</v>
      </c>
      <c r="AQ1227" s="2">
        <v>0</v>
      </c>
      <c r="AR1227" s="2">
        <v>0</v>
      </c>
      <c r="AS1227" s="2">
        <v>0</v>
      </c>
      <c r="AT1227" s="2">
        <v>0</v>
      </c>
      <c r="AU1227" s="2">
        <v>0</v>
      </c>
      <c r="AV1227" s="2">
        <v>0</v>
      </c>
      <c r="AW1227" s="4"/>
      <c r="AX1227" t="s">
        <v>75</v>
      </c>
      <c r="AZ1227" t="s">
        <v>2021</v>
      </c>
      <c r="BA1227" t="s">
        <v>67</v>
      </c>
      <c r="BB1227" t="s">
        <v>2022</v>
      </c>
      <c r="BC1227" t="s">
        <v>2023</v>
      </c>
      <c r="BD1227" t="s">
        <v>79</v>
      </c>
      <c r="BE1227" t="s">
        <v>117</v>
      </c>
      <c r="BF1227" s="5">
        <v>46569</v>
      </c>
      <c r="BH1227">
        <v>1</v>
      </c>
      <c r="BI1227" s="6">
        <v>1100000</v>
      </c>
      <c r="BJ1227" s="6">
        <v>40</v>
      </c>
      <c r="BK1227" s="6">
        <v>440000</v>
      </c>
      <c r="BL1227" s="6">
        <v>660000</v>
      </c>
      <c r="BM1227" s="2">
        <v>660000</v>
      </c>
      <c r="BN1227">
        <f>InvoiceTable[[#This Row],[Giảm giá]]*InvoiceTable[[#This Row],[Số lượng]]</f>
        <v>440000</v>
      </c>
    </row>
    <row r="1228" spans="1:66" x14ac:dyDescent="0.25">
      <c r="A1228" t="s">
        <v>65</v>
      </c>
      <c r="B1228" t="s">
        <v>3373</v>
      </c>
      <c r="F1228" s="2"/>
      <c r="G1228" s="3">
        <v>46003.661520138892</v>
      </c>
      <c r="H1228" s="3">
        <v>46003.661520254631</v>
      </c>
      <c r="I1228" s="4" t="s">
        <v>67</v>
      </c>
      <c r="J1228" t="s">
        <v>3374</v>
      </c>
      <c r="K1228" t="s">
        <v>67</v>
      </c>
      <c r="L1228" t="s">
        <v>1772</v>
      </c>
      <c r="M1228" t="s">
        <v>1773</v>
      </c>
      <c r="N1228" t="s">
        <v>67</v>
      </c>
      <c r="O1228" t="s">
        <v>1774</v>
      </c>
      <c r="P1228" t="s">
        <v>1775</v>
      </c>
      <c r="Q1228" t="s">
        <v>67</v>
      </c>
      <c r="R1228" t="s">
        <v>67</v>
      </c>
      <c r="S1228" s="5"/>
      <c r="T1228" t="s">
        <v>72</v>
      </c>
      <c r="U1228" t="s">
        <v>87</v>
      </c>
      <c r="V1228" t="s">
        <v>74</v>
      </c>
      <c r="W1228" t="s">
        <v>87</v>
      </c>
      <c r="AE1228" s="2"/>
      <c r="AF1228" s="2"/>
      <c r="AG1228" s="2"/>
      <c r="AH1228" s="2"/>
      <c r="AL1228" s="2">
        <v>1284000</v>
      </c>
      <c r="AM1228" s="2">
        <v>0</v>
      </c>
      <c r="AN1228" s="2"/>
      <c r="AO1228" s="2">
        <v>0</v>
      </c>
      <c r="AP1228" s="2">
        <v>1284000</v>
      </c>
      <c r="AQ1228" s="2">
        <v>0</v>
      </c>
      <c r="AR1228" s="2">
        <v>0</v>
      </c>
      <c r="AS1228" s="2">
        <v>0</v>
      </c>
      <c r="AT1228" s="2">
        <v>0</v>
      </c>
      <c r="AU1228" s="2">
        <v>0</v>
      </c>
      <c r="AV1228" s="2">
        <v>0</v>
      </c>
      <c r="AW1228" s="4"/>
      <c r="AX1228" t="s">
        <v>75</v>
      </c>
      <c r="AZ1228" t="s">
        <v>1777</v>
      </c>
      <c r="BA1228" t="s">
        <v>67</v>
      </c>
      <c r="BB1228" t="s">
        <v>1778</v>
      </c>
      <c r="BC1228" t="s">
        <v>1779</v>
      </c>
      <c r="BD1228" t="s">
        <v>79</v>
      </c>
      <c r="BE1228" t="s">
        <v>1780</v>
      </c>
      <c r="BF1228" s="5">
        <v>46956</v>
      </c>
      <c r="BG1228" t="s">
        <v>67</v>
      </c>
      <c r="BH1228">
        <v>2</v>
      </c>
      <c r="BI1228" s="6">
        <v>380000</v>
      </c>
      <c r="BJ1228" s="6">
        <v>40</v>
      </c>
      <c r="BK1228" s="6">
        <v>152000</v>
      </c>
      <c r="BL1228" s="6">
        <v>228000</v>
      </c>
      <c r="BM1228" s="2">
        <v>456000</v>
      </c>
      <c r="BN1228">
        <f>InvoiceTable[[#This Row],[Giảm giá]]*InvoiceTable[[#This Row],[Số lượng]]</f>
        <v>304000</v>
      </c>
    </row>
    <row r="1229" spans="1:66" x14ac:dyDescent="0.25">
      <c r="A1229" t="s">
        <v>65</v>
      </c>
      <c r="B1229" t="s">
        <v>3373</v>
      </c>
      <c r="F1229" s="2"/>
      <c r="G1229" s="3">
        <v>46003.661520138892</v>
      </c>
      <c r="H1229" s="3">
        <v>46003.661520254631</v>
      </c>
      <c r="I1229" s="4" t="s">
        <v>67</v>
      </c>
      <c r="J1229" t="s">
        <v>3374</v>
      </c>
      <c r="K1229" t="s">
        <v>67</v>
      </c>
      <c r="L1229" t="s">
        <v>1772</v>
      </c>
      <c r="M1229" t="s">
        <v>1773</v>
      </c>
      <c r="N1229" t="s">
        <v>67</v>
      </c>
      <c r="O1229" t="s">
        <v>1774</v>
      </c>
      <c r="P1229" t="s">
        <v>1775</v>
      </c>
      <c r="Q1229" t="s">
        <v>67</v>
      </c>
      <c r="R1229" t="s">
        <v>67</v>
      </c>
      <c r="S1229" s="5"/>
      <c r="T1229" t="s">
        <v>72</v>
      </c>
      <c r="U1229" t="s">
        <v>87</v>
      </c>
      <c r="V1229" t="s">
        <v>74</v>
      </c>
      <c r="W1229" t="s">
        <v>87</v>
      </c>
      <c r="AE1229" s="2"/>
      <c r="AF1229" s="2"/>
      <c r="AG1229" s="2"/>
      <c r="AH1229" s="2"/>
      <c r="AL1229" s="2">
        <v>1284000</v>
      </c>
      <c r="AM1229" s="2">
        <v>0</v>
      </c>
      <c r="AN1229" s="2"/>
      <c r="AO1229" s="2">
        <v>0</v>
      </c>
      <c r="AP1229" s="2">
        <v>1284000</v>
      </c>
      <c r="AQ1229" s="2">
        <v>0</v>
      </c>
      <c r="AR1229" s="2">
        <v>0</v>
      </c>
      <c r="AS1229" s="2">
        <v>0</v>
      </c>
      <c r="AT1229" s="2">
        <v>0</v>
      </c>
      <c r="AU1229" s="2">
        <v>0</v>
      </c>
      <c r="AV1229" s="2">
        <v>0</v>
      </c>
      <c r="AW1229" s="4"/>
      <c r="AX1229" t="s">
        <v>75</v>
      </c>
      <c r="AZ1229" t="s">
        <v>276</v>
      </c>
      <c r="BA1229" t="s">
        <v>67</v>
      </c>
      <c r="BB1229" t="s">
        <v>277</v>
      </c>
      <c r="BC1229" t="s">
        <v>278</v>
      </c>
      <c r="BD1229" t="s">
        <v>79</v>
      </c>
      <c r="BE1229" t="s">
        <v>168</v>
      </c>
      <c r="BF1229" s="5">
        <v>46388</v>
      </c>
      <c r="BH1229">
        <v>2</v>
      </c>
      <c r="BI1229" s="6">
        <v>690000</v>
      </c>
      <c r="BJ1229" s="6">
        <v>40</v>
      </c>
      <c r="BK1229" s="6">
        <v>276000</v>
      </c>
      <c r="BL1229" s="6">
        <v>414000</v>
      </c>
      <c r="BM1229" s="2">
        <v>828000</v>
      </c>
      <c r="BN1229">
        <f>InvoiceTable[[#This Row],[Giảm giá]]*InvoiceTable[[#This Row],[Số lượng]]</f>
        <v>552000</v>
      </c>
    </row>
    <row r="1230" spans="1:66" x14ac:dyDescent="0.25">
      <c r="A1230" t="s">
        <v>65</v>
      </c>
      <c r="B1230" t="s">
        <v>3375</v>
      </c>
      <c r="F1230" s="2"/>
      <c r="G1230" s="3">
        <v>46003.659138923613</v>
      </c>
      <c r="H1230" s="3">
        <v>46003.659104363425</v>
      </c>
      <c r="I1230" s="4" t="s">
        <v>3066</v>
      </c>
      <c r="J1230" t="s">
        <v>3376</v>
      </c>
      <c r="K1230" t="s">
        <v>67</v>
      </c>
      <c r="L1230" t="s">
        <v>3377</v>
      </c>
      <c r="M1230" t="s">
        <v>3378</v>
      </c>
      <c r="N1230" t="s">
        <v>67</v>
      </c>
      <c r="O1230" t="s">
        <v>3379</v>
      </c>
      <c r="P1230" t="s">
        <v>3380</v>
      </c>
      <c r="Q1230" t="s">
        <v>67</v>
      </c>
      <c r="R1230" t="s">
        <v>67</v>
      </c>
      <c r="S1230" s="5"/>
      <c r="T1230" t="s">
        <v>72</v>
      </c>
      <c r="U1230" t="s">
        <v>102</v>
      </c>
      <c r="V1230" t="s">
        <v>74</v>
      </c>
      <c r="W1230" t="s">
        <v>87</v>
      </c>
      <c r="AE1230" s="2"/>
      <c r="AF1230" s="2"/>
      <c r="AG1230" s="2"/>
      <c r="AH1230" s="2"/>
      <c r="AK1230" t="s">
        <v>3381</v>
      </c>
      <c r="AL1230" s="2">
        <v>1500000</v>
      </c>
      <c r="AM1230" s="2">
        <v>0</v>
      </c>
      <c r="AN1230" s="2"/>
      <c r="AO1230" s="2">
        <v>0</v>
      </c>
      <c r="AP1230" s="2">
        <v>1500000</v>
      </c>
      <c r="AQ1230" s="2">
        <v>0</v>
      </c>
      <c r="AR1230" s="2">
        <v>0</v>
      </c>
      <c r="AS1230" s="2">
        <v>0</v>
      </c>
      <c r="AT1230" s="2">
        <v>0</v>
      </c>
      <c r="AU1230" s="2">
        <v>0</v>
      </c>
      <c r="AV1230" s="2">
        <v>0</v>
      </c>
      <c r="AW1230" s="4"/>
      <c r="AX1230" t="s">
        <v>75</v>
      </c>
      <c r="AZ1230" t="s">
        <v>291</v>
      </c>
      <c r="BA1230" t="s">
        <v>67</v>
      </c>
      <c r="BB1230" t="s">
        <v>292</v>
      </c>
      <c r="BC1230" t="s">
        <v>126</v>
      </c>
      <c r="BD1230" t="s">
        <v>79</v>
      </c>
      <c r="BE1230" t="s">
        <v>94</v>
      </c>
      <c r="BF1230" s="5">
        <v>46692</v>
      </c>
      <c r="BG1230" t="s">
        <v>67</v>
      </c>
      <c r="BH1230">
        <v>20</v>
      </c>
      <c r="BI1230" s="6">
        <v>250000</v>
      </c>
      <c r="BJ1230" s="6">
        <v>0</v>
      </c>
      <c r="BK1230" s="6">
        <v>175000</v>
      </c>
      <c r="BL1230" s="6">
        <v>75000</v>
      </c>
      <c r="BM1230" s="2">
        <v>1500000</v>
      </c>
      <c r="BN1230">
        <f>InvoiceTable[[#This Row],[Giảm giá]]*InvoiceTable[[#This Row],[Số lượng]]</f>
        <v>3500000</v>
      </c>
    </row>
    <row r="1231" spans="1:66" x14ac:dyDescent="0.25">
      <c r="A1231" t="s">
        <v>65</v>
      </c>
      <c r="B1231" t="s">
        <v>3382</v>
      </c>
      <c r="F1231" s="2"/>
      <c r="G1231" s="3">
        <v>46003.658219097226</v>
      </c>
      <c r="H1231" s="3">
        <v>46003.658219178244</v>
      </c>
      <c r="I1231" s="4" t="s">
        <v>67</v>
      </c>
      <c r="J1231" t="s">
        <v>67</v>
      </c>
      <c r="K1231" t="s">
        <v>67</v>
      </c>
      <c r="L1231" t="s">
        <v>1368</v>
      </c>
      <c r="M1231" t="s">
        <v>1369</v>
      </c>
      <c r="N1231" t="s">
        <v>67</v>
      </c>
      <c r="O1231" t="s">
        <v>1370</v>
      </c>
      <c r="Q1231" t="s">
        <v>67</v>
      </c>
      <c r="R1231" t="s">
        <v>67</v>
      </c>
      <c r="S1231" s="5"/>
      <c r="T1231" t="s">
        <v>72</v>
      </c>
      <c r="U1231" t="s">
        <v>87</v>
      </c>
      <c r="V1231" t="s">
        <v>74</v>
      </c>
      <c r="W1231" t="s">
        <v>87</v>
      </c>
      <c r="AE1231" s="2"/>
      <c r="AF1231" s="2"/>
      <c r="AG1231" s="2"/>
      <c r="AH1231" s="2"/>
      <c r="AL1231" s="2">
        <v>1750000</v>
      </c>
      <c r="AM1231" s="2">
        <v>0</v>
      </c>
      <c r="AN1231" s="2"/>
      <c r="AO1231" s="2">
        <v>0</v>
      </c>
      <c r="AP1231" s="2">
        <v>1750000</v>
      </c>
      <c r="AQ1231" s="2">
        <v>0</v>
      </c>
      <c r="AR1231" s="2">
        <v>0</v>
      </c>
      <c r="AS1231" s="2">
        <v>0</v>
      </c>
      <c r="AT1231" s="2">
        <v>0</v>
      </c>
      <c r="AU1231" s="2">
        <v>0</v>
      </c>
      <c r="AV1231" s="2">
        <v>0</v>
      </c>
      <c r="AW1231" s="4"/>
      <c r="AX1231" t="s">
        <v>75</v>
      </c>
      <c r="AZ1231" t="s">
        <v>3383</v>
      </c>
      <c r="BA1231" t="s">
        <v>67</v>
      </c>
      <c r="BB1231" t="s">
        <v>3384</v>
      </c>
      <c r="BC1231" t="s">
        <v>1183</v>
      </c>
      <c r="BD1231" t="s">
        <v>79</v>
      </c>
      <c r="BE1231" t="s">
        <v>145</v>
      </c>
      <c r="BF1231" s="5">
        <v>46508</v>
      </c>
      <c r="BG1231" t="s">
        <v>67</v>
      </c>
      <c r="BH1231">
        <v>1</v>
      </c>
      <c r="BI1231" s="6">
        <v>3500000</v>
      </c>
      <c r="BJ1231" s="6">
        <v>50</v>
      </c>
      <c r="BK1231" s="6">
        <v>1750000</v>
      </c>
      <c r="BL1231" s="6">
        <v>1750000</v>
      </c>
      <c r="BM1231" s="2">
        <v>1750000</v>
      </c>
      <c r="BN1231">
        <f>InvoiceTable[[#This Row],[Giảm giá]]*InvoiceTable[[#This Row],[Số lượng]]</f>
        <v>1750000</v>
      </c>
    </row>
    <row r="1232" spans="1:66" x14ac:dyDescent="0.25">
      <c r="A1232" t="s">
        <v>65</v>
      </c>
      <c r="B1232" t="s">
        <v>3385</v>
      </c>
      <c r="F1232" s="2"/>
      <c r="G1232" s="3">
        <v>46003.657678391202</v>
      </c>
      <c r="H1232" s="3">
        <v>46003.657678587966</v>
      </c>
      <c r="I1232" s="4" t="s">
        <v>67</v>
      </c>
      <c r="J1232" t="s">
        <v>67</v>
      </c>
      <c r="K1232" t="s">
        <v>67</v>
      </c>
      <c r="L1232" t="s">
        <v>295</v>
      </c>
      <c r="M1232" t="s">
        <v>296</v>
      </c>
      <c r="N1232" t="s">
        <v>67</v>
      </c>
      <c r="O1232" t="s">
        <v>297</v>
      </c>
      <c r="P1232" t="s">
        <v>298</v>
      </c>
      <c r="S1232" s="5"/>
      <c r="T1232" t="s">
        <v>72</v>
      </c>
      <c r="U1232" t="s">
        <v>87</v>
      </c>
      <c r="V1232" t="s">
        <v>74</v>
      </c>
      <c r="W1232" t="s">
        <v>87</v>
      </c>
      <c r="AE1232" s="2"/>
      <c r="AF1232" s="2"/>
      <c r="AG1232" s="2"/>
      <c r="AH1232" s="2"/>
      <c r="AL1232" s="2">
        <v>1894750</v>
      </c>
      <c r="AM1232" s="2">
        <v>0</v>
      </c>
      <c r="AN1232" s="2"/>
      <c r="AO1232" s="2">
        <v>0</v>
      </c>
      <c r="AP1232" s="2">
        <v>1894750</v>
      </c>
      <c r="AQ1232" s="2">
        <v>0</v>
      </c>
      <c r="AR1232" s="2">
        <v>0</v>
      </c>
      <c r="AS1232" s="2">
        <v>0</v>
      </c>
      <c r="AT1232" s="2">
        <v>0</v>
      </c>
      <c r="AU1232" s="2">
        <v>0</v>
      </c>
      <c r="AV1232" s="2">
        <v>0</v>
      </c>
      <c r="AW1232" s="4"/>
      <c r="AX1232" t="s">
        <v>75</v>
      </c>
      <c r="AZ1232" t="s">
        <v>1374</v>
      </c>
      <c r="BA1232" t="s">
        <v>67</v>
      </c>
      <c r="BB1232" t="s">
        <v>1375</v>
      </c>
      <c r="BC1232" t="s">
        <v>1376</v>
      </c>
      <c r="BD1232" t="s">
        <v>79</v>
      </c>
      <c r="BE1232" t="s">
        <v>317</v>
      </c>
      <c r="BF1232" s="5">
        <v>46935</v>
      </c>
      <c r="BH1232">
        <v>5</v>
      </c>
      <c r="BI1232" s="6">
        <v>715000</v>
      </c>
      <c r="BJ1232" s="6">
        <v>47</v>
      </c>
      <c r="BK1232" s="6">
        <v>336050</v>
      </c>
      <c r="BL1232" s="6">
        <v>378950</v>
      </c>
      <c r="BM1232" s="2">
        <v>1894750</v>
      </c>
      <c r="BN1232">
        <f>InvoiceTable[[#This Row],[Giảm giá]]*InvoiceTable[[#This Row],[Số lượng]]</f>
        <v>1680250</v>
      </c>
    </row>
    <row r="1233" spans="1:66" x14ac:dyDescent="0.25">
      <c r="A1233" t="s">
        <v>65</v>
      </c>
      <c r="B1233" t="s">
        <v>3386</v>
      </c>
      <c r="F1233" s="2"/>
      <c r="G1233" s="3">
        <v>46003.657325775464</v>
      </c>
      <c r="H1233" s="3">
        <v>46003.657325891203</v>
      </c>
      <c r="I1233" s="4" t="s">
        <v>67</v>
      </c>
      <c r="J1233" t="s">
        <v>67</v>
      </c>
      <c r="K1233" t="s">
        <v>67</v>
      </c>
      <c r="L1233" t="s">
        <v>1368</v>
      </c>
      <c r="M1233" t="s">
        <v>1369</v>
      </c>
      <c r="N1233" t="s">
        <v>67</v>
      </c>
      <c r="O1233" t="s">
        <v>1370</v>
      </c>
      <c r="Q1233" t="s">
        <v>67</v>
      </c>
      <c r="R1233" t="s">
        <v>67</v>
      </c>
      <c r="S1233" s="5"/>
      <c r="T1233" t="s">
        <v>72</v>
      </c>
      <c r="U1233" t="s">
        <v>87</v>
      </c>
      <c r="V1233" t="s">
        <v>74</v>
      </c>
      <c r="W1233" t="s">
        <v>87</v>
      </c>
      <c r="AE1233" s="2"/>
      <c r="AF1233" s="2"/>
      <c r="AG1233" s="2"/>
      <c r="AH1233" s="2"/>
      <c r="AK1233" t="s">
        <v>3387</v>
      </c>
      <c r="AL1233" s="2">
        <v>893050</v>
      </c>
      <c r="AM1233" s="2">
        <v>0</v>
      </c>
      <c r="AN1233" s="2"/>
      <c r="AO1233" s="2">
        <v>0</v>
      </c>
      <c r="AP1233" s="2">
        <v>893050</v>
      </c>
      <c r="AQ1233" s="2">
        <v>0</v>
      </c>
      <c r="AR1233" s="2">
        <v>0</v>
      </c>
      <c r="AS1233" s="2">
        <v>0</v>
      </c>
      <c r="AT1233" s="2">
        <v>0</v>
      </c>
      <c r="AU1233" s="2">
        <v>0</v>
      </c>
      <c r="AV1233" s="2">
        <v>0</v>
      </c>
      <c r="AW1233" s="4"/>
      <c r="AX1233" t="s">
        <v>75</v>
      </c>
      <c r="AZ1233" t="s">
        <v>739</v>
      </c>
      <c r="BA1233" t="s">
        <v>67</v>
      </c>
      <c r="BB1233" t="s">
        <v>740</v>
      </c>
      <c r="BC1233" t="s">
        <v>223</v>
      </c>
      <c r="BD1233" t="s">
        <v>79</v>
      </c>
      <c r="BE1233" t="s">
        <v>741</v>
      </c>
      <c r="BF1233" s="5">
        <v>46963</v>
      </c>
      <c r="BH1233">
        <v>1</v>
      </c>
      <c r="BI1233" s="6">
        <v>1685000</v>
      </c>
      <c r="BJ1233" s="6">
        <v>47</v>
      </c>
      <c r="BK1233" s="6">
        <v>791950</v>
      </c>
      <c r="BL1233" s="6">
        <v>893050</v>
      </c>
      <c r="BM1233" s="2">
        <v>893050</v>
      </c>
      <c r="BN1233">
        <f>InvoiceTable[[#This Row],[Giảm giá]]*InvoiceTable[[#This Row],[Số lượng]]</f>
        <v>791950</v>
      </c>
    </row>
    <row r="1234" spans="1:66" x14ac:dyDescent="0.25">
      <c r="A1234" t="s">
        <v>65</v>
      </c>
      <c r="B1234" t="s">
        <v>3388</v>
      </c>
      <c r="F1234" s="2"/>
      <c r="G1234" s="3">
        <v>46003.652692743053</v>
      </c>
      <c r="H1234" s="3">
        <v>46003.652692858799</v>
      </c>
      <c r="I1234" s="4" t="s">
        <v>67</v>
      </c>
      <c r="J1234" t="s">
        <v>3389</v>
      </c>
      <c r="K1234" t="s">
        <v>67</v>
      </c>
      <c r="L1234" t="s">
        <v>1901</v>
      </c>
      <c r="M1234" t="s">
        <v>1902</v>
      </c>
      <c r="N1234" t="s">
        <v>67</v>
      </c>
      <c r="O1234" t="s">
        <v>1903</v>
      </c>
      <c r="P1234" t="s">
        <v>1904</v>
      </c>
      <c r="Q1234" t="s">
        <v>67</v>
      </c>
      <c r="R1234" t="s">
        <v>67</v>
      </c>
      <c r="S1234" s="5"/>
      <c r="T1234" t="s">
        <v>72</v>
      </c>
      <c r="U1234" t="s">
        <v>87</v>
      </c>
      <c r="V1234" t="s">
        <v>74</v>
      </c>
      <c r="W1234" t="s">
        <v>87</v>
      </c>
      <c r="AE1234" s="2"/>
      <c r="AF1234" s="2"/>
      <c r="AG1234" s="2"/>
      <c r="AH1234" s="2"/>
      <c r="AL1234" s="2">
        <v>32450000</v>
      </c>
      <c r="AM1234" s="2">
        <v>15251500</v>
      </c>
      <c r="AN1234" s="2"/>
      <c r="AO1234" s="2">
        <v>0</v>
      </c>
      <c r="AP1234" s="2">
        <v>17198500</v>
      </c>
      <c r="AQ1234" s="2">
        <v>0</v>
      </c>
      <c r="AR1234" s="2">
        <v>0</v>
      </c>
      <c r="AS1234" s="2">
        <v>0</v>
      </c>
      <c r="AT1234" s="2">
        <v>0</v>
      </c>
      <c r="AU1234" s="2">
        <v>0</v>
      </c>
      <c r="AV1234" s="2">
        <v>0</v>
      </c>
      <c r="AW1234" s="4"/>
      <c r="AX1234" t="s">
        <v>75</v>
      </c>
      <c r="AZ1234" t="s">
        <v>1215</v>
      </c>
      <c r="BA1234" t="s">
        <v>67</v>
      </c>
      <c r="BB1234" t="s">
        <v>1216</v>
      </c>
      <c r="BC1234" t="s">
        <v>770</v>
      </c>
      <c r="BD1234" t="s">
        <v>79</v>
      </c>
      <c r="BE1234" t="s">
        <v>201</v>
      </c>
      <c r="BF1234" s="5">
        <v>46966</v>
      </c>
      <c r="BH1234">
        <v>15</v>
      </c>
      <c r="BI1234" s="6">
        <v>250000</v>
      </c>
      <c r="BJ1234" s="6">
        <v>0</v>
      </c>
      <c r="BK1234" s="6">
        <v>0</v>
      </c>
      <c r="BL1234" s="6">
        <v>250000</v>
      </c>
      <c r="BM1234" s="2">
        <v>3750000</v>
      </c>
      <c r="BN1234">
        <f>InvoiceTable[[#This Row],[Giảm giá]]*InvoiceTable[[#This Row],[Số lượng]]</f>
        <v>0</v>
      </c>
    </row>
    <row r="1235" spans="1:66" x14ac:dyDescent="0.25">
      <c r="A1235" t="s">
        <v>65</v>
      </c>
      <c r="B1235" t="s">
        <v>3388</v>
      </c>
      <c r="F1235" s="2"/>
      <c r="G1235" s="3">
        <v>46003.652692743053</v>
      </c>
      <c r="H1235" s="3">
        <v>46003.652692858799</v>
      </c>
      <c r="I1235" s="4" t="s">
        <v>67</v>
      </c>
      <c r="J1235" t="s">
        <v>3389</v>
      </c>
      <c r="K1235" t="s">
        <v>67</v>
      </c>
      <c r="L1235" t="s">
        <v>1901</v>
      </c>
      <c r="M1235" t="s">
        <v>1902</v>
      </c>
      <c r="N1235" t="s">
        <v>67</v>
      </c>
      <c r="O1235" t="s">
        <v>1903</v>
      </c>
      <c r="P1235" t="s">
        <v>1904</v>
      </c>
      <c r="Q1235" t="s">
        <v>67</v>
      </c>
      <c r="R1235" t="s">
        <v>67</v>
      </c>
      <c r="S1235" s="5"/>
      <c r="T1235" t="s">
        <v>72</v>
      </c>
      <c r="U1235" t="s">
        <v>87</v>
      </c>
      <c r="V1235" t="s">
        <v>74</v>
      </c>
      <c r="W1235" t="s">
        <v>87</v>
      </c>
      <c r="AE1235" s="2"/>
      <c r="AF1235" s="2"/>
      <c r="AG1235" s="2"/>
      <c r="AH1235" s="2"/>
      <c r="AL1235" s="2">
        <v>32450000</v>
      </c>
      <c r="AM1235" s="2">
        <v>15251500</v>
      </c>
      <c r="AN1235" s="2"/>
      <c r="AO1235" s="2">
        <v>0</v>
      </c>
      <c r="AP1235" s="2">
        <v>17198500</v>
      </c>
      <c r="AQ1235" s="2">
        <v>0</v>
      </c>
      <c r="AR1235" s="2">
        <v>0</v>
      </c>
      <c r="AS1235" s="2">
        <v>0</v>
      </c>
      <c r="AT1235" s="2">
        <v>0</v>
      </c>
      <c r="AU1235" s="2">
        <v>0</v>
      </c>
      <c r="AV1235" s="2">
        <v>0</v>
      </c>
      <c r="AW1235" s="4"/>
      <c r="AX1235" t="s">
        <v>75</v>
      </c>
      <c r="AZ1235" t="s">
        <v>1215</v>
      </c>
      <c r="BA1235" t="s">
        <v>67</v>
      </c>
      <c r="BB1235" t="s">
        <v>1216</v>
      </c>
      <c r="BC1235" t="s">
        <v>770</v>
      </c>
      <c r="BD1235" t="s">
        <v>79</v>
      </c>
      <c r="BE1235" t="s">
        <v>201</v>
      </c>
      <c r="BF1235" s="5">
        <v>46966</v>
      </c>
      <c r="BG1235" t="s">
        <v>67</v>
      </c>
      <c r="BH1235">
        <v>35</v>
      </c>
      <c r="BI1235" s="6">
        <v>250000</v>
      </c>
      <c r="BJ1235" s="6">
        <v>0</v>
      </c>
      <c r="BK1235" s="6">
        <v>0</v>
      </c>
      <c r="BL1235" s="6">
        <v>250000</v>
      </c>
      <c r="BM1235" s="2">
        <v>8750000</v>
      </c>
      <c r="BN1235">
        <f>InvoiceTable[[#This Row],[Giảm giá]]*InvoiceTable[[#This Row],[Số lượng]]</f>
        <v>0</v>
      </c>
    </row>
    <row r="1236" spans="1:66" x14ac:dyDescent="0.25">
      <c r="A1236" t="s">
        <v>65</v>
      </c>
      <c r="B1236" t="s">
        <v>3388</v>
      </c>
      <c r="F1236" s="2"/>
      <c r="G1236" s="3">
        <v>46003.652692743053</v>
      </c>
      <c r="H1236" s="3">
        <v>46003.652692858799</v>
      </c>
      <c r="I1236" s="4" t="s">
        <v>67</v>
      </c>
      <c r="J1236" t="s">
        <v>3389</v>
      </c>
      <c r="K1236" t="s">
        <v>67</v>
      </c>
      <c r="L1236" t="s">
        <v>1901</v>
      </c>
      <c r="M1236" t="s">
        <v>1902</v>
      </c>
      <c r="N1236" t="s">
        <v>67</v>
      </c>
      <c r="O1236" t="s">
        <v>1903</v>
      </c>
      <c r="P1236" t="s">
        <v>1904</v>
      </c>
      <c r="Q1236" t="s">
        <v>67</v>
      </c>
      <c r="R1236" t="s">
        <v>67</v>
      </c>
      <c r="S1236" s="5"/>
      <c r="T1236" t="s">
        <v>72</v>
      </c>
      <c r="U1236" t="s">
        <v>87</v>
      </c>
      <c r="V1236" t="s">
        <v>74</v>
      </c>
      <c r="W1236" t="s">
        <v>87</v>
      </c>
      <c r="AE1236" s="2"/>
      <c r="AF1236" s="2"/>
      <c r="AG1236" s="2"/>
      <c r="AH1236" s="2"/>
      <c r="AL1236" s="2">
        <v>32450000</v>
      </c>
      <c r="AM1236" s="2">
        <v>15251500</v>
      </c>
      <c r="AN1236" s="2"/>
      <c r="AO1236" s="2">
        <v>0</v>
      </c>
      <c r="AP1236" s="2">
        <v>17198500</v>
      </c>
      <c r="AQ1236" s="2">
        <v>0</v>
      </c>
      <c r="AR1236" s="2">
        <v>0</v>
      </c>
      <c r="AS1236" s="2">
        <v>0</v>
      </c>
      <c r="AT1236" s="2">
        <v>0</v>
      </c>
      <c r="AU1236" s="2">
        <v>0</v>
      </c>
      <c r="AV1236" s="2">
        <v>0</v>
      </c>
      <c r="AW1236" s="4"/>
      <c r="AX1236" t="s">
        <v>75</v>
      </c>
      <c r="AZ1236" t="s">
        <v>771</v>
      </c>
      <c r="BA1236" t="s">
        <v>67</v>
      </c>
      <c r="BB1236" t="s">
        <v>772</v>
      </c>
      <c r="BC1236" t="s">
        <v>770</v>
      </c>
      <c r="BD1236" t="s">
        <v>79</v>
      </c>
      <c r="BE1236" t="s">
        <v>177</v>
      </c>
      <c r="BF1236" s="5">
        <v>47027</v>
      </c>
      <c r="BH1236">
        <v>8</v>
      </c>
      <c r="BI1236" s="6">
        <v>399000</v>
      </c>
      <c r="BJ1236" s="6">
        <v>0</v>
      </c>
      <c r="BK1236" s="6">
        <v>0</v>
      </c>
      <c r="BL1236" s="6">
        <v>399000</v>
      </c>
      <c r="BM1236" s="2">
        <v>3192000</v>
      </c>
      <c r="BN1236">
        <f>InvoiceTable[[#This Row],[Giảm giá]]*InvoiceTable[[#This Row],[Số lượng]]</f>
        <v>0</v>
      </c>
    </row>
    <row r="1237" spans="1:66" x14ac:dyDescent="0.25">
      <c r="A1237" t="s">
        <v>65</v>
      </c>
      <c r="B1237" t="s">
        <v>3388</v>
      </c>
      <c r="F1237" s="2"/>
      <c r="G1237" s="3">
        <v>46003.652692743053</v>
      </c>
      <c r="H1237" s="3">
        <v>46003.652692858799</v>
      </c>
      <c r="I1237" s="4" t="s">
        <v>67</v>
      </c>
      <c r="J1237" t="s">
        <v>3389</v>
      </c>
      <c r="K1237" t="s">
        <v>67</v>
      </c>
      <c r="L1237" t="s">
        <v>1901</v>
      </c>
      <c r="M1237" t="s">
        <v>1902</v>
      </c>
      <c r="N1237" t="s">
        <v>67</v>
      </c>
      <c r="O1237" t="s">
        <v>1903</v>
      </c>
      <c r="P1237" t="s">
        <v>1904</v>
      </c>
      <c r="Q1237" t="s">
        <v>67</v>
      </c>
      <c r="R1237" t="s">
        <v>67</v>
      </c>
      <c r="S1237" s="5"/>
      <c r="T1237" t="s">
        <v>72</v>
      </c>
      <c r="U1237" t="s">
        <v>87</v>
      </c>
      <c r="V1237" t="s">
        <v>74</v>
      </c>
      <c r="W1237" t="s">
        <v>87</v>
      </c>
      <c r="AE1237" s="2"/>
      <c r="AF1237" s="2"/>
      <c r="AG1237" s="2"/>
      <c r="AH1237" s="2"/>
      <c r="AL1237" s="2">
        <v>32450000</v>
      </c>
      <c r="AM1237" s="2">
        <v>15251500</v>
      </c>
      <c r="AN1237" s="2"/>
      <c r="AO1237" s="2">
        <v>0</v>
      </c>
      <c r="AP1237" s="2">
        <v>17198500</v>
      </c>
      <c r="AQ1237" s="2">
        <v>0</v>
      </c>
      <c r="AR1237" s="2">
        <v>0</v>
      </c>
      <c r="AS1237" s="2">
        <v>0</v>
      </c>
      <c r="AT1237" s="2">
        <v>0</v>
      </c>
      <c r="AU1237" s="2">
        <v>0</v>
      </c>
      <c r="AV1237" s="2">
        <v>0</v>
      </c>
      <c r="AW1237" s="4"/>
      <c r="AX1237" t="s">
        <v>75</v>
      </c>
      <c r="AZ1237" t="s">
        <v>771</v>
      </c>
      <c r="BA1237" t="s">
        <v>67</v>
      </c>
      <c r="BB1237" t="s">
        <v>772</v>
      </c>
      <c r="BC1237" t="s">
        <v>770</v>
      </c>
      <c r="BD1237" t="s">
        <v>79</v>
      </c>
      <c r="BE1237" t="s">
        <v>177</v>
      </c>
      <c r="BF1237" s="5">
        <v>47027</v>
      </c>
      <c r="BG1237" t="s">
        <v>67</v>
      </c>
      <c r="BH1237">
        <v>42</v>
      </c>
      <c r="BI1237" s="6">
        <v>399000</v>
      </c>
      <c r="BJ1237" s="6">
        <v>0</v>
      </c>
      <c r="BK1237" s="6">
        <v>0</v>
      </c>
      <c r="BL1237" s="6">
        <v>399000</v>
      </c>
      <c r="BM1237" s="2">
        <v>16758000</v>
      </c>
      <c r="BN1237">
        <f>InvoiceTable[[#This Row],[Giảm giá]]*InvoiceTable[[#This Row],[Số lượng]]</f>
        <v>0</v>
      </c>
    </row>
    <row r="1238" spans="1:66" x14ac:dyDescent="0.25">
      <c r="A1238" t="s">
        <v>65</v>
      </c>
      <c r="B1238" t="s">
        <v>3390</v>
      </c>
      <c r="F1238" s="2"/>
      <c r="G1238" s="3">
        <v>46003.640169988423</v>
      </c>
      <c r="H1238" s="3">
        <v>46003.64017013889</v>
      </c>
      <c r="I1238" s="4" t="s">
        <v>3391</v>
      </c>
      <c r="J1238" t="s">
        <v>67</v>
      </c>
      <c r="K1238" t="s">
        <v>67</v>
      </c>
      <c r="L1238" t="s">
        <v>3392</v>
      </c>
      <c r="M1238" t="s">
        <v>3393</v>
      </c>
      <c r="N1238" t="s">
        <v>67</v>
      </c>
      <c r="O1238" t="s">
        <v>3394</v>
      </c>
      <c r="P1238" t="s">
        <v>3395</v>
      </c>
      <c r="Q1238" t="s">
        <v>2408</v>
      </c>
      <c r="R1238" t="s">
        <v>3396</v>
      </c>
      <c r="S1238" s="5"/>
      <c r="T1238" t="s">
        <v>72</v>
      </c>
      <c r="U1238" t="s">
        <v>87</v>
      </c>
      <c r="V1238" t="s">
        <v>74</v>
      </c>
      <c r="W1238" t="s">
        <v>87</v>
      </c>
      <c r="AE1238" s="2"/>
      <c r="AF1238" s="2"/>
      <c r="AG1238" s="2"/>
      <c r="AH1238" s="2"/>
      <c r="AK1238" t="s">
        <v>1390</v>
      </c>
      <c r="AL1238" s="2">
        <v>354250</v>
      </c>
      <c r="AM1238" s="2">
        <v>0</v>
      </c>
      <c r="AN1238" s="2"/>
      <c r="AO1238" s="2">
        <v>0</v>
      </c>
      <c r="AP1238" s="2">
        <v>354250</v>
      </c>
      <c r="AQ1238" s="2">
        <v>0</v>
      </c>
      <c r="AR1238" s="2">
        <v>0</v>
      </c>
      <c r="AS1238" s="2">
        <v>0</v>
      </c>
      <c r="AT1238" s="2">
        <v>0</v>
      </c>
      <c r="AU1238" s="2">
        <v>0</v>
      </c>
      <c r="AV1238" s="2">
        <v>0</v>
      </c>
      <c r="AW1238" s="4"/>
      <c r="AX1238" t="s">
        <v>75</v>
      </c>
      <c r="AZ1238" t="s">
        <v>226</v>
      </c>
      <c r="BA1238" t="s">
        <v>67</v>
      </c>
      <c r="BB1238" t="s">
        <v>227</v>
      </c>
      <c r="BC1238" t="s">
        <v>93</v>
      </c>
      <c r="BD1238" t="s">
        <v>79</v>
      </c>
      <c r="BE1238" t="s">
        <v>228</v>
      </c>
      <c r="BF1238" s="5">
        <v>46813</v>
      </c>
      <c r="BH1238">
        <v>1</v>
      </c>
      <c r="BI1238" s="6">
        <v>545000</v>
      </c>
      <c r="BJ1238" s="6">
        <v>35</v>
      </c>
      <c r="BK1238" s="6">
        <v>190750</v>
      </c>
      <c r="BL1238" s="6">
        <v>354250</v>
      </c>
      <c r="BM1238" s="2">
        <v>354250</v>
      </c>
      <c r="BN1238">
        <f>InvoiceTable[[#This Row],[Giảm giá]]*InvoiceTable[[#This Row],[Số lượng]]</f>
        <v>190750</v>
      </c>
    </row>
    <row r="1239" spans="1:66" x14ac:dyDescent="0.25">
      <c r="A1239" t="s">
        <v>65</v>
      </c>
      <c r="B1239" t="s">
        <v>3397</v>
      </c>
      <c r="F1239" s="2"/>
      <c r="G1239" s="3">
        <v>46003.639699340281</v>
      </c>
      <c r="H1239" s="3">
        <v>46003.639537581017</v>
      </c>
      <c r="I1239" s="4" t="s">
        <v>96</v>
      </c>
      <c r="J1239" t="s">
        <v>67</v>
      </c>
      <c r="K1239" t="s">
        <v>67</v>
      </c>
      <c r="L1239" t="s">
        <v>1530</v>
      </c>
      <c r="M1239" t="s">
        <v>1531</v>
      </c>
      <c r="N1239" t="s">
        <v>67</v>
      </c>
      <c r="O1239" t="s">
        <v>1532</v>
      </c>
      <c r="P1239" t="s">
        <v>1533</v>
      </c>
      <c r="S1239" s="5"/>
      <c r="T1239" t="s">
        <v>72</v>
      </c>
      <c r="U1239" t="s">
        <v>87</v>
      </c>
      <c r="V1239" t="s">
        <v>74</v>
      </c>
      <c r="W1239" t="s">
        <v>87</v>
      </c>
      <c r="AE1239" s="2"/>
      <c r="AF1239" s="2"/>
      <c r="AG1239" s="2"/>
      <c r="AH1239" s="2"/>
      <c r="AL1239" s="2">
        <v>4247000</v>
      </c>
      <c r="AM1239" s="2">
        <v>0</v>
      </c>
      <c r="AN1239" s="2"/>
      <c r="AO1239" s="2">
        <v>0</v>
      </c>
      <c r="AP1239" s="2">
        <v>4247000</v>
      </c>
      <c r="AQ1239" s="2">
        <v>0</v>
      </c>
      <c r="AR1239" s="2">
        <v>0</v>
      </c>
      <c r="AS1239" s="2">
        <v>0</v>
      </c>
      <c r="AT1239" s="2">
        <v>0</v>
      </c>
      <c r="AU1239" s="2">
        <v>0</v>
      </c>
      <c r="AV1239" s="2">
        <v>0</v>
      </c>
      <c r="AW1239" s="4"/>
      <c r="AX1239" t="s">
        <v>75</v>
      </c>
      <c r="AZ1239" t="s">
        <v>2792</v>
      </c>
      <c r="BA1239" t="s">
        <v>67</v>
      </c>
      <c r="BB1239" t="s">
        <v>2793</v>
      </c>
      <c r="BC1239" t="s">
        <v>126</v>
      </c>
      <c r="BD1239" t="s">
        <v>79</v>
      </c>
      <c r="BE1239" t="s">
        <v>317</v>
      </c>
      <c r="BF1239" s="5">
        <v>46935</v>
      </c>
      <c r="BH1239">
        <v>1</v>
      </c>
      <c r="BI1239" s="6">
        <v>200000</v>
      </c>
      <c r="BJ1239" s="6">
        <v>0</v>
      </c>
      <c r="BK1239" s="6">
        <v>100000</v>
      </c>
      <c r="BL1239" s="6">
        <v>100000</v>
      </c>
      <c r="BM1239" s="2">
        <v>100000</v>
      </c>
      <c r="BN1239">
        <f>InvoiceTable[[#This Row],[Giảm giá]]*InvoiceTable[[#This Row],[Số lượng]]</f>
        <v>100000</v>
      </c>
    </row>
    <row r="1240" spans="1:66" x14ac:dyDescent="0.25">
      <c r="A1240" t="s">
        <v>65</v>
      </c>
      <c r="B1240" t="s">
        <v>3397</v>
      </c>
      <c r="F1240" s="2"/>
      <c r="G1240" s="3">
        <v>46003.639699340281</v>
      </c>
      <c r="H1240" s="3">
        <v>46003.639537581017</v>
      </c>
      <c r="I1240" s="4" t="s">
        <v>96</v>
      </c>
      <c r="J1240" t="s">
        <v>67</v>
      </c>
      <c r="K1240" t="s">
        <v>67</v>
      </c>
      <c r="L1240" t="s">
        <v>1530</v>
      </c>
      <c r="M1240" t="s">
        <v>1531</v>
      </c>
      <c r="N1240" t="s">
        <v>67</v>
      </c>
      <c r="O1240" t="s">
        <v>1532</v>
      </c>
      <c r="P1240" t="s">
        <v>1533</v>
      </c>
      <c r="S1240" s="5"/>
      <c r="T1240" t="s">
        <v>72</v>
      </c>
      <c r="U1240" t="s">
        <v>87</v>
      </c>
      <c r="V1240" t="s">
        <v>74</v>
      </c>
      <c r="W1240" t="s">
        <v>87</v>
      </c>
      <c r="AE1240" s="2"/>
      <c r="AF1240" s="2"/>
      <c r="AG1240" s="2"/>
      <c r="AH1240" s="2"/>
      <c r="AL1240" s="2">
        <v>4247000</v>
      </c>
      <c r="AM1240" s="2">
        <v>0</v>
      </c>
      <c r="AN1240" s="2"/>
      <c r="AO1240" s="2">
        <v>0</v>
      </c>
      <c r="AP1240" s="2">
        <v>4247000</v>
      </c>
      <c r="AQ1240" s="2">
        <v>0</v>
      </c>
      <c r="AR1240" s="2">
        <v>0</v>
      </c>
      <c r="AS1240" s="2">
        <v>0</v>
      </c>
      <c r="AT1240" s="2">
        <v>0</v>
      </c>
      <c r="AU1240" s="2">
        <v>0</v>
      </c>
      <c r="AV1240" s="2">
        <v>0</v>
      </c>
      <c r="AW1240" s="4"/>
      <c r="AX1240" t="s">
        <v>75</v>
      </c>
      <c r="AZ1240" t="s">
        <v>486</v>
      </c>
      <c r="BA1240" t="s">
        <v>67</v>
      </c>
      <c r="BB1240" t="s">
        <v>487</v>
      </c>
      <c r="BC1240" t="s">
        <v>485</v>
      </c>
      <c r="BD1240" t="s">
        <v>79</v>
      </c>
      <c r="BE1240" t="s">
        <v>488</v>
      </c>
      <c r="BF1240" s="5">
        <v>46647</v>
      </c>
      <c r="BH1240">
        <v>1</v>
      </c>
      <c r="BI1240" s="6">
        <v>600000</v>
      </c>
      <c r="BJ1240" s="6">
        <v>43</v>
      </c>
      <c r="BK1240" s="6">
        <v>258000</v>
      </c>
      <c r="BL1240" s="6">
        <v>342000</v>
      </c>
      <c r="BM1240" s="2">
        <v>342000</v>
      </c>
      <c r="BN1240">
        <f>InvoiceTable[[#This Row],[Giảm giá]]*InvoiceTable[[#This Row],[Số lượng]]</f>
        <v>258000</v>
      </c>
    </row>
    <row r="1241" spans="1:66" x14ac:dyDescent="0.25">
      <c r="A1241" t="s">
        <v>65</v>
      </c>
      <c r="B1241" t="s">
        <v>3397</v>
      </c>
      <c r="F1241" s="2"/>
      <c r="G1241" s="3">
        <v>46003.639699340281</v>
      </c>
      <c r="H1241" s="3">
        <v>46003.639537581017</v>
      </c>
      <c r="I1241" s="4" t="s">
        <v>96</v>
      </c>
      <c r="J1241" t="s">
        <v>67</v>
      </c>
      <c r="K1241" t="s">
        <v>67</v>
      </c>
      <c r="L1241" t="s">
        <v>1530</v>
      </c>
      <c r="M1241" t="s">
        <v>1531</v>
      </c>
      <c r="N1241" t="s">
        <v>67</v>
      </c>
      <c r="O1241" t="s">
        <v>1532</v>
      </c>
      <c r="P1241" t="s">
        <v>1533</v>
      </c>
      <c r="S1241" s="5"/>
      <c r="T1241" t="s">
        <v>72</v>
      </c>
      <c r="U1241" t="s">
        <v>87</v>
      </c>
      <c r="V1241" t="s">
        <v>74</v>
      </c>
      <c r="W1241" t="s">
        <v>87</v>
      </c>
      <c r="AE1241" s="2"/>
      <c r="AF1241" s="2"/>
      <c r="AG1241" s="2"/>
      <c r="AH1241" s="2"/>
      <c r="AL1241" s="2">
        <v>4247000</v>
      </c>
      <c r="AM1241" s="2">
        <v>0</v>
      </c>
      <c r="AN1241" s="2"/>
      <c r="AO1241" s="2">
        <v>0</v>
      </c>
      <c r="AP1241" s="2">
        <v>4247000</v>
      </c>
      <c r="AQ1241" s="2">
        <v>0</v>
      </c>
      <c r="AR1241" s="2">
        <v>0</v>
      </c>
      <c r="AS1241" s="2">
        <v>0</v>
      </c>
      <c r="AT1241" s="2">
        <v>0</v>
      </c>
      <c r="AU1241" s="2">
        <v>0</v>
      </c>
      <c r="AV1241" s="2">
        <v>0</v>
      </c>
      <c r="AW1241" s="4"/>
      <c r="AX1241" t="s">
        <v>75</v>
      </c>
      <c r="AZ1241" t="s">
        <v>1539</v>
      </c>
      <c r="BA1241" t="s">
        <v>67</v>
      </c>
      <c r="BB1241" t="s">
        <v>1540</v>
      </c>
      <c r="BC1241" t="s">
        <v>485</v>
      </c>
      <c r="BD1241" t="s">
        <v>79</v>
      </c>
      <c r="BE1241" t="s">
        <v>145</v>
      </c>
      <c r="BF1241" s="5">
        <v>46508</v>
      </c>
      <c r="BH1241">
        <v>3</v>
      </c>
      <c r="BI1241" s="6">
        <v>600000</v>
      </c>
      <c r="BJ1241" s="6">
        <v>43</v>
      </c>
      <c r="BK1241" s="6">
        <v>258000</v>
      </c>
      <c r="BL1241" s="6">
        <v>342000</v>
      </c>
      <c r="BM1241" s="2">
        <v>1026000</v>
      </c>
      <c r="BN1241">
        <f>InvoiceTable[[#This Row],[Giảm giá]]*InvoiceTable[[#This Row],[Số lượng]]</f>
        <v>774000</v>
      </c>
    </row>
    <row r="1242" spans="1:66" x14ac:dyDescent="0.25">
      <c r="A1242" t="s">
        <v>65</v>
      </c>
      <c r="B1242" t="s">
        <v>3397</v>
      </c>
      <c r="F1242" s="2"/>
      <c r="G1242" s="3">
        <v>46003.639699340281</v>
      </c>
      <c r="H1242" s="3">
        <v>46003.639537581017</v>
      </c>
      <c r="I1242" s="4" t="s">
        <v>96</v>
      </c>
      <c r="J1242" t="s">
        <v>67</v>
      </c>
      <c r="K1242" t="s">
        <v>67</v>
      </c>
      <c r="L1242" t="s">
        <v>1530</v>
      </c>
      <c r="M1242" t="s">
        <v>1531</v>
      </c>
      <c r="N1242" t="s">
        <v>67</v>
      </c>
      <c r="O1242" t="s">
        <v>1532</v>
      </c>
      <c r="P1242" t="s">
        <v>1533</v>
      </c>
      <c r="S1242" s="5"/>
      <c r="T1242" t="s">
        <v>72</v>
      </c>
      <c r="U1242" t="s">
        <v>87</v>
      </c>
      <c r="V1242" t="s">
        <v>74</v>
      </c>
      <c r="W1242" t="s">
        <v>87</v>
      </c>
      <c r="AE1242" s="2"/>
      <c r="AF1242" s="2"/>
      <c r="AG1242" s="2"/>
      <c r="AH1242" s="2"/>
      <c r="AL1242" s="2">
        <v>4247000</v>
      </c>
      <c r="AM1242" s="2">
        <v>0</v>
      </c>
      <c r="AN1242" s="2"/>
      <c r="AO1242" s="2">
        <v>0</v>
      </c>
      <c r="AP1242" s="2">
        <v>4247000</v>
      </c>
      <c r="AQ1242" s="2">
        <v>0</v>
      </c>
      <c r="AR1242" s="2">
        <v>0</v>
      </c>
      <c r="AS1242" s="2">
        <v>0</v>
      </c>
      <c r="AT1242" s="2">
        <v>0</v>
      </c>
      <c r="AU1242" s="2">
        <v>0</v>
      </c>
      <c r="AV1242" s="2">
        <v>0</v>
      </c>
      <c r="AW1242" s="4"/>
      <c r="AX1242" t="s">
        <v>75</v>
      </c>
      <c r="AZ1242" t="s">
        <v>3398</v>
      </c>
      <c r="BA1242" t="s">
        <v>67</v>
      </c>
      <c r="BB1242" t="s">
        <v>3399</v>
      </c>
      <c r="BC1242" t="s">
        <v>1183</v>
      </c>
      <c r="BD1242" t="s">
        <v>79</v>
      </c>
      <c r="BE1242" t="s">
        <v>188</v>
      </c>
      <c r="BF1242" s="5">
        <v>46905</v>
      </c>
      <c r="BH1242">
        <v>5</v>
      </c>
      <c r="BI1242" s="6">
        <v>780000</v>
      </c>
      <c r="BJ1242" s="6">
        <v>53</v>
      </c>
      <c r="BK1242" s="6">
        <v>413400</v>
      </c>
      <c r="BL1242" s="6">
        <v>366600</v>
      </c>
      <c r="BM1242" s="2">
        <v>1833000</v>
      </c>
      <c r="BN1242">
        <f>InvoiceTable[[#This Row],[Giảm giá]]*InvoiceTable[[#This Row],[Số lượng]]</f>
        <v>2067000</v>
      </c>
    </row>
    <row r="1243" spans="1:66" x14ac:dyDescent="0.25">
      <c r="A1243" t="s">
        <v>65</v>
      </c>
      <c r="B1243" t="s">
        <v>3397</v>
      </c>
      <c r="F1243" s="2"/>
      <c r="G1243" s="3">
        <v>46003.639699340281</v>
      </c>
      <c r="H1243" s="3">
        <v>46003.639537581017</v>
      </c>
      <c r="I1243" s="4" t="s">
        <v>96</v>
      </c>
      <c r="J1243" t="s">
        <v>67</v>
      </c>
      <c r="K1243" t="s">
        <v>67</v>
      </c>
      <c r="L1243" t="s">
        <v>1530</v>
      </c>
      <c r="M1243" t="s">
        <v>1531</v>
      </c>
      <c r="N1243" t="s">
        <v>67</v>
      </c>
      <c r="O1243" t="s">
        <v>1532</v>
      </c>
      <c r="P1243" t="s">
        <v>1533</v>
      </c>
      <c r="S1243" s="5"/>
      <c r="T1243" t="s">
        <v>72</v>
      </c>
      <c r="U1243" t="s">
        <v>87</v>
      </c>
      <c r="V1243" t="s">
        <v>74</v>
      </c>
      <c r="W1243" t="s">
        <v>87</v>
      </c>
      <c r="AE1243" s="2"/>
      <c r="AF1243" s="2"/>
      <c r="AG1243" s="2"/>
      <c r="AH1243" s="2"/>
      <c r="AL1243" s="2">
        <v>4247000</v>
      </c>
      <c r="AM1243" s="2">
        <v>0</v>
      </c>
      <c r="AN1243" s="2"/>
      <c r="AO1243" s="2">
        <v>0</v>
      </c>
      <c r="AP1243" s="2">
        <v>4247000</v>
      </c>
      <c r="AQ1243" s="2">
        <v>0</v>
      </c>
      <c r="AR1243" s="2">
        <v>0</v>
      </c>
      <c r="AS1243" s="2">
        <v>0</v>
      </c>
      <c r="AT1243" s="2">
        <v>0</v>
      </c>
      <c r="AU1243" s="2">
        <v>0</v>
      </c>
      <c r="AV1243" s="2">
        <v>0</v>
      </c>
      <c r="AW1243" s="4"/>
      <c r="AX1243" t="s">
        <v>75</v>
      </c>
      <c r="AZ1243" t="s">
        <v>3400</v>
      </c>
      <c r="BA1243" t="s">
        <v>67</v>
      </c>
      <c r="BB1243" t="s">
        <v>3401</v>
      </c>
      <c r="BC1243" t="s">
        <v>2582</v>
      </c>
      <c r="BD1243" t="s">
        <v>79</v>
      </c>
      <c r="BE1243" t="s">
        <v>216</v>
      </c>
      <c r="BF1243" s="5">
        <v>46784</v>
      </c>
      <c r="BG1243" t="s">
        <v>67</v>
      </c>
      <c r="BH1243">
        <v>4</v>
      </c>
      <c r="BI1243" s="6">
        <v>430000</v>
      </c>
      <c r="BJ1243" s="6">
        <v>45</v>
      </c>
      <c r="BK1243" s="6">
        <v>193500</v>
      </c>
      <c r="BL1243" s="6">
        <v>236500</v>
      </c>
      <c r="BM1243" s="2">
        <v>946000</v>
      </c>
      <c r="BN1243">
        <f>InvoiceTable[[#This Row],[Giảm giá]]*InvoiceTable[[#This Row],[Số lượng]]</f>
        <v>774000</v>
      </c>
    </row>
    <row r="1244" spans="1:66" x14ac:dyDescent="0.25">
      <c r="A1244" t="s">
        <v>65</v>
      </c>
      <c r="B1244" t="s">
        <v>3402</v>
      </c>
      <c r="F1244" s="2"/>
      <c r="G1244" s="3">
        <v>46003.638580057872</v>
      </c>
      <c r="H1244" s="3">
        <v>46003.638580173611</v>
      </c>
      <c r="I1244" s="4" t="s">
        <v>67</v>
      </c>
      <c r="J1244" t="s">
        <v>67</v>
      </c>
      <c r="K1244" t="s">
        <v>67</v>
      </c>
      <c r="L1244" t="s">
        <v>1530</v>
      </c>
      <c r="M1244" t="s">
        <v>1531</v>
      </c>
      <c r="N1244" t="s">
        <v>67</v>
      </c>
      <c r="O1244" t="s">
        <v>1532</v>
      </c>
      <c r="P1244" t="s">
        <v>1533</v>
      </c>
      <c r="S1244" s="5"/>
      <c r="T1244" t="s">
        <v>72</v>
      </c>
      <c r="U1244" t="s">
        <v>87</v>
      </c>
      <c r="V1244" t="s">
        <v>74</v>
      </c>
      <c r="W1244" t="s">
        <v>87</v>
      </c>
      <c r="AE1244" s="2"/>
      <c r="AF1244" s="2"/>
      <c r="AG1244" s="2"/>
      <c r="AH1244" s="2"/>
      <c r="AL1244" s="2">
        <v>2376850</v>
      </c>
      <c r="AM1244" s="2">
        <v>0</v>
      </c>
      <c r="AN1244" s="2"/>
      <c r="AO1244" s="2">
        <v>0</v>
      </c>
      <c r="AP1244" s="2">
        <v>2376850</v>
      </c>
      <c r="AQ1244" s="2">
        <v>0</v>
      </c>
      <c r="AR1244" s="2">
        <v>0</v>
      </c>
      <c r="AS1244" s="2">
        <v>0</v>
      </c>
      <c r="AT1244" s="2">
        <v>0</v>
      </c>
      <c r="AU1244" s="2">
        <v>0</v>
      </c>
      <c r="AV1244" s="2">
        <v>0</v>
      </c>
      <c r="AW1244" s="4"/>
      <c r="AX1244" t="s">
        <v>75</v>
      </c>
      <c r="AZ1244" t="s">
        <v>1057</v>
      </c>
      <c r="BA1244" t="s">
        <v>67</v>
      </c>
      <c r="BB1244" t="s">
        <v>1058</v>
      </c>
      <c r="BC1244" t="s">
        <v>204</v>
      </c>
      <c r="BD1244" t="s">
        <v>79</v>
      </c>
      <c r="BE1244" t="s">
        <v>423</v>
      </c>
      <c r="BF1244" s="5">
        <v>47543</v>
      </c>
      <c r="BH1244">
        <v>5</v>
      </c>
      <c r="BI1244" s="6">
        <v>400000</v>
      </c>
      <c r="BJ1244" s="6">
        <v>38</v>
      </c>
      <c r="BK1244" s="6">
        <v>152000</v>
      </c>
      <c r="BL1244" s="6">
        <v>248000</v>
      </c>
      <c r="BM1244" s="2">
        <v>1240000</v>
      </c>
      <c r="BN1244">
        <f>InvoiceTable[[#This Row],[Giảm giá]]*InvoiceTable[[#This Row],[Số lượng]]</f>
        <v>760000</v>
      </c>
    </row>
    <row r="1245" spans="1:66" x14ac:dyDescent="0.25">
      <c r="A1245" t="s">
        <v>65</v>
      </c>
      <c r="B1245" t="s">
        <v>3402</v>
      </c>
      <c r="F1245" s="2"/>
      <c r="G1245" s="3">
        <v>46003.638580057872</v>
      </c>
      <c r="H1245" s="3">
        <v>46003.638580173611</v>
      </c>
      <c r="I1245" s="4" t="s">
        <v>67</v>
      </c>
      <c r="J1245" t="s">
        <v>67</v>
      </c>
      <c r="K1245" t="s">
        <v>67</v>
      </c>
      <c r="L1245" t="s">
        <v>1530</v>
      </c>
      <c r="M1245" t="s">
        <v>1531</v>
      </c>
      <c r="N1245" t="s">
        <v>67</v>
      </c>
      <c r="O1245" t="s">
        <v>1532</v>
      </c>
      <c r="P1245" t="s">
        <v>1533</v>
      </c>
      <c r="S1245" s="5"/>
      <c r="T1245" t="s">
        <v>72</v>
      </c>
      <c r="U1245" t="s">
        <v>87</v>
      </c>
      <c r="V1245" t="s">
        <v>74</v>
      </c>
      <c r="W1245" t="s">
        <v>87</v>
      </c>
      <c r="AE1245" s="2"/>
      <c r="AF1245" s="2"/>
      <c r="AG1245" s="2"/>
      <c r="AH1245" s="2"/>
      <c r="AL1245" s="2">
        <v>2376850</v>
      </c>
      <c r="AM1245" s="2">
        <v>0</v>
      </c>
      <c r="AN1245" s="2"/>
      <c r="AO1245" s="2">
        <v>0</v>
      </c>
      <c r="AP1245" s="2">
        <v>2376850</v>
      </c>
      <c r="AQ1245" s="2">
        <v>0</v>
      </c>
      <c r="AR1245" s="2">
        <v>0</v>
      </c>
      <c r="AS1245" s="2">
        <v>0</v>
      </c>
      <c r="AT1245" s="2">
        <v>0</v>
      </c>
      <c r="AU1245" s="2">
        <v>0</v>
      </c>
      <c r="AV1245" s="2">
        <v>0</v>
      </c>
      <c r="AW1245" s="4"/>
      <c r="AX1245" t="s">
        <v>75</v>
      </c>
      <c r="AZ1245" t="s">
        <v>1374</v>
      </c>
      <c r="BA1245" t="s">
        <v>67</v>
      </c>
      <c r="BB1245" t="s">
        <v>1375</v>
      </c>
      <c r="BC1245" t="s">
        <v>1376</v>
      </c>
      <c r="BD1245" t="s">
        <v>79</v>
      </c>
      <c r="BE1245" t="s">
        <v>317</v>
      </c>
      <c r="BF1245" s="5">
        <v>46935</v>
      </c>
      <c r="BH1245">
        <v>3</v>
      </c>
      <c r="BI1245" s="6">
        <v>715000</v>
      </c>
      <c r="BJ1245" s="6">
        <v>47</v>
      </c>
      <c r="BK1245" s="6">
        <v>336050</v>
      </c>
      <c r="BL1245" s="6">
        <v>378950</v>
      </c>
      <c r="BM1245" s="2">
        <v>1136850</v>
      </c>
      <c r="BN1245">
        <f>InvoiceTable[[#This Row],[Giảm giá]]*InvoiceTable[[#This Row],[Số lượng]]</f>
        <v>1008150</v>
      </c>
    </row>
    <row r="1246" spans="1:66" x14ac:dyDescent="0.25">
      <c r="A1246" t="s">
        <v>65</v>
      </c>
      <c r="B1246" t="s">
        <v>3403</v>
      </c>
      <c r="F1246" s="2"/>
      <c r="G1246" s="3">
        <v>46003.634950613428</v>
      </c>
      <c r="H1246" s="3">
        <v>46003.634950729167</v>
      </c>
      <c r="I1246" s="4" t="s">
        <v>67</v>
      </c>
      <c r="J1246" t="s">
        <v>3404</v>
      </c>
      <c r="K1246" t="s">
        <v>67</v>
      </c>
      <c r="L1246" t="s">
        <v>963</v>
      </c>
      <c r="M1246" t="s">
        <v>964</v>
      </c>
      <c r="N1246" t="s">
        <v>67</v>
      </c>
      <c r="O1246" t="s">
        <v>965</v>
      </c>
      <c r="P1246" t="s">
        <v>966</v>
      </c>
      <c r="Q1246" t="s">
        <v>67</v>
      </c>
      <c r="R1246" t="s">
        <v>67</v>
      </c>
      <c r="S1246" s="5"/>
      <c r="T1246" t="s">
        <v>72</v>
      </c>
      <c r="U1246" t="s">
        <v>102</v>
      </c>
      <c r="V1246" t="s">
        <v>74</v>
      </c>
      <c r="W1246" t="s">
        <v>87</v>
      </c>
      <c r="AE1246" s="2"/>
      <c r="AF1246" s="2"/>
      <c r="AG1246" s="2"/>
      <c r="AH1246" s="2"/>
      <c r="AK1246" t="s">
        <v>1003</v>
      </c>
      <c r="AL1246" s="2">
        <v>3100000</v>
      </c>
      <c r="AM1246" s="2">
        <v>0</v>
      </c>
      <c r="AN1246" s="2"/>
      <c r="AO1246" s="2">
        <v>0</v>
      </c>
      <c r="AP1246" s="2">
        <v>3100000</v>
      </c>
      <c r="AQ1246" s="2">
        <v>3100000</v>
      </c>
      <c r="AR1246" s="2">
        <v>3100000</v>
      </c>
      <c r="AS1246" s="2">
        <v>0</v>
      </c>
      <c r="AT1246" s="2">
        <v>0</v>
      </c>
      <c r="AU1246" s="2">
        <v>0</v>
      </c>
      <c r="AV1246" s="2">
        <v>0</v>
      </c>
      <c r="AW1246" s="4"/>
      <c r="AX1246" t="s">
        <v>75</v>
      </c>
      <c r="AZ1246" t="s">
        <v>325</v>
      </c>
      <c r="BA1246" t="s">
        <v>67</v>
      </c>
      <c r="BB1246" t="s">
        <v>326</v>
      </c>
      <c r="BC1246" t="s">
        <v>327</v>
      </c>
      <c r="BD1246" t="s">
        <v>79</v>
      </c>
      <c r="BE1246" t="s">
        <v>131</v>
      </c>
      <c r="BF1246" s="5">
        <v>46874</v>
      </c>
      <c r="BH1246">
        <v>50</v>
      </c>
      <c r="BI1246" s="6">
        <v>120000</v>
      </c>
      <c r="BJ1246" s="6">
        <v>0</v>
      </c>
      <c r="BK1246" s="6">
        <v>58000</v>
      </c>
      <c r="BL1246" s="6">
        <v>62000</v>
      </c>
      <c r="BM1246" s="2">
        <v>3100000</v>
      </c>
      <c r="BN1246">
        <f>InvoiceTable[[#This Row],[Giảm giá]]*InvoiceTable[[#This Row],[Số lượng]]</f>
        <v>2900000</v>
      </c>
    </row>
    <row r="1247" spans="1:66" x14ac:dyDescent="0.25">
      <c r="A1247" t="s">
        <v>65</v>
      </c>
      <c r="B1247" t="s">
        <v>3405</v>
      </c>
      <c r="F1247" s="2"/>
      <c r="G1247" s="3">
        <v>46003.634018402779</v>
      </c>
      <c r="H1247" s="3">
        <v>46003.634018634257</v>
      </c>
      <c r="I1247" s="4" t="s">
        <v>67</v>
      </c>
      <c r="J1247" t="s">
        <v>3406</v>
      </c>
      <c r="K1247" t="s">
        <v>67</v>
      </c>
      <c r="L1247" t="s">
        <v>3407</v>
      </c>
      <c r="M1247" t="s">
        <v>3408</v>
      </c>
      <c r="N1247" t="s">
        <v>67</v>
      </c>
      <c r="O1247" t="s">
        <v>3409</v>
      </c>
      <c r="P1247" t="s">
        <v>3410</v>
      </c>
      <c r="Q1247" t="s">
        <v>67</v>
      </c>
      <c r="R1247" t="s">
        <v>67</v>
      </c>
      <c r="S1247" s="5"/>
      <c r="T1247" t="s">
        <v>72</v>
      </c>
      <c r="U1247" t="s">
        <v>102</v>
      </c>
      <c r="V1247" t="s">
        <v>74</v>
      </c>
      <c r="W1247" t="s">
        <v>87</v>
      </c>
      <c r="AE1247" s="2"/>
      <c r="AF1247" s="2"/>
      <c r="AG1247" s="2"/>
      <c r="AH1247" s="2"/>
      <c r="AK1247" t="s">
        <v>3411</v>
      </c>
      <c r="AL1247" s="2">
        <v>1750000</v>
      </c>
      <c r="AM1247" s="2">
        <v>0</v>
      </c>
      <c r="AN1247" s="2"/>
      <c r="AO1247" s="2">
        <v>0</v>
      </c>
      <c r="AP1247" s="2">
        <v>1750000</v>
      </c>
      <c r="AQ1247" s="2">
        <v>0</v>
      </c>
      <c r="AR1247" s="2">
        <v>0</v>
      </c>
      <c r="AS1247" s="2">
        <v>0</v>
      </c>
      <c r="AT1247" s="2">
        <v>0</v>
      </c>
      <c r="AU1247" s="2">
        <v>0</v>
      </c>
      <c r="AV1247" s="2">
        <v>0</v>
      </c>
      <c r="AW1247" s="4"/>
      <c r="AX1247" t="s">
        <v>75</v>
      </c>
      <c r="AZ1247" t="s">
        <v>3412</v>
      </c>
      <c r="BA1247" t="s">
        <v>67</v>
      </c>
      <c r="BB1247" t="s">
        <v>3413</v>
      </c>
      <c r="BC1247" t="s">
        <v>154</v>
      </c>
      <c r="BD1247" t="s">
        <v>79</v>
      </c>
      <c r="BE1247" t="s">
        <v>131</v>
      </c>
      <c r="BF1247" s="5">
        <v>46874</v>
      </c>
      <c r="BG1247" t="s">
        <v>67</v>
      </c>
      <c r="BH1247">
        <v>1</v>
      </c>
      <c r="BI1247" s="6">
        <v>3500000</v>
      </c>
      <c r="BJ1247" s="6">
        <v>50</v>
      </c>
      <c r="BK1247" s="6">
        <v>1750000</v>
      </c>
      <c r="BL1247" s="6">
        <v>1750000</v>
      </c>
      <c r="BM1247" s="2">
        <v>1750000</v>
      </c>
      <c r="BN1247">
        <f>InvoiceTable[[#This Row],[Giảm giá]]*InvoiceTable[[#This Row],[Số lượng]]</f>
        <v>1750000</v>
      </c>
    </row>
    <row r="1248" spans="1:66" x14ac:dyDescent="0.25">
      <c r="A1248" t="s">
        <v>65</v>
      </c>
      <c r="B1248" t="s">
        <v>3414</v>
      </c>
      <c r="F1248" s="2"/>
      <c r="G1248" s="3">
        <v>46003.630281597223</v>
      </c>
      <c r="H1248" s="3">
        <v>46003.63012021991</v>
      </c>
      <c r="I1248" s="4" t="s">
        <v>96</v>
      </c>
      <c r="J1248" t="s">
        <v>3415</v>
      </c>
      <c r="K1248" t="s">
        <v>67</v>
      </c>
      <c r="L1248" t="s">
        <v>1109</v>
      </c>
      <c r="M1248" t="s">
        <v>1110</v>
      </c>
      <c r="N1248" t="s">
        <v>1111</v>
      </c>
      <c r="O1248" t="s">
        <v>1112</v>
      </c>
      <c r="P1248" t="s">
        <v>1113</v>
      </c>
      <c r="Q1248" t="s">
        <v>1114</v>
      </c>
      <c r="R1248" t="s">
        <v>1115</v>
      </c>
      <c r="S1248" s="5"/>
      <c r="T1248" t="s">
        <v>72</v>
      </c>
      <c r="U1248" t="s">
        <v>102</v>
      </c>
      <c r="V1248" t="s">
        <v>74</v>
      </c>
      <c r="W1248" t="s">
        <v>87</v>
      </c>
      <c r="AE1248" s="2"/>
      <c r="AF1248" s="2"/>
      <c r="AG1248" s="2"/>
      <c r="AH1248" s="2"/>
      <c r="AK1248" t="s">
        <v>3128</v>
      </c>
      <c r="AL1248" s="2">
        <v>2420000</v>
      </c>
      <c r="AM1248" s="2">
        <v>0</v>
      </c>
      <c r="AN1248" s="2"/>
      <c r="AO1248" s="2">
        <v>0</v>
      </c>
      <c r="AP1248" s="2">
        <v>2420000</v>
      </c>
      <c r="AQ1248" s="2">
        <v>0</v>
      </c>
      <c r="AR1248" s="2">
        <v>0</v>
      </c>
      <c r="AS1248" s="2">
        <v>0</v>
      </c>
      <c r="AT1248" s="2">
        <v>0</v>
      </c>
      <c r="AU1248" s="2">
        <v>0</v>
      </c>
      <c r="AV1248" s="2">
        <v>0</v>
      </c>
      <c r="AW1248" s="4"/>
      <c r="AX1248" t="s">
        <v>75</v>
      </c>
      <c r="AZ1248" t="s">
        <v>663</v>
      </c>
      <c r="BA1248" t="s">
        <v>67</v>
      </c>
      <c r="BB1248" t="s">
        <v>664</v>
      </c>
      <c r="BC1248" t="s">
        <v>665</v>
      </c>
      <c r="BD1248" t="s">
        <v>79</v>
      </c>
      <c r="BE1248" t="s">
        <v>159</v>
      </c>
      <c r="BF1248" s="5">
        <v>46478</v>
      </c>
      <c r="BH1248">
        <v>2</v>
      </c>
      <c r="BI1248" s="6">
        <v>380000</v>
      </c>
      <c r="BJ1248" s="6">
        <v>0</v>
      </c>
      <c r="BK1248" s="6">
        <v>220000</v>
      </c>
      <c r="BL1248" s="6">
        <v>160000</v>
      </c>
      <c r="BM1248" s="2">
        <v>320000</v>
      </c>
      <c r="BN1248">
        <f>InvoiceTable[[#This Row],[Giảm giá]]*InvoiceTable[[#This Row],[Số lượng]]</f>
        <v>440000</v>
      </c>
    </row>
    <row r="1249" spans="1:66" x14ac:dyDescent="0.25">
      <c r="A1249" t="s">
        <v>65</v>
      </c>
      <c r="B1249" t="s">
        <v>3414</v>
      </c>
      <c r="F1249" s="2"/>
      <c r="G1249" s="3">
        <v>46003.630281597223</v>
      </c>
      <c r="H1249" s="3">
        <v>46003.63012021991</v>
      </c>
      <c r="I1249" s="4" t="s">
        <v>96</v>
      </c>
      <c r="J1249" t="s">
        <v>3415</v>
      </c>
      <c r="K1249" t="s">
        <v>67</v>
      </c>
      <c r="L1249" t="s">
        <v>1109</v>
      </c>
      <c r="M1249" t="s">
        <v>1110</v>
      </c>
      <c r="N1249" t="s">
        <v>1111</v>
      </c>
      <c r="O1249" t="s">
        <v>1112</v>
      </c>
      <c r="P1249" t="s">
        <v>1113</v>
      </c>
      <c r="Q1249" t="s">
        <v>1114</v>
      </c>
      <c r="R1249" t="s">
        <v>1115</v>
      </c>
      <c r="S1249" s="5"/>
      <c r="T1249" t="s">
        <v>72</v>
      </c>
      <c r="U1249" t="s">
        <v>102</v>
      </c>
      <c r="V1249" t="s">
        <v>74</v>
      </c>
      <c r="W1249" t="s">
        <v>87</v>
      </c>
      <c r="AE1249" s="2"/>
      <c r="AF1249" s="2"/>
      <c r="AG1249" s="2"/>
      <c r="AH1249" s="2"/>
      <c r="AK1249" t="s">
        <v>3128</v>
      </c>
      <c r="AL1249" s="2">
        <v>2420000</v>
      </c>
      <c r="AM1249" s="2">
        <v>0</v>
      </c>
      <c r="AN1249" s="2"/>
      <c r="AO1249" s="2">
        <v>0</v>
      </c>
      <c r="AP1249" s="2">
        <v>2420000</v>
      </c>
      <c r="AQ1249" s="2">
        <v>0</v>
      </c>
      <c r="AR1249" s="2">
        <v>0</v>
      </c>
      <c r="AS1249" s="2">
        <v>0</v>
      </c>
      <c r="AT1249" s="2">
        <v>0</v>
      </c>
      <c r="AU1249" s="2">
        <v>0</v>
      </c>
      <c r="AV1249" s="2">
        <v>0</v>
      </c>
      <c r="AW1249" s="4"/>
      <c r="AX1249" t="s">
        <v>75</v>
      </c>
      <c r="AZ1249" t="s">
        <v>3416</v>
      </c>
      <c r="BB1249" t="s">
        <v>3417</v>
      </c>
      <c r="BC1249" t="s">
        <v>105</v>
      </c>
      <c r="BD1249" t="s">
        <v>79</v>
      </c>
      <c r="BE1249" t="s">
        <v>106</v>
      </c>
      <c r="BF1249" s="5">
        <v>46327</v>
      </c>
      <c r="BG1249" t="s">
        <v>67</v>
      </c>
      <c r="BH1249">
        <v>1</v>
      </c>
      <c r="BI1249" s="6">
        <v>6930000</v>
      </c>
      <c r="BJ1249" s="6">
        <v>0</v>
      </c>
      <c r="BK1249" s="6">
        <v>4830000</v>
      </c>
      <c r="BL1249" s="6">
        <v>2100000</v>
      </c>
      <c r="BM1249" s="2">
        <v>2100000</v>
      </c>
      <c r="BN1249">
        <f>InvoiceTable[[#This Row],[Giảm giá]]*InvoiceTable[[#This Row],[Số lượng]]</f>
        <v>4830000</v>
      </c>
    </row>
    <row r="1250" spans="1:66" x14ac:dyDescent="0.25">
      <c r="A1250" t="s">
        <v>65</v>
      </c>
      <c r="B1250" t="s">
        <v>3418</v>
      </c>
      <c r="F1250" s="2"/>
      <c r="G1250" s="3">
        <v>46003.630094675929</v>
      </c>
      <c r="H1250" s="3">
        <v>46003.629944594904</v>
      </c>
      <c r="I1250" s="4" t="s">
        <v>686</v>
      </c>
      <c r="J1250" t="s">
        <v>3419</v>
      </c>
      <c r="K1250" t="s">
        <v>67</v>
      </c>
      <c r="L1250" t="s">
        <v>1006</v>
      </c>
      <c r="M1250" t="s">
        <v>1007</v>
      </c>
      <c r="N1250" t="s">
        <v>67</v>
      </c>
      <c r="O1250" t="s">
        <v>1008</v>
      </c>
      <c r="P1250" t="s">
        <v>1009</v>
      </c>
      <c r="Q1250" t="s">
        <v>67</v>
      </c>
      <c r="R1250" t="s">
        <v>67</v>
      </c>
      <c r="S1250" s="5"/>
      <c r="T1250" t="s">
        <v>72</v>
      </c>
      <c r="U1250" t="s">
        <v>102</v>
      </c>
      <c r="V1250" t="s">
        <v>74</v>
      </c>
      <c r="W1250" t="s">
        <v>87</v>
      </c>
      <c r="AE1250" s="2"/>
      <c r="AF1250" s="2"/>
      <c r="AG1250" s="2"/>
      <c r="AH1250" s="2"/>
      <c r="AK1250" t="s">
        <v>3420</v>
      </c>
      <c r="AL1250" s="2">
        <v>561600</v>
      </c>
      <c r="AM1250" s="2">
        <v>0</v>
      </c>
      <c r="AN1250" s="2"/>
      <c r="AO1250" s="2">
        <v>0</v>
      </c>
      <c r="AP1250" s="2">
        <v>561600</v>
      </c>
      <c r="AQ1250" s="2">
        <v>561600</v>
      </c>
      <c r="AR1250" s="2">
        <v>0</v>
      </c>
      <c r="AS1250" s="2">
        <v>0</v>
      </c>
      <c r="AT1250" s="2">
        <v>0</v>
      </c>
      <c r="AU1250" s="2">
        <v>561600</v>
      </c>
      <c r="AV1250" s="2">
        <v>0</v>
      </c>
      <c r="AW1250" s="4"/>
      <c r="AX1250" t="s">
        <v>75</v>
      </c>
      <c r="AZ1250" t="s">
        <v>152</v>
      </c>
      <c r="BA1250" t="s">
        <v>67</v>
      </c>
      <c r="BB1250" t="s">
        <v>153</v>
      </c>
      <c r="BC1250" t="s">
        <v>154</v>
      </c>
      <c r="BD1250" t="s">
        <v>79</v>
      </c>
      <c r="BE1250" t="s">
        <v>155</v>
      </c>
      <c r="BF1250" s="5">
        <v>46600</v>
      </c>
      <c r="BG1250" t="s">
        <v>67</v>
      </c>
      <c r="BH1250">
        <v>1</v>
      </c>
      <c r="BI1250" s="6">
        <v>1080000</v>
      </c>
      <c r="BJ1250" s="6">
        <v>48</v>
      </c>
      <c r="BK1250" s="6">
        <v>518400</v>
      </c>
      <c r="BL1250" s="6">
        <v>561600</v>
      </c>
      <c r="BM1250" s="2">
        <v>561600</v>
      </c>
      <c r="BN1250">
        <f>InvoiceTable[[#This Row],[Giảm giá]]*InvoiceTable[[#This Row],[Số lượng]]</f>
        <v>518400</v>
      </c>
    </row>
    <row r="1251" spans="1:66" x14ac:dyDescent="0.25">
      <c r="A1251" t="s">
        <v>65</v>
      </c>
      <c r="B1251" t="s">
        <v>3421</v>
      </c>
      <c r="F1251" s="2"/>
      <c r="G1251" s="3">
        <v>46003.629619328705</v>
      </c>
      <c r="H1251" s="3">
        <v>46003.629608067131</v>
      </c>
      <c r="I1251" s="4" t="s">
        <v>3298</v>
      </c>
      <c r="J1251" t="s">
        <v>3422</v>
      </c>
      <c r="K1251" t="s">
        <v>67</v>
      </c>
      <c r="L1251" t="s">
        <v>119</v>
      </c>
      <c r="M1251" t="s">
        <v>120</v>
      </c>
      <c r="N1251" t="s">
        <v>67</v>
      </c>
      <c r="O1251" t="s">
        <v>121</v>
      </c>
      <c r="Q1251" t="s">
        <v>122</v>
      </c>
      <c r="R1251" t="s">
        <v>123</v>
      </c>
      <c r="S1251" s="5"/>
      <c r="T1251" t="s">
        <v>72</v>
      </c>
      <c r="U1251" t="s">
        <v>102</v>
      </c>
      <c r="V1251" t="s">
        <v>74</v>
      </c>
      <c r="W1251" t="s">
        <v>87</v>
      </c>
      <c r="AE1251" s="2"/>
      <c r="AF1251" s="2"/>
      <c r="AG1251" s="2"/>
      <c r="AH1251" s="2"/>
      <c r="AK1251" t="s">
        <v>1003</v>
      </c>
      <c r="AL1251" s="2">
        <v>410820</v>
      </c>
      <c r="AM1251" s="2">
        <v>0</v>
      </c>
      <c r="AN1251" s="2"/>
      <c r="AO1251" s="2">
        <v>0</v>
      </c>
      <c r="AP1251" s="2">
        <v>410820</v>
      </c>
      <c r="AQ1251" s="2">
        <v>0</v>
      </c>
      <c r="AR1251" s="2">
        <v>0</v>
      </c>
      <c r="AS1251" s="2">
        <v>0</v>
      </c>
      <c r="AT1251" s="2">
        <v>0</v>
      </c>
      <c r="AU1251" s="2">
        <v>0</v>
      </c>
      <c r="AV1251" s="2">
        <v>0</v>
      </c>
      <c r="AW1251" s="4"/>
      <c r="AX1251" t="s">
        <v>75</v>
      </c>
      <c r="AZ1251" t="s">
        <v>2352</v>
      </c>
      <c r="BA1251" t="s">
        <v>67</v>
      </c>
      <c r="BB1251" t="s">
        <v>2353</v>
      </c>
      <c r="BC1251" t="s">
        <v>1616</v>
      </c>
      <c r="BD1251" t="s">
        <v>79</v>
      </c>
      <c r="BE1251" t="s">
        <v>139</v>
      </c>
      <c r="BF1251" s="5">
        <v>46447</v>
      </c>
      <c r="BH1251">
        <v>1</v>
      </c>
      <c r="BI1251" s="6">
        <v>501000</v>
      </c>
      <c r="BJ1251" s="6">
        <v>18</v>
      </c>
      <c r="BK1251" s="6">
        <v>90180</v>
      </c>
      <c r="BL1251" s="6">
        <v>410820</v>
      </c>
      <c r="BM1251" s="2">
        <v>410820</v>
      </c>
      <c r="BN1251">
        <f>InvoiceTable[[#This Row],[Giảm giá]]*InvoiceTable[[#This Row],[Số lượng]]</f>
        <v>90180</v>
      </c>
    </row>
    <row r="1252" spans="1:66" x14ac:dyDescent="0.25">
      <c r="A1252" t="s">
        <v>65</v>
      </c>
      <c r="B1252" t="s">
        <v>3423</v>
      </c>
      <c r="F1252" s="2"/>
      <c r="G1252" s="3">
        <v>46003.621203240742</v>
      </c>
      <c r="H1252" s="3">
        <v>46003.621180289352</v>
      </c>
      <c r="I1252" s="4" t="s">
        <v>3281</v>
      </c>
      <c r="J1252" t="s">
        <v>67</v>
      </c>
      <c r="K1252" t="s">
        <v>67</v>
      </c>
      <c r="L1252" t="s">
        <v>2237</v>
      </c>
      <c r="M1252" t="s">
        <v>2238</v>
      </c>
      <c r="N1252" t="s">
        <v>67</v>
      </c>
      <c r="O1252" t="s">
        <v>2239</v>
      </c>
      <c r="P1252" t="s">
        <v>2240</v>
      </c>
      <c r="S1252" s="5"/>
      <c r="T1252" t="s">
        <v>72</v>
      </c>
      <c r="U1252" t="s">
        <v>87</v>
      </c>
      <c r="V1252" t="s">
        <v>74</v>
      </c>
      <c r="W1252" t="s">
        <v>87</v>
      </c>
      <c r="AE1252" s="2"/>
      <c r="AF1252" s="2"/>
      <c r="AG1252" s="2"/>
      <c r="AH1252" s="2"/>
      <c r="AK1252" t="s">
        <v>67</v>
      </c>
      <c r="AL1252" s="2">
        <v>13400000</v>
      </c>
      <c r="AM1252" s="2">
        <v>0</v>
      </c>
      <c r="AN1252" s="2"/>
      <c r="AO1252" s="2">
        <v>0</v>
      </c>
      <c r="AP1252" s="2">
        <v>13400000</v>
      </c>
      <c r="AQ1252" s="2">
        <v>0</v>
      </c>
      <c r="AR1252" s="2">
        <v>0</v>
      </c>
      <c r="AS1252" s="2">
        <v>0</v>
      </c>
      <c r="AT1252" s="2">
        <v>0</v>
      </c>
      <c r="AU1252" s="2">
        <v>0</v>
      </c>
      <c r="AV1252" s="2">
        <v>0</v>
      </c>
      <c r="AW1252" s="4"/>
      <c r="AX1252" t="s">
        <v>75</v>
      </c>
      <c r="AZ1252" t="s">
        <v>674</v>
      </c>
      <c r="BA1252" t="s">
        <v>67</v>
      </c>
      <c r="BB1252" t="s">
        <v>675</v>
      </c>
      <c r="BC1252" t="s">
        <v>676</v>
      </c>
      <c r="BD1252" t="s">
        <v>79</v>
      </c>
      <c r="BE1252" t="s">
        <v>677</v>
      </c>
      <c r="BF1252" s="5">
        <v>46943</v>
      </c>
      <c r="BG1252" t="s">
        <v>67</v>
      </c>
      <c r="BH1252">
        <v>5</v>
      </c>
      <c r="BI1252" s="6">
        <v>1690000</v>
      </c>
      <c r="BJ1252" s="6">
        <v>0</v>
      </c>
      <c r="BK1252" s="6">
        <v>610000</v>
      </c>
      <c r="BL1252" s="6">
        <v>1080000</v>
      </c>
      <c r="BM1252" s="2">
        <v>5400000</v>
      </c>
      <c r="BN1252">
        <f>InvoiceTable[[#This Row],[Giảm giá]]*InvoiceTable[[#This Row],[Số lượng]]</f>
        <v>3050000</v>
      </c>
    </row>
    <row r="1253" spans="1:66" x14ac:dyDescent="0.25">
      <c r="A1253" t="s">
        <v>65</v>
      </c>
      <c r="B1253" t="s">
        <v>3423</v>
      </c>
      <c r="F1253" s="2"/>
      <c r="G1253" s="3">
        <v>46003.621203240742</v>
      </c>
      <c r="H1253" s="3">
        <v>46003.621180289352</v>
      </c>
      <c r="I1253" s="4" t="s">
        <v>3281</v>
      </c>
      <c r="J1253" t="s">
        <v>67</v>
      </c>
      <c r="K1253" t="s">
        <v>67</v>
      </c>
      <c r="L1253" t="s">
        <v>2237</v>
      </c>
      <c r="M1253" t="s">
        <v>2238</v>
      </c>
      <c r="N1253" t="s">
        <v>67</v>
      </c>
      <c r="O1253" t="s">
        <v>2239</v>
      </c>
      <c r="P1253" t="s">
        <v>2240</v>
      </c>
      <c r="S1253" s="5"/>
      <c r="T1253" t="s">
        <v>72</v>
      </c>
      <c r="U1253" t="s">
        <v>87</v>
      </c>
      <c r="V1253" t="s">
        <v>74</v>
      </c>
      <c r="W1253" t="s">
        <v>87</v>
      </c>
      <c r="AE1253" s="2"/>
      <c r="AF1253" s="2"/>
      <c r="AG1253" s="2"/>
      <c r="AH1253" s="2"/>
      <c r="AK1253" t="s">
        <v>67</v>
      </c>
      <c r="AL1253" s="2">
        <v>13400000</v>
      </c>
      <c r="AM1253" s="2">
        <v>0</v>
      </c>
      <c r="AN1253" s="2"/>
      <c r="AO1253" s="2">
        <v>0</v>
      </c>
      <c r="AP1253" s="2">
        <v>13400000</v>
      </c>
      <c r="AQ1253" s="2">
        <v>0</v>
      </c>
      <c r="AR1253" s="2">
        <v>0</v>
      </c>
      <c r="AS1253" s="2">
        <v>0</v>
      </c>
      <c r="AT1253" s="2">
        <v>0</v>
      </c>
      <c r="AU1253" s="2">
        <v>0</v>
      </c>
      <c r="AV1253" s="2">
        <v>0</v>
      </c>
      <c r="AW1253" s="4"/>
      <c r="AX1253" t="s">
        <v>75</v>
      </c>
      <c r="AZ1253" t="s">
        <v>103</v>
      </c>
      <c r="BB1253" t="s">
        <v>104</v>
      </c>
      <c r="BC1253" t="s">
        <v>105</v>
      </c>
      <c r="BD1253" t="s">
        <v>79</v>
      </c>
      <c r="BE1253" t="s">
        <v>106</v>
      </c>
      <c r="BF1253" s="5">
        <v>46327</v>
      </c>
      <c r="BG1253" t="s">
        <v>67</v>
      </c>
      <c r="BH1253">
        <v>2</v>
      </c>
      <c r="BI1253" s="6">
        <v>6930000</v>
      </c>
      <c r="BJ1253" s="6">
        <v>0</v>
      </c>
      <c r="BK1253" s="6">
        <v>2930000</v>
      </c>
      <c r="BL1253" s="6">
        <v>4000000</v>
      </c>
      <c r="BM1253" s="2">
        <v>8000000</v>
      </c>
      <c r="BN1253">
        <f>InvoiceTable[[#This Row],[Giảm giá]]*InvoiceTable[[#This Row],[Số lượng]]</f>
        <v>5860000</v>
      </c>
    </row>
    <row r="1254" spans="1:66" x14ac:dyDescent="0.25">
      <c r="A1254" t="s">
        <v>65</v>
      </c>
      <c r="B1254" t="s">
        <v>3424</v>
      </c>
      <c r="F1254" s="2"/>
      <c r="G1254" s="3">
        <v>46003.570625312503</v>
      </c>
      <c r="H1254" s="3">
        <v>46003.570613807868</v>
      </c>
      <c r="I1254" s="4" t="s">
        <v>3298</v>
      </c>
      <c r="J1254" t="s">
        <v>67</v>
      </c>
      <c r="K1254" t="s">
        <v>67</v>
      </c>
      <c r="L1254" t="s">
        <v>3425</v>
      </c>
      <c r="M1254" t="s">
        <v>3426</v>
      </c>
      <c r="N1254" t="s">
        <v>67</v>
      </c>
      <c r="O1254" t="s">
        <v>3427</v>
      </c>
      <c r="P1254" t="s">
        <v>3428</v>
      </c>
      <c r="S1254" s="5"/>
      <c r="T1254" t="s">
        <v>72</v>
      </c>
      <c r="U1254" t="s">
        <v>87</v>
      </c>
      <c r="V1254" t="s">
        <v>74</v>
      </c>
      <c r="W1254" t="s">
        <v>87</v>
      </c>
      <c r="AE1254" s="2"/>
      <c r="AF1254" s="2"/>
      <c r="AG1254" s="2"/>
      <c r="AH1254" s="2"/>
      <c r="AL1254" s="2">
        <v>410000</v>
      </c>
      <c r="AM1254" s="2">
        <v>0</v>
      </c>
      <c r="AN1254" s="2"/>
      <c r="AO1254" s="2">
        <v>0</v>
      </c>
      <c r="AP1254" s="2">
        <v>410000</v>
      </c>
      <c r="AQ1254" s="2">
        <v>0</v>
      </c>
      <c r="AR1254" s="2">
        <v>0</v>
      </c>
      <c r="AS1254" s="2">
        <v>0</v>
      </c>
      <c r="AT1254" s="2">
        <v>0</v>
      </c>
      <c r="AU1254" s="2">
        <v>0</v>
      </c>
      <c r="AV1254" s="2">
        <v>0</v>
      </c>
      <c r="AW1254" s="4"/>
      <c r="AX1254" t="s">
        <v>75</v>
      </c>
      <c r="AZ1254" t="s">
        <v>828</v>
      </c>
      <c r="BA1254" t="s">
        <v>67</v>
      </c>
      <c r="BB1254" t="s">
        <v>829</v>
      </c>
      <c r="BC1254" t="s">
        <v>830</v>
      </c>
      <c r="BD1254" t="s">
        <v>79</v>
      </c>
      <c r="BE1254" t="s">
        <v>117</v>
      </c>
      <c r="BF1254" s="5">
        <v>46569</v>
      </c>
      <c r="BH1254">
        <v>1</v>
      </c>
      <c r="BI1254" s="6">
        <v>550000</v>
      </c>
      <c r="BJ1254" s="6">
        <v>0</v>
      </c>
      <c r="BK1254" s="6">
        <v>140000</v>
      </c>
      <c r="BL1254" s="6">
        <v>410000</v>
      </c>
      <c r="BM1254" s="2">
        <v>410000</v>
      </c>
      <c r="BN1254">
        <f>InvoiceTable[[#This Row],[Giảm giá]]*InvoiceTable[[#This Row],[Số lượng]]</f>
        <v>140000</v>
      </c>
    </row>
    <row r="1255" spans="1:66" x14ac:dyDescent="0.25">
      <c r="A1255" t="s">
        <v>65</v>
      </c>
      <c r="B1255" t="s">
        <v>3429</v>
      </c>
      <c r="F1255" s="2"/>
      <c r="G1255" s="3">
        <v>46003.56903726852</v>
      </c>
      <c r="H1255" s="3">
        <v>46003.569037581015</v>
      </c>
      <c r="I1255" s="4" t="s">
        <v>67</v>
      </c>
      <c r="J1255" t="s">
        <v>67</v>
      </c>
      <c r="K1255" t="s">
        <v>67</v>
      </c>
      <c r="L1255" t="s">
        <v>3430</v>
      </c>
      <c r="M1255" t="s">
        <v>3431</v>
      </c>
      <c r="N1255" t="s">
        <v>67</v>
      </c>
      <c r="O1255" t="s">
        <v>3432</v>
      </c>
      <c r="Q1255" t="s">
        <v>67</v>
      </c>
      <c r="R1255" t="s">
        <v>67</v>
      </c>
      <c r="S1255" s="5"/>
      <c r="T1255" t="s">
        <v>72</v>
      </c>
      <c r="U1255" t="s">
        <v>87</v>
      </c>
      <c r="V1255" t="s">
        <v>74</v>
      </c>
      <c r="W1255" t="s">
        <v>87</v>
      </c>
      <c r="AE1255" s="2"/>
      <c r="AF1255" s="2"/>
      <c r="AG1255" s="2"/>
      <c r="AH1255" s="2"/>
      <c r="AL1255" s="2">
        <v>2480000</v>
      </c>
      <c r="AM1255" s="2">
        <v>0</v>
      </c>
      <c r="AN1255" s="2"/>
      <c r="AO1255" s="2">
        <v>0</v>
      </c>
      <c r="AP1255" s="2">
        <v>2480000</v>
      </c>
      <c r="AQ1255" s="2">
        <v>0</v>
      </c>
      <c r="AR1255" s="2">
        <v>0</v>
      </c>
      <c r="AS1255" s="2">
        <v>0</v>
      </c>
      <c r="AT1255" s="2">
        <v>0</v>
      </c>
      <c r="AU1255" s="2">
        <v>0</v>
      </c>
      <c r="AV1255" s="2">
        <v>0</v>
      </c>
      <c r="AW1255" s="4"/>
      <c r="AX1255" t="s">
        <v>75</v>
      </c>
      <c r="AZ1255" t="s">
        <v>107</v>
      </c>
      <c r="BA1255" t="s">
        <v>67</v>
      </c>
      <c r="BB1255" t="s">
        <v>108</v>
      </c>
      <c r="BC1255" t="s">
        <v>109</v>
      </c>
      <c r="BD1255" t="s">
        <v>79</v>
      </c>
      <c r="BE1255" t="s">
        <v>94</v>
      </c>
      <c r="BF1255" s="5">
        <v>46692</v>
      </c>
      <c r="BH1255">
        <v>1</v>
      </c>
      <c r="BI1255" s="6">
        <v>4500000</v>
      </c>
      <c r="BJ1255" s="6">
        <v>0</v>
      </c>
      <c r="BK1255" s="6">
        <v>2020000</v>
      </c>
      <c r="BL1255" s="6">
        <v>2480000</v>
      </c>
      <c r="BM1255" s="2">
        <v>2480000</v>
      </c>
      <c r="BN1255">
        <f>InvoiceTable[[#This Row],[Giảm giá]]*InvoiceTable[[#This Row],[Số lượng]]</f>
        <v>2020000</v>
      </c>
    </row>
    <row r="1256" spans="1:66" x14ac:dyDescent="0.25">
      <c r="A1256" t="s">
        <v>65</v>
      </c>
      <c r="B1256" t="s">
        <v>3433</v>
      </c>
      <c r="F1256" s="2"/>
      <c r="G1256" s="3">
        <v>46003.564977546295</v>
      </c>
      <c r="H1256" s="3">
        <v>46003.564977696762</v>
      </c>
      <c r="I1256" s="4" t="s">
        <v>67</v>
      </c>
      <c r="J1256" t="s">
        <v>67</v>
      </c>
      <c r="K1256" t="s">
        <v>67</v>
      </c>
      <c r="L1256" t="s">
        <v>1393</v>
      </c>
      <c r="M1256" t="s">
        <v>1394</v>
      </c>
      <c r="N1256" t="s">
        <v>67</v>
      </c>
      <c r="O1256" t="s">
        <v>1395</v>
      </c>
      <c r="P1256" t="s">
        <v>1396</v>
      </c>
      <c r="S1256" s="5"/>
      <c r="T1256" t="s">
        <v>72</v>
      </c>
      <c r="U1256" t="s">
        <v>87</v>
      </c>
      <c r="V1256" t="s">
        <v>74</v>
      </c>
      <c r="W1256" t="s">
        <v>87</v>
      </c>
      <c r="AE1256" s="2"/>
      <c r="AF1256" s="2"/>
      <c r="AG1256" s="2"/>
      <c r="AH1256" s="2"/>
      <c r="AL1256" s="2">
        <v>6823635</v>
      </c>
      <c r="AM1256" s="2">
        <v>3070636</v>
      </c>
      <c r="AN1256" s="2"/>
      <c r="AO1256" s="2">
        <v>0</v>
      </c>
      <c r="AP1256" s="2">
        <v>3752999</v>
      </c>
      <c r="AQ1256" s="2">
        <v>0</v>
      </c>
      <c r="AR1256" s="2">
        <v>0</v>
      </c>
      <c r="AS1256" s="2">
        <v>0</v>
      </c>
      <c r="AT1256" s="2">
        <v>0</v>
      </c>
      <c r="AU1256" s="2">
        <v>0</v>
      </c>
      <c r="AV1256" s="2">
        <v>0</v>
      </c>
      <c r="AW1256" s="4"/>
      <c r="AX1256" t="s">
        <v>75</v>
      </c>
      <c r="AZ1256" t="s">
        <v>1945</v>
      </c>
      <c r="BA1256" t="s">
        <v>67</v>
      </c>
      <c r="BB1256" t="s">
        <v>1946</v>
      </c>
      <c r="BC1256" t="s">
        <v>173</v>
      </c>
      <c r="BD1256" t="s">
        <v>79</v>
      </c>
      <c r="BE1256" t="s">
        <v>3434</v>
      </c>
      <c r="BF1256" s="5">
        <v>47327</v>
      </c>
      <c r="BG1256" t="s">
        <v>67</v>
      </c>
      <c r="BH1256">
        <v>3</v>
      </c>
      <c r="BI1256" s="6">
        <v>1364727</v>
      </c>
      <c r="BJ1256" s="6">
        <v>0</v>
      </c>
      <c r="BK1256" s="6">
        <v>0</v>
      </c>
      <c r="BL1256" s="6">
        <v>1364727</v>
      </c>
      <c r="BM1256" s="2">
        <v>4094181</v>
      </c>
      <c r="BN1256">
        <f>InvoiceTable[[#This Row],[Giảm giá]]*InvoiceTable[[#This Row],[Số lượng]]</f>
        <v>0</v>
      </c>
    </row>
    <row r="1257" spans="1:66" x14ac:dyDescent="0.25">
      <c r="A1257" t="s">
        <v>65</v>
      </c>
      <c r="B1257" t="s">
        <v>3433</v>
      </c>
      <c r="F1257" s="2"/>
      <c r="G1257" s="3">
        <v>46003.564977546295</v>
      </c>
      <c r="H1257" s="3">
        <v>46003.564977696762</v>
      </c>
      <c r="I1257" s="4" t="s">
        <v>67</v>
      </c>
      <c r="J1257" t="s">
        <v>67</v>
      </c>
      <c r="K1257" t="s">
        <v>67</v>
      </c>
      <c r="L1257" t="s">
        <v>1393</v>
      </c>
      <c r="M1257" t="s">
        <v>1394</v>
      </c>
      <c r="N1257" t="s">
        <v>67</v>
      </c>
      <c r="O1257" t="s">
        <v>1395</v>
      </c>
      <c r="P1257" t="s">
        <v>1396</v>
      </c>
      <c r="S1257" s="5"/>
      <c r="T1257" t="s">
        <v>72</v>
      </c>
      <c r="U1257" t="s">
        <v>87</v>
      </c>
      <c r="V1257" t="s">
        <v>74</v>
      </c>
      <c r="W1257" t="s">
        <v>87</v>
      </c>
      <c r="AE1257" s="2"/>
      <c r="AF1257" s="2"/>
      <c r="AG1257" s="2"/>
      <c r="AH1257" s="2"/>
      <c r="AL1257" s="2">
        <v>6823635</v>
      </c>
      <c r="AM1257" s="2">
        <v>3070636</v>
      </c>
      <c r="AN1257" s="2"/>
      <c r="AO1257" s="2">
        <v>0</v>
      </c>
      <c r="AP1257" s="2">
        <v>3752999</v>
      </c>
      <c r="AQ1257" s="2">
        <v>0</v>
      </c>
      <c r="AR1257" s="2">
        <v>0</v>
      </c>
      <c r="AS1257" s="2">
        <v>0</v>
      </c>
      <c r="AT1257" s="2">
        <v>0</v>
      </c>
      <c r="AU1257" s="2">
        <v>0</v>
      </c>
      <c r="AV1257" s="2">
        <v>0</v>
      </c>
      <c r="AW1257" s="4"/>
      <c r="AX1257" t="s">
        <v>75</v>
      </c>
      <c r="AZ1257" t="s">
        <v>1945</v>
      </c>
      <c r="BA1257" t="s">
        <v>67</v>
      </c>
      <c r="BB1257" t="s">
        <v>1946</v>
      </c>
      <c r="BC1257" t="s">
        <v>173</v>
      </c>
      <c r="BD1257" t="s">
        <v>79</v>
      </c>
      <c r="BE1257" t="s">
        <v>1947</v>
      </c>
      <c r="BF1257" s="5">
        <v>47335</v>
      </c>
      <c r="BG1257" t="s">
        <v>67</v>
      </c>
      <c r="BH1257">
        <v>2</v>
      </c>
      <c r="BI1257" s="6">
        <v>1364727</v>
      </c>
      <c r="BJ1257" s="6">
        <v>0</v>
      </c>
      <c r="BK1257" s="6">
        <v>0</v>
      </c>
      <c r="BL1257" s="6">
        <v>1364727</v>
      </c>
      <c r="BM1257" s="2">
        <v>2729454</v>
      </c>
      <c r="BN1257">
        <f>InvoiceTable[[#This Row],[Giảm giá]]*InvoiceTable[[#This Row],[Số lượng]]</f>
        <v>0</v>
      </c>
    </row>
    <row r="1258" spans="1:66" x14ac:dyDescent="0.25">
      <c r="A1258" t="s">
        <v>65</v>
      </c>
      <c r="B1258" t="s">
        <v>3435</v>
      </c>
      <c r="F1258" s="2"/>
      <c r="G1258" s="3">
        <v>46003.546676076388</v>
      </c>
      <c r="H1258" s="3">
        <v>46003.546676192127</v>
      </c>
      <c r="I1258" s="4" t="s">
        <v>67</v>
      </c>
      <c r="J1258" t="s">
        <v>67</v>
      </c>
      <c r="K1258" t="s">
        <v>67</v>
      </c>
      <c r="L1258" t="s">
        <v>2491</v>
      </c>
      <c r="M1258" t="s">
        <v>2492</v>
      </c>
      <c r="N1258" t="s">
        <v>2493</v>
      </c>
      <c r="O1258" t="s">
        <v>2494</v>
      </c>
      <c r="P1258" t="s">
        <v>2495</v>
      </c>
      <c r="S1258" s="5"/>
      <c r="T1258" t="s">
        <v>72</v>
      </c>
      <c r="U1258" t="s">
        <v>87</v>
      </c>
      <c r="V1258" t="s">
        <v>74</v>
      </c>
      <c r="W1258" t="s">
        <v>87</v>
      </c>
      <c r="AE1258" s="2"/>
      <c r="AF1258" s="2"/>
      <c r="AG1258" s="2"/>
      <c r="AH1258" s="2"/>
      <c r="AL1258" s="2">
        <v>425000</v>
      </c>
      <c r="AM1258" s="2">
        <v>0</v>
      </c>
      <c r="AN1258" s="2"/>
      <c r="AO1258" s="2">
        <v>0</v>
      </c>
      <c r="AP1258" s="2">
        <v>425000</v>
      </c>
      <c r="AQ1258" s="2">
        <v>425000</v>
      </c>
      <c r="AR1258" s="2">
        <v>0</v>
      </c>
      <c r="AS1258" s="2">
        <v>0</v>
      </c>
      <c r="AT1258" s="2">
        <v>0</v>
      </c>
      <c r="AU1258" s="2">
        <v>425000</v>
      </c>
      <c r="AV1258" s="2">
        <v>0</v>
      </c>
      <c r="AW1258" s="4"/>
      <c r="AX1258" t="s">
        <v>75</v>
      </c>
      <c r="AZ1258" t="s">
        <v>2170</v>
      </c>
      <c r="BA1258" t="s">
        <v>67</v>
      </c>
      <c r="BB1258" t="s">
        <v>2171</v>
      </c>
      <c r="BC1258" t="s">
        <v>215</v>
      </c>
      <c r="BD1258" t="s">
        <v>79</v>
      </c>
      <c r="BE1258" t="s">
        <v>378</v>
      </c>
      <c r="BF1258" s="5">
        <v>46997</v>
      </c>
      <c r="BH1258">
        <v>1</v>
      </c>
      <c r="BI1258" s="6">
        <v>850000</v>
      </c>
      <c r="BJ1258" s="6">
        <v>50</v>
      </c>
      <c r="BK1258" s="6">
        <v>425000</v>
      </c>
      <c r="BL1258" s="6">
        <v>425000</v>
      </c>
      <c r="BM1258" s="2">
        <v>425000</v>
      </c>
      <c r="BN1258">
        <f>InvoiceTable[[#This Row],[Giảm giá]]*InvoiceTable[[#This Row],[Số lượng]]</f>
        <v>425000</v>
      </c>
    </row>
    <row r="1259" spans="1:66" x14ac:dyDescent="0.25">
      <c r="A1259" t="s">
        <v>65</v>
      </c>
      <c r="B1259" t="s">
        <v>3436</v>
      </c>
      <c r="F1259" s="2"/>
      <c r="G1259" s="3">
        <v>46003.477447106481</v>
      </c>
      <c r="H1259" s="3">
        <v>46003.477412534725</v>
      </c>
      <c r="I1259" s="4" t="s">
        <v>3437</v>
      </c>
      <c r="J1259" t="s">
        <v>3438</v>
      </c>
      <c r="K1259" t="s">
        <v>67</v>
      </c>
      <c r="L1259" t="s">
        <v>609</v>
      </c>
      <c r="M1259" t="s">
        <v>610</v>
      </c>
      <c r="N1259" t="s">
        <v>67</v>
      </c>
      <c r="O1259" t="s">
        <v>611</v>
      </c>
      <c r="P1259" t="s">
        <v>612</v>
      </c>
      <c r="S1259" s="5"/>
      <c r="T1259" t="s">
        <v>72</v>
      </c>
      <c r="U1259" t="s">
        <v>73</v>
      </c>
      <c r="V1259" t="s">
        <v>74</v>
      </c>
      <c r="W1259" t="s">
        <v>87</v>
      </c>
      <c r="AE1259" s="2"/>
      <c r="AF1259" s="2"/>
      <c r="AG1259" s="2"/>
      <c r="AH1259" s="2"/>
      <c r="AK1259" t="s">
        <v>258</v>
      </c>
      <c r="AL1259" s="2">
        <v>11450000</v>
      </c>
      <c r="AM1259" s="2">
        <v>0</v>
      </c>
      <c r="AN1259" s="2"/>
      <c r="AO1259" s="2">
        <v>0</v>
      </c>
      <c r="AP1259" s="2">
        <v>11450000</v>
      </c>
      <c r="AQ1259" s="2">
        <v>0</v>
      </c>
      <c r="AR1259" s="2">
        <v>0</v>
      </c>
      <c r="AS1259" s="2">
        <v>0</v>
      </c>
      <c r="AT1259" s="2">
        <v>0</v>
      </c>
      <c r="AU1259" s="2">
        <v>0</v>
      </c>
      <c r="AV1259" s="2">
        <v>0</v>
      </c>
      <c r="AW1259" s="4"/>
      <c r="AX1259" t="s">
        <v>75</v>
      </c>
      <c r="AZ1259" t="s">
        <v>543</v>
      </c>
      <c r="BA1259" t="s">
        <v>67</v>
      </c>
      <c r="BB1259" t="s">
        <v>544</v>
      </c>
      <c r="BC1259" t="s">
        <v>437</v>
      </c>
      <c r="BD1259" t="s">
        <v>79</v>
      </c>
      <c r="BE1259" t="s">
        <v>545</v>
      </c>
      <c r="BF1259" s="5">
        <v>47177</v>
      </c>
      <c r="BG1259" t="s">
        <v>67</v>
      </c>
      <c r="BH1259">
        <v>3</v>
      </c>
      <c r="BI1259" s="6">
        <v>4500000</v>
      </c>
      <c r="BJ1259" s="6">
        <v>0</v>
      </c>
      <c r="BK1259" s="6">
        <v>1700000</v>
      </c>
      <c r="BL1259" s="6">
        <v>2800000</v>
      </c>
      <c r="BM1259" s="2">
        <v>8400000</v>
      </c>
      <c r="BN1259">
        <f>InvoiceTable[[#This Row],[Giảm giá]]*InvoiceTable[[#This Row],[Số lượng]]</f>
        <v>5100000</v>
      </c>
    </row>
    <row r="1260" spans="1:66" x14ac:dyDescent="0.25">
      <c r="A1260" t="s">
        <v>65</v>
      </c>
      <c r="B1260" t="s">
        <v>3436</v>
      </c>
      <c r="F1260" s="2"/>
      <c r="G1260" s="3">
        <v>46003.477447106481</v>
      </c>
      <c r="H1260" s="3">
        <v>46003.477412534725</v>
      </c>
      <c r="I1260" s="4" t="s">
        <v>3437</v>
      </c>
      <c r="J1260" t="s">
        <v>3438</v>
      </c>
      <c r="K1260" t="s">
        <v>67</v>
      </c>
      <c r="L1260" t="s">
        <v>609</v>
      </c>
      <c r="M1260" t="s">
        <v>610</v>
      </c>
      <c r="N1260" t="s">
        <v>67</v>
      </c>
      <c r="O1260" t="s">
        <v>611</v>
      </c>
      <c r="P1260" t="s">
        <v>612</v>
      </c>
      <c r="S1260" s="5"/>
      <c r="T1260" t="s">
        <v>72</v>
      </c>
      <c r="U1260" t="s">
        <v>73</v>
      </c>
      <c r="V1260" t="s">
        <v>74</v>
      </c>
      <c r="W1260" t="s">
        <v>87</v>
      </c>
      <c r="AE1260" s="2"/>
      <c r="AF1260" s="2"/>
      <c r="AG1260" s="2"/>
      <c r="AH1260" s="2"/>
      <c r="AK1260" t="s">
        <v>258</v>
      </c>
      <c r="AL1260" s="2">
        <v>11450000</v>
      </c>
      <c r="AM1260" s="2">
        <v>0</v>
      </c>
      <c r="AN1260" s="2"/>
      <c r="AO1260" s="2">
        <v>0</v>
      </c>
      <c r="AP1260" s="2">
        <v>11450000</v>
      </c>
      <c r="AQ1260" s="2">
        <v>0</v>
      </c>
      <c r="AR1260" s="2">
        <v>0</v>
      </c>
      <c r="AS1260" s="2">
        <v>0</v>
      </c>
      <c r="AT1260" s="2">
        <v>0</v>
      </c>
      <c r="AU1260" s="2">
        <v>0</v>
      </c>
      <c r="AV1260" s="2">
        <v>0</v>
      </c>
      <c r="AW1260" s="4"/>
      <c r="AX1260" t="s">
        <v>75</v>
      </c>
      <c r="AZ1260" t="s">
        <v>124</v>
      </c>
      <c r="BA1260" t="s">
        <v>67</v>
      </c>
      <c r="BB1260" t="s">
        <v>125</v>
      </c>
      <c r="BC1260" t="s">
        <v>126</v>
      </c>
      <c r="BD1260" t="s">
        <v>79</v>
      </c>
      <c r="BE1260" t="s">
        <v>3255</v>
      </c>
      <c r="BF1260" s="5">
        <v>46722</v>
      </c>
      <c r="BH1260">
        <v>5</v>
      </c>
      <c r="BI1260" s="6">
        <v>1200000</v>
      </c>
      <c r="BJ1260" s="6">
        <v>0</v>
      </c>
      <c r="BK1260" s="6">
        <v>590000</v>
      </c>
      <c r="BL1260" s="6">
        <v>610000</v>
      </c>
      <c r="BM1260" s="2">
        <v>3050000</v>
      </c>
      <c r="BN1260">
        <f>InvoiceTable[[#This Row],[Giảm giá]]*InvoiceTable[[#This Row],[Số lượng]]</f>
        <v>2950000</v>
      </c>
    </row>
    <row r="1261" spans="1:66" x14ac:dyDescent="0.25">
      <c r="A1261" t="s">
        <v>65</v>
      </c>
      <c r="B1261" t="s">
        <v>3439</v>
      </c>
      <c r="F1261" s="2"/>
      <c r="G1261" s="3">
        <v>46003.472849537036</v>
      </c>
      <c r="H1261" s="3">
        <v>46003.472826585647</v>
      </c>
      <c r="I1261" s="4" t="s">
        <v>3281</v>
      </c>
      <c r="J1261" t="s">
        <v>3440</v>
      </c>
      <c r="K1261" t="s">
        <v>67</v>
      </c>
      <c r="L1261" t="s">
        <v>3441</v>
      </c>
      <c r="M1261" t="s">
        <v>3442</v>
      </c>
      <c r="N1261" t="s">
        <v>67</v>
      </c>
      <c r="O1261" t="s">
        <v>3443</v>
      </c>
      <c r="P1261" t="s">
        <v>3444</v>
      </c>
      <c r="Q1261" t="s">
        <v>67</v>
      </c>
      <c r="R1261" t="s">
        <v>67</v>
      </c>
      <c r="S1261" s="5"/>
      <c r="T1261" t="s">
        <v>72</v>
      </c>
      <c r="U1261" t="s">
        <v>102</v>
      </c>
      <c r="V1261" t="s">
        <v>74</v>
      </c>
      <c r="W1261" t="s">
        <v>87</v>
      </c>
      <c r="AE1261" s="2"/>
      <c r="AF1261" s="2"/>
      <c r="AG1261" s="2"/>
      <c r="AH1261" s="2"/>
      <c r="AK1261" t="s">
        <v>3445</v>
      </c>
      <c r="AL1261" s="2">
        <v>2923200</v>
      </c>
      <c r="AM1261" s="2">
        <v>0</v>
      </c>
      <c r="AN1261" s="2"/>
      <c r="AO1261" s="2">
        <v>0</v>
      </c>
      <c r="AP1261" s="2">
        <v>2923200</v>
      </c>
      <c r="AQ1261" s="2">
        <v>0</v>
      </c>
      <c r="AR1261" s="2">
        <v>0</v>
      </c>
      <c r="AS1261" s="2">
        <v>0</v>
      </c>
      <c r="AT1261" s="2">
        <v>0</v>
      </c>
      <c r="AU1261" s="2">
        <v>0</v>
      </c>
      <c r="AV1261" s="2">
        <v>0</v>
      </c>
      <c r="AW1261" s="4"/>
      <c r="AX1261" t="s">
        <v>75</v>
      </c>
      <c r="AZ1261" t="s">
        <v>968</v>
      </c>
      <c r="BA1261" t="s">
        <v>67</v>
      </c>
      <c r="BB1261" t="s">
        <v>969</v>
      </c>
      <c r="BC1261" t="s">
        <v>970</v>
      </c>
      <c r="BD1261" t="s">
        <v>79</v>
      </c>
      <c r="BE1261" t="s">
        <v>195</v>
      </c>
      <c r="BF1261" s="5">
        <v>46419</v>
      </c>
      <c r="BG1261" t="s">
        <v>67</v>
      </c>
      <c r="BH1261">
        <v>1</v>
      </c>
      <c r="BI1261" s="6">
        <v>3360000</v>
      </c>
      <c r="BJ1261" s="6">
        <v>13</v>
      </c>
      <c r="BK1261" s="6">
        <v>436800</v>
      </c>
      <c r="BL1261" s="6">
        <v>2923200</v>
      </c>
      <c r="BM1261" s="2">
        <v>2923200</v>
      </c>
      <c r="BN1261">
        <f>InvoiceTable[[#This Row],[Giảm giá]]*InvoiceTable[[#This Row],[Số lượng]]</f>
        <v>436800</v>
      </c>
    </row>
    <row r="1262" spans="1:66" x14ac:dyDescent="0.25">
      <c r="A1262" t="s">
        <v>65</v>
      </c>
      <c r="B1262" t="s">
        <v>3446</v>
      </c>
      <c r="F1262" s="2"/>
      <c r="G1262" s="3">
        <v>46003.467893136571</v>
      </c>
      <c r="H1262" s="3">
        <v>46003.467893321758</v>
      </c>
      <c r="I1262" s="4" t="s">
        <v>67</v>
      </c>
      <c r="J1262" t="s">
        <v>67</v>
      </c>
      <c r="K1262" t="s">
        <v>67</v>
      </c>
      <c r="L1262" t="s">
        <v>2118</v>
      </c>
      <c r="M1262" t="s">
        <v>2119</v>
      </c>
      <c r="N1262" t="s">
        <v>2120</v>
      </c>
      <c r="O1262" t="s">
        <v>2121</v>
      </c>
      <c r="P1262" t="s">
        <v>2122</v>
      </c>
      <c r="S1262" s="5"/>
      <c r="T1262" t="s">
        <v>72</v>
      </c>
      <c r="U1262" t="s">
        <v>73</v>
      </c>
      <c r="V1262" t="s">
        <v>74</v>
      </c>
      <c r="W1262" t="s">
        <v>73</v>
      </c>
      <c r="AE1262" s="2"/>
      <c r="AF1262" s="2"/>
      <c r="AG1262" s="2"/>
      <c r="AH1262" s="2"/>
      <c r="AL1262" s="2">
        <v>30000</v>
      </c>
      <c r="AM1262" s="2">
        <v>0</v>
      </c>
      <c r="AN1262" s="2"/>
      <c r="AO1262" s="2">
        <v>0</v>
      </c>
      <c r="AP1262" s="2">
        <v>30000</v>
      </c>
      <c r="AQ1262" s="2">
        <v>30000</v>
      </c>
      <c r="AR1262" s="2">
        <v>30000</v>
      </c>
      <c r="AS1262" s="2">
        <v>0</v>
      </c>
      <c r="AT1262" s="2">
        <v>0</v>
      </c>
      <c r="AU1262" s="2">
        <v>0</v>
      </c>
      <c r="AV1262" s="2">
        <v>0</v>
      </c>
      <c r="AW1262" s="4"/>
      <c r="AX1262" t="s">
        <v>75</v>
      </c>
      <c r="AZ1262" t="s">
        <v>88</v>
      </c>
      <c r="BB1262" t="s">
        <v>89</v>
      </c>
      <c r="BC1262" t="s">
        <v>90</v>
      </c>
      <c r="BF1262" s="5"/>
      <c r="BG1262" t="s">
        <v>67</v>
      </c>
      <c r="BH1262">
        <v>1</v>
      </c>
      <c r="BI1262" s="6">
        <v>30000</v>
      </c>
      <c r="BJ1262" s="6">
        <v>0</v>
      </c>
      <c r="BK1262" s="6">
        <v>0</v>
      </c>
      <c r="BL1262" s="6">
        <v>30000</v>
      </c>
      <c r="BM1262" s="2">
        <v>30000</v>
      </c>
      <c r="BN1262">
        <f>InvoiceTable[[#This Row],[Giảm giá]]*InvoiceTable[[#This Row],[Số lượng]]</f>
        <v>0</v>
      </c>
    </row>
    <row r="1263" spans="1:66" x14ac:dyDescent="0.25">
      <c r="A1263" t="s">
        <v>65</v>
      </c>
      <c r="B1263" t="s">
        <v>3447</v>
      </c>
      <c r="F1263" s="2"/>
      <c r="G1263" s="3">
        <v>46003.467647372687</v>
      </c>
      <c r="H1263" s="3">
        <v>46003.467647453705</v>
      </c>
      <c r="I1263" s="4" t="s">
        <v>67</v>
      </c>
      <c r="J1263" t="s">
        <v>67</v>
      </c>
      <c r="K1263" t="s">
        <v>67</v>
      </c>
      <c r="L1263" t="s">
        <v>2491</v>
      </c>
      <c r="M1263" t="s">
        <v>2492</v>
      </c>
      <c r="N1263" t="s">
        <v>2493</v>
      </c>
      <c r="O1263" t="s">
        <v>2494</v>
      </c>
      <c r="P1263" t="s">
        <v>2495</v>
      </c>
      <c r="S1263" s="5"/>
      <c r="T1263" t="s">
        <v>72</v>
      </c>
      <c r="U1263" t="s">
        <v>87</v>
      </c>
      <c r="V1263" t="s">
        <v>74</v>
      </c>
      <c r="W1263" t="s">
        <v>87</v>
      </c>
      <c r="AE1263" s="2"/>
      <c r="AF1263" s="2"/>
      <c r="AG1263" s="2"/>
      <c r="AH1263" s="2"/>
      <c r="AL1263" s="2">
        <v>160000</v>
      </c>
      <c r="AM1263" s="2">
        <v>0</v>
      </c>
      <c r="AN1263" s="2"/>
      <c r="AO1263" s="2">
        <v>0</v>
      </c>
      <c r="AP1263" s="2">
        <v>160000</v>
      </c>
      <c r="AQ1263" s="2">
        <v>160000</v>
      </c>
      <c r="AR1263" s="2">
        <v>0</v>
      </c>
      <c r="AS1263" s="2">
        <v>0</v>
      </c>
      <c r="AT1263" s="2">
        <v>0</v>
      </c>
      <c r="AU1263" s="2">
        <v>160000</v>
      </c>
      <c r="AV1263" s="2">
        <v>0</v>
      </c>
      <c r="AW1263" s="4"/>
      <c r="AX1263" t="s">
        <v>75</v>
      </c>
      <c r="AZ1263" t="s">
        <v>663</v>
      </c>
      <c r="BA1263" t="s">
        <v>67</v>
      </c>
      <c r="BB1263" t="s">
        <v>664</v>
      </c>
      <c r="BC1263" t="s">
        <v>665</v>
      </c>
      <c r="BD1263" t="s">
        <v>79</v>
      </c>
      <c r="BE1263" t="s">
        <v>159</v>
      </c>
      <c r="BF1263" s="5">
        <v>46478</v>
      </c>
      <c r="BH1263">
        <v>1</v>
      </c>
      <c r="BI1263" s="6">
        <v>380000</v>
      </c>
      <c r="BJ1263" s="6">
        <v>0</v>
      </c>
      <c r="BK1263" s="6">
        <v>220000</v>
      </c>
      <c r="BL1263" s="6">
        <v>160000</v>
      </c>
      <c r="BM1263" s="2">
        <v>160000</v>
      </c>
      <c r="BN1263">
        <f>InvoiceTable[[#This Row],[Giảm giá]]*InvoiceTable[[#This Row],[Số lượng]]</f>
        <v>220000</v>
      </c>
    </row>
    <row r="1264" spans="1:66" x14ac:dyDescent="0.25">
      <c r="A1264" t="s">
        <v>65</v>
      </c>
      <c r="B1264" t="s">
        <v>3448</v>
      </c>
      <c r="F1264" s="2"/>
      <c r="G1264" s="3">
        <v>46003.464806863427</v>
      </c>
      <c r="H1264" s="3">
        <v>46003.464644988424</v>
      </c>
      <c r="I1264" s="4" t="s">
        <v>96</v>
      </c>
      <c r="J1264" t="s">
        <v>3449</v>
      </c>
      <c r="K1264" t="s">
        <v>67</v>
      </c>
      <c r="L1264" t="s">
        <v>2118</v>
      </c>
      <c r="M1264" t="s">
        <v>2119</v>
      </c>
      <c r="N1264" t="s">
        <v>2120</v>
      </c>
      <c r="O1264" t="s">
        <v>2121</v>
      </c>
      <c r="P1264" t="s">
        <v>2122</v>
      </c>
      <c r="S1264" s="5"/>
      <c r="T1264" t="s">
        <v>72</v>
      </c>
      <c r="U1264" t="s">
        <v>73</v>
      </c>
      <c r="V1264" t="s">
        <v>74</v>
      </c>
      <c r="W1264" t="s">
        <v>73</v>
      </c>
      <c r="AE1264" s="2"/>
      <c r="AF1264" s="2"/>
      <c r="AG1264" s="2"/>
      <c r="AH1264" s="2"/>
      <c r="AK1264" t="s">
        <v>313</v>
      </c>
      <c r="AL1264" s="2">
        <v>1988250</v>
      </c>
      <c r="AM1264" s="2">
        <v>0</v>
      </c>
      <c r="AN1264" s="2"/>
      <c r="AO1264" s="2">
        <v>0</v>
      </c>
      <c r="AP1264" s="2">
        <v>1988250</v>
      </c>
      <c r="AQ1264" s="2">
        <v>1988250</v>
      </c>
      <c r="AR1264" s="2">
        <v>1988250</v>
      </c>
      <c r="AS1264" s="2">
        <v>0</v>
      </c>
      <c r="AT1264" s="2">
        <v>0</v>
      </c>
      <c r="AU1264" s="2">
        <v>0</v>
      </c>
      <c r="AV1264" s="2">
        <v>0</v>
      </c>
      <c r="AW1264" s="4"/>
      <c r="AX1264" t="s">
        <v>75</v>
      </c>
      <c r="AZ1264" t="s">
        <v>3450</v>
      </c>
      <c r="BA1264" t="s">
        <v>67</v>
      </c>
      <c r="BB1264" t="s">
        <v>3451</v>
      </c>
      <c r="BC1264" t="s">
        <v>3110</v>
      </c>
      <c r="BD1264" t="s">
        <v>79</v>
      </c>
      <c r="BE1264" t="s">
        <v>273</v>
      </c>
      <c r="BF1264" s="5">
        <v>46266</v>
      </c>
      <c r="BH1264">
        <v>1</v>
      </c>
      <c r="BI1264" s="6">
        <v>545000</v>
      </c>
      <c r="BJ1264" s="6">
        <v>35</v>
      </c>
      <c r="BK1264" s="6">
        <v>190750</v>
      </c>
      <c r="BL1264" s="6">
        <v>354250</v>
      </c>
      <c r="BM1264" s="2">
        <v>354250</v>
      </c>
      <c r="BN1264">
        <f>InvoiceTable[[#This Row],[Giảm giá]]*InvoiceTable[[#This Row],[Số lượng]]</f>
        <v>190750</v>
      </c>
    </row>
    <row r="1265" spans="1:66" x14ac:dyDescent="0.25">
      <c r="A1265" t="s">
        <v>65</v>
      </c>
      <c r="B1265" t="s">
        <v>3448</v>
      </c>
      <c r="F1265" s="2"/>
      <c r="G1265" s="3">
        <v>46003.464806863427</v>
      </c>
      <c r="H1265" s="3">
        <v>46003.464644988424</v>
      </c>
      <c r="I1265" s="4" t="s">
        <v>96</v>
      </c>
      <c r="J1265" t="s">
        <v>3449</v>
      </c>
      <c r="K1265" t="s">
        <v>67</v>
      </c>
      <c r="L1265" t="s">
        <v>2118</v>
      </c>
      <c r="M1265" t="s">
        <v>2119</v>
      </c>
      <c r="N1265" t="s">
        <v>2120</v>
      </c>
      <c r="O1265" t="s">
        <v>2121</v>
      </c>
      <c r="P1265" t="s">
        <v>2122</v>
      </c>
      <c r="S1265" s="5"/>
      <c r="T1265" t="s">
        <v>72</v>
      </c>
      <c r="U1265" t="s">
        <v>73</v>
      </c>
      <c r="V1265" t="s">
        <v>74</v>
      </c>
      <c r="W1265" t="s">
        <v>73</v>
      </c>
      <c r="AE1265" s="2"/>
      <c r="AF1265" s="2"/>
      <c r="AG1265" s="2"/>
      <c r="AH1265" s="2"/>
      <c r="AK1265" t="s">
        <v>313</v>
      </c>
      <c r="AL1265" s="2">
        <v>1988250</v>
      </c>
      <c r="AM1265" s="2">
        <v>0</v>
      </c>
      <c r="AN1265" s="2"/>
      <c r="AO1265" s="2">
        <v>0</v>
      </c>
      <c r="AP1265" s="2">
        <v>1988250</v>
      </c>
      <c r="AQ1265" s="2">
        <v>1988250</v>
      </c>
      <c r="AR1265" s="2">
        <v>1988250</v>
      </c>
      <c r="AS1265" s="2">
        <v>0</v>
      </c>
      <c r="AT1265" s="2">
        <v>0</v>
      </c>
      <c r="AU1265" s="2">
        <v>0</v>
      </c>
      <c r="AV1265" s="2">
        <v>0</v>
      </c>
      <c r="AW1265" s="4"/>
      <c r="AX1265" t="s">
        <v>75</v>
      </c>
      <c r="AZ1265" t="s">
        <v>3108</v>
      </c>
      <c r="BA1265" t="s">
        <v>67</v>
      </c>
      <c r="BB1265" t="s">
        <v>3109</v>
      </c>
      <c r="BC1265" t="s">
        <v>3110</v>
      </c>
      <c r="BD1265" t="s">
        <v>79</v>
      </c>
      <c r="BE1265" t="s">
        <v>3111</v>
      </c>
      <c r="BF1265" s="5">
        <v>46023</v>
      </c>
      <c r="BG1265" t="s">
        <v>3452</v>
      </c>
      <c r="BH1265">
        <v>1</v>
      </c>
      <c r="BI1265" s="6">
        <v>495000</v>
      </c>
      <c r="BJ1265" s="6">
        <v>60</v>
      </c>
      <c r="BK1265" s="6">
        <v>297000</v>
      </c>
      <c r="BL1265" s="6">
        <v>198000</v>
      </c>
      <c r="BM1265" s="2">
        <v>198000</v>
      </c>
      <c r="BN1265">
        <f>InvoiceTable[[#This Row],[Giảm giá]]*InvoiceTable[[#This Row],[Số lượng]]</f>
        <v>297000</v>
      </c>
    </row>
    <row r="1266" spans="1:66" x14ac:dyDescent="0.25">
      <c r="A1266" t="s">
        <v>65</v>
      </c>
      <c r="B1266" t="s">
        <v>3448</v>
      </c>
      <c r="F1266" s="2"/>
      <c r="G1266" s="3">
        <v>46003.464806863427</v>
      </c>
      <c r="H1266" s="3">
        <v>46003.464644988424</v>
      </c>
      <c r="I1266" s="4" t="s">
        <v>96</v>
      </c>
      <c r="J1266" t="s">
        <v>3449</v>
      </c>
      <c r="K1266" t="s">
        <v>67</v>
      </c>
      <c r="L1266" t="s">
        <v>2118</v>
      </c>
      <c r="M1266" t="s">
        <v>2119</v>
      </c>
      <c r="N1266" t="s">
        <v>2120</v>
      </c>
      <c r="O1266" t="s">
        <v>2121</v>
      </c>
      <c r="P1266" t="s">
        <v>2122</v>
      </c>
      <c r="S1266" s="5"/>
      <c r="T1266" t="s">
        <v>72</v>
      </c>
      <c r="U1266" t="s">
        <v>73</v>
      </c>
      <c r="V1266" t="s">
        <v>74</v>
      </c>
      <c r="W1266" t="s">
        <v>73</v>
      </c>
      <c r="AE1266" s="2"/>
      <c r="AF1266" s="2"/>
      <c r="AG1266" s="2"/>
      <c r="AH1266" s="2"/>
      <c r="AK1266" t="s">
        <v>313</v>
      </c>
      <c r="AL1266" s="2">
        <v>1988250</v>
      </c>
      <c r="AM1266" s="2">
        <v>0</v>
      </c>
      <c r="AN1266" s="2"/>
      <c r="AO1266" s="2">
        <v>0</v>
      </c>
      <c r="AP1266" s="2">
        <v>1988250</v>
      </c>
      <c r="AQ1266" s="2">
        <v>1988250</v>
      </c>
      <c r="AR1266" s="2">
        <v>1988250</v>
      </c>
      <c r="AS1266" s="2">
        <v>0</v>
      </c>
      <c r="AT1266" s="2">
        <v>0</v>
      </c>
      <c r="AU1266" s="2">
        <v>0</v>
      </c>
      <c r="AV1266" s="2">
        <v>0</v>
      </c>
      <c r="AW1266" s="4"/>
      <c r="AX1266" t="s">
        <v>75</v>
      </c>
      <c r="AZ1266" t="s">
        <v>3453</v>
      </c>
      <c r="BA1266" t="s">
        <v>67</v>
      </c>
      <c r="BB1266" t="s">
        <v>3454</v>
      </c>
      <c r="BC1266" t="s">
        <v>90</v>
      </c>
      <c r="BD1266" t="s">
        <v>79</v>
      </c>
      <c r="BE1266" t="s">
        <v>785</v>
      </c>
      <c r="BF1266" s="5">
        <v>46507</v>
      </c>
      <c r="BH1266">
        <v>1</v>
      </c>
      <c r="BI1266" s="6">
        <v>38000</v>
      </c>
      <c r="BJ1266" s="6">
        <v>0</v>
      </c>
      <c r="BK1266" s="6">
        <v>10000</v>
      </c>
      <c r="BL1266" s="6">
        <v>28000</v>
      </c>
      <c r="BM1266" s="2">
        <v>28000</v>
      </c>
      <c r="BN1266">
        <f>InvoiceTable[[#This Row],[Giảm giá]]*InvoiceTable[[#This Row],[Số lượng]]</f>
        <v>10000</v>
      </c>
    </row>
    <row r="1267" spans="1:66" x14ac:dyDescent="0.25">
      <c r="A1267" t="s">
        <v>65</v>
      </c>
      <c r="B1267" t="s">
        <v>3448</v>
      </c>
      <c r="F1267" s="2"/>
      <c r="G1267" s="3">
        <v>46003.464806863427</v>
      </c>
      <c r="H1267" s="3">
        <v>46003.464644988424</v>
      </c>
      <c r="I1267" s="4" t="s">
        <v>96</v>
      </c>
      <c r="J1267" t="s">
        <v>3449</v>
      </c>
      <c r="K1267" t="s">
        <v>67</v>
      </c>
      <c r="L1267" t="s">
        <v>2118</v>
      </c>
      <c r="M1267" t="s">
        <v>2119</v>
      </c>
      <c r="N1267" t="s">
        <v>2120</v>
      </c>
      <c r="O1267" t="s">
        <v>2121</v>
      </c>
      <c r="P1267" t="s">
        <v>2122</v>
      </c>
      <c r="S1267" s="5"/>
      <c r="T1267" t="s">
        <v>72</v>
      </c>
      <c r="U1267" t="s">
        <v>73</v>
      </c>
      <c r="V1267" t="s">
        <v>74</v>
      </c>
      <c r="W1267" t="s">
        <v>73</v>
      </c>
      <c r="AE1267" s="2"/>
      <c r="AF1267" s="2"/>
      <c r="AG1267" s="2"/>
      <c r="AH1267" s="2"/>
      <c r="AK1267" t="s">
        <v>313</v>
      </c>
      <c r="AL1267" s="2">
        <v>1988250</v>
      </c>
      <c r="AM1267" s="2">
        <v>0</v>
      </c>
      <c r="AN1267" s="2"/>
      <c r="AO1267" s="2">
        <v>0</v>
      </c>
      <c r="AP1267" s="2">
        <v>1988250</v>
      </c>
      <c r="AQ1267" s="2">
        <v>1988250</v>
      </c>
      <c r="AR1267" s="2">
        <v>1988250</v>
      </c>
      <c r="AS1267" s="2">
        <v>0</v>
      </c>
      <c r="AT1267" s="2">
        <v>0</v>
      </c>
      <c r="AU1267" s="2">
        <v>0</v>
      </c>
      <c r="AV1267" s="2">
        <v>0</v>
      </c>
      <c r="AW1267" s="4"/>
      <c r="AX1267" t="s">
        <v>75</v>
      </c>
      <c r="AZ1267" t="s">
        <v>2724</v>
      </c>
      <c r="BA1267" t="s">
        <v>67</v>
      </c>
      <c r="BB1267" t="s">
        <v>2725</v>
      </c>
      <c r="BC1267" t="s">
        <v>2726</v>
      </c>
      <c r="BD1267" t="s">
        <v>79</v>
      </c>
      <c r="BE1267" t="s">
        <v>195</v>
      </c>
      <c r="BF1267" s="5">
        <v>46419</v>
      </c>
      <c r="BH1267">
        <v>1</v>
      </c>
      <c r="BI1267" s="6">
        <v>2200000</v>
      </c>
      <c r="BJ1267" s="6">
        <v>36</v>
      </c>
      <c r="BK1267" s="6">
        <v>792000</v>
      </c>
      <c r="BL1267" s="6">
        <v>1408000</v>
      </c>
      <c r="BM1267" s="2">
        <v>1408000</v>
      </c>
      <c r="BN1267">
        <f>InvoiceTable[[#This Row],[Giảm giá]]*InvoiceTable[[#This Row],[Số lượng]]</f>
        <v>792000</v>
      </c>
    </row>
    <row r="1268" spans="1:66" x14ac:dyDescent="0.25">
      <c r="A1268" t="s">
        <v>65</v>
      </c>
      <c r="B1268" t="s">
        <v>3455</v>
      </c>
      <c r="F1268" s="2"/>
      <c r="G1268" s="3">
        <v>46003.461589733794</v>
      </c>
      <c r="H1268" s="3">
        <v>46003.461589849539</v>
      </c>
      <c r="I1268" s="4" t="s">
        <v>67</v>
      </c>
      <c r="J1268" t="s">
        <v>3456</v>
      </c>
      <c r="K1268" t="s">
        <v>67</v>
      </c>
      <c r="L1268" t="s">
        <v>2118</v>
      </c>
      <c r="M1268" t="s">
        <v>2119</v>
      </c>
      <c r="N1268" t="s">
        <v>2120</v>
      </c>
      <c r="O1268" t="s">
        <v>2121</v>
      </c>
      <c r="P1268" t="s">
        <v>2122</v>
      </c>
      <c r="S1268" s="5"/>
      <c r="T1268" t="s">
        <v>72</v>
      </c>
      <c r="U1268" t="s">
        <v>73</v>
      </c>
      <c r="V1268" t="s">
        <v>74</v>
      </c>
      <c r="W1268" t="s">
        <v>73</v>
      </c>
      <c r="AE1268" s="2"/>
      <c r="AF1268" s="2"/>
      <c r="AG1268" s="2"/>
      <c r="AH1268" s="2"/>
      <c r="AK1268" t="s">
        <v>282</v>
      </c>
      <c r="AL1268" s="2">
        <v>1072500</v>
      </c>
      <c r="AM1268" s="2">
        <v>0</v>
      </c>
      <c r="AN1268" s="2"/>
      <c r="AO1268" s="2">
        <v>0</v>
      </c>
      <c r="AP1268" s="2">
        <v>1072500</v>
      </c>
      <c r="AQ1268" s="2">
        <v>1072500</v>
      </c>
      <c r="AR1268" s="2">
        <v>1072500</v>
      </c>
      <c r="AS1268" s="2">
        <v>0</v>
      </c>
      <c r="AT1268" s="2">
        <v>0</v>
      </c>
      <c r="AU1268" s="2">
        <v>0</v>
      </c>
      <c r="AV1268" s="2">
        <v>0</v>
      </c>
      <c r="AW1268" s="4"/>
      <c r="AX1268" t="s">
        <v>75</v>
      </c>
      <c r="AZ1268" t="s">
        <v>1841</v>
      </c>
      <c r="BA1268" t="s">
        <v>67</v>
      </c>
      <c r="BB1268" t="s">
        <v>1842</v>
      </c>
      <c r="BC1268" t="s">
        <v>223</v>
      </c>
      <c r="BD1268" t="s">
        <v>79</v>
      </c>
      <c r="BE1268" t="s">
        <v>142</v>
      </c>
      <c r="BF1268" s="5">
        <v>46844</v>
      </c>
      <c r="BG1268" t="s">
        <v>67</v>
      </c>
      <c r="BH1268">
        <v>1</v>
      </c>
      <c r="BI1268" s="6">
        <v>1950000</v>
      </c>
      <c r="BJ1268" s="6">
        <v>45</v>
      </c>
      <c r="BK1268" s="6">
        <v>877500</v>
      </c>
      <c r="BL1268" s="6">
        <v>1072500</v>
      </c>
      <c r="BM1268" s="2">
        <v>1072500</v>
      </c>
      <c r="BN1268">
        <f>InvoiceTable[[#This Row],[Giảm giá]]*InvoiceTable[[#This Row],[Số lượng]]</f>
        <v>877500</v>
      </c>
    </row>
    <row r="1269" spans="1:66" x14ac:dyDescent="0.25">
      <c r="A1269" t="s">
        <v>65</v>
      </c>
      <c r="B1269" t="s">
        <v>3457</v>
      </c>
      <c r="F1269" s="2"/>
      <c r="G1269" s="3">
        <v>46003.449840046298</v>
      </c>
      <c r="H1269" s="3">
        <v>46003.449828668985</v>
      </c>
      <c r="I1269" s="4" t="s">
        <v>3298</v>
      </c>
      <c r="J1269" t="s">
        <v>67</v>
      </c>
      <c r="K1269" t="s">
        <v>67</v>
      </c>
      <c r="L1269" t="s">
        <v>2795</v>
      </c>
      <c r="M1269" t="s">
        <v>2796</v>
      </c>
      <c r="N1269" t="s">
        <v>67</v>
      </c>
      <c r="O1269" t="s">
        <v>2797</v>
      </c>
      <c r="P1269" t="s">
        <v>2798</v>
      </c>
      <c r="S1269" s="5"/>
      <c r="T1269" t="s">
        <v>72</v>
      </c>
      <c r="U1269" t="s">
        <v>87</v>
      </c>
      <c r="V1269" t="s">
        <v>74</v>
      </c>
      <c r="W1269" t="s">
        <v>87</v>
      </c>
      <c r="AE1269" s="2"/>
      <c r="AF1269" s="2"/>
      <c r="AG1269" s="2"/>
      <c r="AH1269" s="2"/>
      <c r="AL1269" s="2">
        <v>235000</v>
      </c>
      <c r="AM1269" s="2">
        <v>0</v>
      </c>
      <c r="AN1269" s="2"/>
      <c r="AO1269" s="2">
        <v>0</v>
      </c>
      <c r="AP1269" s="2">
        <v>235000</v>
      </c>
      <c r="AQ1269" s="2">
        <v>0</v>
      </c>
      <c r="AR1269" s="2">
        <v>0</v>
      </c>
      <c r="AS1269" s="2">
        <v>0</v>
      </c>
      <c r="AT1269" s="2">
        <v>0</v>
      </c>
      <c r="AU1269" s="2">
        <v>0</v>
      </c>
      <c r="AV1269" s="2">
        <v>0</v>
      </c>
      <c r="AW1269" s="4"/>
      <c r="AX1269" t="s">
        <v>75</v>
      </c>
      <c r="AZ1269" t="s">
        <v>438</v>
      </c>
      <c r="BA1269" t="s">
        <v>67</v>
      </c>
      <c r="BB1269" t="s">
        <v>439</v>
      </c>
      <c r="BC1269" t="s">
        <v>440</v>
      </c>
      <c r="BD1269" t="s">
        <v>79</v>
      </c>
      <c r="BE1269" t="s">
        <v>216</v>
      </c>
      <c r="BF1269" s="5">
        <v>46784</v>
      </c>
      <c r="BH1269">
        <v>1</v>
      </c>
      <c r="BI1269" s="6">
        <v>450000</v>
      </c>
      <c r="BJ1269" s="6">
        <v>0</v>
      </c>
      <c r="BK1269" s="6">
        <v>215000</v>
      </c>
      <c r="BL1269" s="6">
        <v>235000</v>
      </c>
      <c r="BM1269" s="2">
        <v>235000</v>
      </c>
      <c r="BN1269">
        <f>InvoiceTable[[#This Row],[Giảm giá]]*InvoiceTable[[#This Row],[Số lượng]]</f>
        <v>215000</v>
      </c>
    </row>
    <row r="1270" spans="1:66" x14ac:dyDescent="0.25">
      <c r="A1270" t="s">
        <v>65</v>
      </c>
      <c r="B1270" t="s">
        <v>3458</v>
      </c>
      <c r="F1270" s="2"/>
      <c r="G1270" s="3">
        <v>46003.444783946761</v>
      </c>
      <c r="H1270" s="3">
        <v>46003.444784178238</v>
      </c>
      <c r="I1270" s="4" t="s">
        <v>67</v>
      </c>
      <c r="J1270" t="s">
        <v>67</v>
      </c>
      <c r="K1270" t="s">
        <v>67</v>
      </c>
      <c r="L1270" t="s">
        <v>1875</v>
      </c>
      <c r="M1270" t="s">
        <v>1876</v>
      </c>
      <c r="N1270" t="s">
        <v>67</v>
      </c>
      <c r="O1270" t="s">
        <v>1877</v>
      </c>
      <c r="S1270" s="5"/>
      <c r="T1270" t="s">
        <v>72</v>
      </c>
      <c r="U1270" t="s">
        <v>87</v>
      </c>
      <c r="V1270" t="s">
        <v>74</v>
      </c>
      <c r="W1270" t="s">
        <v>87</v>
      </c>
      <c r="AE1270" s="2"/>
      <c r="AF1270" s="2"/>
      <c r="AG1270" s="2"/>
      <c r="AH1270" s="2"/>
      <c r="AL1270" s="2">
        <v>712480</v>
      </c>
      <c r="AM1270" s="2">
        <v>0</v>
      </c>
      <c r="AN1270" s="2"/>
      <c r="AO1270" s="2">
        <v>0</v>
      </c>
      <c r="AP1270" s="2">
        <v>712480</v>
      </c>
      <c r="AQ1270" s="2">
        <v>712139</v>
      </c>
      <c r="AR1270" s="2">
        <v>712139</v>
      </c>
      <c r="AS1270" s="2">
        <v>0</v>
      </c>
      <c r="AT1270" s="2">
        <v>0</v>
      </c>
      <c r="AU1270" s="2">
        <v>0</v>
      </c>
      <c r="AV1270" s="2">
        <v>0</v>
      </c>
      <c r="AW1270" s="4"/>
      <c r="AX1270" t="s">
        <v>75</v>
      </c>
      <c r="AZ1270" t="s">
        <v>1520</v>
      </c>
      <c r="BA1270" t="s">
        <v>67</v>
      </c>
      <c r="BB1270" t="s">
        <v>1521</v>
      </c>
      <c r="BC1270" t="s">
        <v>93</v>
      </c>
      <c r="BD1270" t="s">
        <v>79</v>
      </c>
      <c r="BE1270" t="s">
        <v>131</v>
      </c>
      <c r="BF1270" s="5">
        <v>46874</v>
      </c>
      <c r="BH1270">
        <v>2</v>
      </c>
      <c r="BI1270" s="6">
        <v>584000</v>
      </c>
      <c r="BJ1270" s="6">
        <v>39</v>
      </c>
      <c r="BK1270" s="6">
        <v>227760</v>
      </c>
      <c r="BL1270" s="6">
        <v>356240</v>
      </c>
      <c r="BM1270" s="2">
        <v>712480</v>
      </c>
      <c r="BN1270">
        <f>InvoiceTable[[#This Row],[Giảm giá]]*InvoiceTable[[#This Row],[Số lượng]]</f>
        <v>455520</v>
      </c>
    </row>
    <row r="1271" spans="1:66" x14ac:dyDescent="0.25">
      <c r="A1271" t="s">
        <v>65</v>
      </c>
      <c r="B1271" t="s">
        <v>3459</v>
      </c>
      <c r="F1271" s="2"/>
      <c r="G1271" s="3">
        <v>46003.433967824072</v>
      </c>
      <c r="H1271" s="3">
        <v>46003.43396790509</v>
      </c>
      <c r="I1271" s="4" t="s">
        <v>67</v>
      </c>
      <c r="J1271" t="s">
        <v>67</v>
      </c>
      <c r="K1271" t="s">
        <v>67</v>
      </c>
      <c r="L1271" t="s">
        <v>647</v>
      </c>
      <c r="M1271" t="s">
        <v>648</v>
      </c>
      <c r="N1271" t="s">
        <v>67</v>
      </c>
      <c r="O1271" t="s">
        <v>649</v>
      </c>
      <c r="P1271" t="s">
        <v>650</v>
      </c>
      <c r="S1271" s="5"/>
      <c r="T1271" t="s">
        <v>72</v>
      </c>
      <c r="U1271" t="s">
        <v>87</v>
      </c>
      <c r="V1271" t="s">
        <v>74</v>
      </c>
      <c r="W1271" t="s">
        <v>87</v>
      </c>
      <c r="AE1271" s="2"/>
      <c r="AF1271" s="2"/>
      <c r="AG1271" s="2"/>
      <c r="AH1271" s="2"/>
      <c r="AL1271" s="2">
        <v>3200000</v>
      </c>
      <c r="AM1271" s="2">
        <v>0</v>
      </c>
      <c r="AN1271" s="2"/>
      <c r="AO1271" s="2">
        <v>0</v>
      </c>
      <c r="AP1271" s="2">
        <v>3200000</v>
      </c>
      <c r="AQ1271" s="2">
        <v>0</v>
      </c>
      <c r="AR1271" s="2">
        <v>0</v>
      </c>
      <c r="AS1271" s="2">
        <v>0</v>
      </c>
      <c r="AT1271" s="2">
        <v>0</v>
      </c>
      <c r="AU1271" s="2">
        <v>0</v>
      </c>
      <c r="AV1271" s="2">
        <v>0</v>
      </c>
      <c r="AW1271" s="4"/>
      <c r="AX1271" t="s">
        <v>75</v>
      </c>
      <c r="AZ1271" t="s">
        <v>3460</v>
      </c>
      <c r="BA1271" t="s">
        <v>67</v>
      </c>
      <c r="BB1271" t="s">
        <v>3461</v>
      </c>
      <c r="BC1271" t="s">
        <v>784</v>
      </c>
      <c r="BD1271" t="s">
        <v>79</v>
      </c>
      <c r="BE1271" t="s">
        <v>2583</v>
      </c>
      <c r="BF1271" s="5">
        <v>46660</v>
      </c>
      <c r="BG1271" t="s">
        <v>67</v>
      </c>
      <c r="BH1271">
        <v>1</v>
      </c>
      <c r="BI1271" s="6">
        <v>4179000</v>
      </c>
      <c r="BJ1271" s="6">
        <v>0</v>
      </c>
      <c r="BK1271" s="6">
        <v>979000</v>
      </c>
      <c r="BL1271" s="6">
        <v>3200000</v>
      </c>
      <c r="BM1271" s="2">
        <v>3200000</v>
      </c>
      <c r="BN1271">
        <f>InvoiceTable[[#This Row],[Giảm giá]]*InvoiceTable[[#This Row],[Số lượng]]</f>
        <v>979000</v>
      </c>
    </row>
    <row r="1272" spans="1:66" x14ac:dyDescent="0.25">
      <c r="A1272" t="s">
        <v>65</v>
      </c>
      <c r="B1272" t="s">
        <v>3462</v>
      </c>
      <c r="F1272" s="2"/>
      <c r="G1272" s="3">
        <v>46003.425157407408</v>
      </c>
      <c r="H1272" s="3">
        <v>46003.425134375</v>
      </c>
      <c r="I1272" s="4" t="s">
        <v>3281</v>
      </c>
      <c r="J1272" t="s">
        <v>67</v>
      </c>
      <c r="K1272" t="s">
        <v>67</v>
      </c>
      <c r="L1272" t="s">
        <v>1099</v>
      </c>
      <c r="M1272" t="s">
        <v>1100</v>
      </c>
      <c r="N1272" t="s">
        <v>67</v>
      </c>
      <c r="O1272" t="s">
        <v>1101</v>
      </c>
      <c r="P1272" t="s">
        <v>1102</v>
      </c>
      <c r="S1272" s="5"/>
      <c r="T1272" t="s">
        <v>72</v>
      </c>
      <c r="U1272" t="s">
        <v>87</v>
      </c>
      <c r="V1272" t="s">
        <v>74</v>
      </c>
      <c r="W1272" t="s">
        <v>87</v>
      </c>
      <c r="AE1272" s="2"/>
      <c r="AF1272" s="2"/>
      <c r="AG1272" s="2"/>
      <c r="AH1272" s="2"/>
      <c r="AL1272" s="2">
        <v>2997500</v>
      </c>
      <c r="AM1272" s="2">
        <v>0</v>
      </c>
      <c r="AN1272" s="2"/>
      <c r="AO1272" s="2">
        <v>0</v>
      </c>
      <c r="AP1272" s="2">
        <v>2997500</v>
      </c>
      <c r="AQ1272" s="2">
        <v>0</v>
      </c>
      <c r="AR1272" s="2">
        <v>0</v>
      </c>
      <c r="AS1272" s="2">
        <v>0</v>
      </c>
      <c r="AT1272" s="2">
        <v>0</v>
      </c>
      <c r="AU1272" s="2">
        <v>0</v>
      </c>
      <c r="AV1272" s="2">
        <v>0</v>
      </c>
      <c r="AW1272" s="4"/>
      <c r="AX1272" t="s">
        <v>75</v>
      </c>
      <c r="AZ1272" t="s">
        <v>2301</v>
      </c>
      <c r="BA1272" t="s">
        <v>67</v>
      </c>
      <c r="BB1272" t="s">
        <v>2302</v>
      </c>
      <c r="BC1272" t="s">
        <v>587</v>
      </c>
      <c r="BD1272" t="s">
        <v>79</v>
      </c>
      <c r="BE1272" t="s">
        <v>434</v>
      </c>
      <c r="BF1272" s="5">
        <v>46661</v>
      </c>
      <c r="BH1272">
        <v>1</v>
      </c>
      <c r="BI1272" s="6">
        <v>3970000</v>
      </c>
      <c r="BJ1272" s="6">
        <v>24.5</v>
      </c>
      <c r="BK1272" s="6">
        <v>972500</v>
      </c>
      <c r="BL1272" s="6">
        <v>2997500</v>
      </c>
      <c r="BM1272" s="2">
        <v>2997500</v>
      </c>
      <c r="BN1272">
        <f>InvoiceTable[[#This Row],[Giảm giá]]*InvoiceTable[[#This Row],[Số lượng]]</f>
        <v>972500</v>
      </c>
    </row>
    <row r="1273" spans="1:66" x14ac:dyDescent="0.25">
      <c r="A1273" t="s">
        <v>65</v>
      </c>
      <c r="B1273" t="s">
        <v>3463</v>
      </c>
      <c r="F1273" s="2"/>
      <c r="G1273" s="3">
        <v>46003.424568599534</v>
      </c>
      <c r="H1273" s="3">
        <v>46003.42456890046</v>
      </c>
      <c r="I1273" s="4" t="s">
        <v>67</v>
      </c>
      <c r="J1273" t="s">
        <v>3464</v>
      </c>
      <c r="K1273" t="s">
        <v>67</v>
      </c>
      <c r="L1273" t="s">
        <v>1257</v>
      </c>
      <c r="M1273" t="s">
        <v>1258</v>
      </c>
      <c r="N1273" t="s">
        <v>67</v>
      </c>
      <c r="O1273" t="s">
        <v>1259</v>
      </c>
      <c r="P1273" t="s">
        <v>1260</v>
      </c>
      <c r="S1273" s="5"/>
      <c r="T1273" t="s">
        <v>72</v>
      </c>
      <c r="U1273" t="s">
        <v>87</v>
      </c>
      <c r="V1273" t="s">
        <v>74</v>
      </c>
      <c r="W1273" t="s">
        <v>87</v>
      </c>
      <c r="AE1273" s="2"/>
      <c r="AF1273" s="2"/>
      <c r="AG1273" s="2"/>
      <c r="AH1273" s="2"/>
      <c r="AL1273" s="2">
        <v>5420000</v>
      </c>
      <c r="AM1273" s="2">
        <v>0</v>
      </c>
      <c r="AN1273" s="2"/>
      <c r="AO1273" s="2">
        <v>0</v>
      </c>
      <c r="AP1273" s="2">
        <v>5420000</v>
      </c>
      <c r="AQ1273" s="2">
        <v>0</v>
      </c>
      <c r="AR1273" s="2">
        <v>0</v>
      </c>
      <c r="AS1273" s="2">
        <v>0</v>
      </c>
      <c r="AT1273" s="2">
        <v>0</v>
      </c>
      <c r="AU1273" s="2">
        <v>0</v>
      </c>
      <c r="AV1273" s="2">
        <v>0</v>
      </c>
      <c r="AW1273" s="4"/>
      <c r="AX1273" t="s">
        <v>75</v>
      </c>
      <c r="AZ1273" t="s">
        <v>623</v>
      </c>
      <c r="BA1273" t="s">
        <v>67</v>
      </c>
      <c r="BB1273" t="s">
        <v>624</v>
      </c>
      <c r="BC1273" t="s">
        <v>622</v>
      </c>
      <c r="BD1273" t="s">
        <v>79</v>
      </c>
      <c r="BE1273" t="s">
        <v>117</v>
      </c>
      <c r="BF1273" s="5">
        <v>46569</v>
      </c>
      <c r="BG1273" t="s">
        <v>67</v>
      </c>
      <c r="BH1273">
        <v>1</v>
      </c>
      <c r="BI1273" s="6">
        <v>6850000</v>
      </c>
      <c r="BJ1273" s="6">
        <v>0</v>
      </c>
      <c r="BK1273" s="6">
        <v>1950000</v>
      </c>
      <c r="BL1273" s="6">
        <v>4900000</v>
      </c>
      <c r="BM1273" s="2">
        <v>4900000</v>
      </c>
      <c r="BN1273">
        <f>InvoiceTable[[#This Row],[Giảm giá]]*InvoiceTable[[#This Row],[Số lượng]]</f>
        <v>1950000</v>
      </c>
    </row>
    <row r="1274" spans="1:66" x14ac:dyDescent="0.25">
      <c r="A1274" t="s">
        <v>65</v>
      </c>
      <c r="B1274" t="s">
        <v>3463</v>
      </c>
      <c r="F1274" s="2"/>
      <c r="G1274" s="3">
        <v>46003.424568599534</v>
      </c>
      <c r="H1274" s="3">
        <v>46003.42456890046</v>
      </c>
      <c r="I1274" s="4" t="s">
        <v>67</v>
      </c>
      <c r="J1274" t="s">
        <v>3464</v>
      </c>
      <c r="K1274" t="s">
        <v>67</v>
      </c>
      <c r="L1274" t="s">
        <v>1257</v>
      </c>
      <c r="M1274" t="s">
        <v>1258</v>
      </c>
      <c r="N1274" t="s">
        <v>67</v>
      </c>
      <c r="O1274" t="s">
        <v>1259</v>
      </c>
      <c r="P1274" t="s">
        <v>1260</v>
      </c>
      <c r="S1274" s="5"/>
      <c r="T1274" t="s">
        <v>72</v>
      </c>
      <c r="U1274" t="s">
        <v>87</v>
      </c>
      <c r="V1274" t="s">
        <v>74</v>
      </c>
      <c r="W1274" t="s">
        <v>87</v>
      </c>
      <c r="AE1274" s="2"/>
      <c r="AF1274" s="2"/>
      <c r="AG1274" s="2"/>
      <c r="AH1274" s="2"/>
      <c r="AL1274" s="2">
        <v>5420000</v>
      </c>
      <c r="AM1274" s="2">
        <v>0</v>
      </c>
      <c r="AN1274" s="2"/>
      <c r="AO1274" s="2">
        <v>0</v>
      </c>
      <c r="AP1274" s="2">
        <v>5420000</v>
      </c>
      <c r="AQ1274" s="2">
        <v>0</v>
      </c>
      <c r="AR1274" s="2">
        <v>0</v>
      </c>
      <c r="AS1274" s="2">
        <v>0</v>
      </c>
      <c r="AT1274" s="2">
        <v>0</v>
      </c>
      <c r="AU1274" s="2">
        <v>0</v>
      </c>
      <c r="AV1274" s="2">
        <v>0</v>
      </c>
      <c r="AW1274" s="4"/>
      <c r="AX1274" t="s">
        <v>75</v>
      </c>
      <c r="AZ1274" t="s">
        <v>2999</v>
      </c>
      <c r="BA1274" t="s">
        <v>67</v>
      </c>
      <c r="BB1274" t="s">
        <v>3000</v>
      </c>
      <c r="BC1274" t="s">
        <v>3001</v>
      </c>
      <c r="BD1274" t="s">
        <v>79</v>
      </c>
      <c r="BE1274" t="s">
        <v>131</v>
      </c>
      <c r="BF1274" s="5">
        <v>46874</v>
      </c>
      <c r="BH1274">
        <v>1</v>
      </c>
      <c r="BI1274" s="6">
        <v>900000</v>
      </c>
      <c r="BJ1274" s="6">
        <v>0</v>
      </c>
      <c r="BK1274" s="6">
        <v>380000</v>
      </c>
      <c r="BL1274" s="6">
        <v>520000</v>
      </c>
      <c r="BM1274" s="2">
        <v>520000</v>
      </c>
      <c r="BN1274">
        <f>InvoiceTable[[#This Row],[Giảm giá]]*InvoiceTable[[#This Row],[Số lượng]]</f>
        <v>380000</v>
      </c>
    </row>
    <row r="1275" spans="1:66" x14ac:dyDescent="0.25">
      <c r="A1275" t="s">
        <v>65</v>
      </c>
      <c r="B1275" t="s">
        <v>3465</v>
      </c>
      <c r="F1275" s="2"/>
      <c r="G1275" s="3">
        <v>46003.418820023151</v>
      </c>
      <c r="H1275" s="3">
        <v>46003.418785497684</v>
      </c>
      <c r="I1275" s="4" t="s">
        <v>3066</v>
      </c>
      <c r="J1275" t="s">
        <v>67</v>
      </c>
      <c r="K1275" t="s">
        <v>67</v>
      </c>
      <c r="L1275" t="s">
        <v>3466</v>
      </c>
      <c r="M1275" t="s">
        <v>3467</v>
      </c>
      <c r="N1275" t="s">
        <v>3468</v>
      </c>
      <c r="O1275" t="s">
        <v>3469</v>
      </c>
      <c r="P1275" t="s">
        <v>3470</v>
      </c>
      <c r="S1275" s="5"/>
      <c r="T1275" t="s">
        <v>72</v>
      </c>
      <c r="U1275" t="s">
        <v>87</v>
      </c>
      <c r="V1275" t="s">
        <v>74</v>
      </c>
      <c r="W1275" t="s">
        <v>87</v>
      </c>
      <c r="AE1275" s="2"/>
      <c r="AF1275" s="2"/>
      <c r="AG1275" s="2"/>
      <c r="AH1275" s="2"/>
      <c r="AL1275" s="2">
        <v>132000</v>
      </c>
      <c r="AM1275" s="2">
        <v>0</v>
      </c>
      <c r="AN1275" s="2"/>
      <c r="AO1275" s="2">
        <v>0</v>
      </c>
      <c r="AP1275" s="2">
        <v>132000</v>
      </c>
      <c r="AQ1275" s="2">
        <v>0</v>
      </c>
      <c r="AR1275" s="2">
        <v>0</v>
      </c>
      <c r="AS1275" s="2">
        <v>0</v>
      </c>
      <c r="AT1275" s="2">
        <v>0</v>
      </c>
      <c r="AU1275" s="2">
        <v>0</v>
      </c>
      <c r="AV1275" s="2">
        <v>0</v>
      </c>
      <c r="AW1275" s="4"/>
      <c r="AX1275" t="s">
        <v>75</v>
      </c>
      <c r="AZ1275" t="s">
        <v>1866</v>
      </c>
      <c r="BA1275" t="s">
        <v>67</v>
      </c>
      <c r="BB1275" t="s">
        <v>1867</v>
      </c>
      <c r="BC1275" t="s">
        <v>126</v>
      </c>
      <c r="BD1275" t="s">
        <v>79</v>
      </c>
      <c r="BE1275" t="s">
        <v>216</v>
      </c>
      <c r="BF1275" s="5">
        <v>46784</v>
      </c>
      <c r="BH1275">
        <v>2</v>
      </c>
      <c r="BI1275" s="6">
        <v>110000</v>
      </c>
      <c r="BJ1275" s="6">
        <v>40</v>
      </c>
      <c r="BK1275" s="6">
        <v>44000</v>
      </c>
      <c r="BL1275" s="6">
        <v>66000</v>
      </c>
      <c r="BM1275" s="2">
        <v>132000</v>
      </c>
      <c r="BN1275">
        <f>InvoiceTable[[#This Row],[Giảm giá]]*InvoiceTable[[#This Row],[Số lượng]]</f>
        <v>88000</v>
      </c>
    </row>
    <row r="1276" spans="1:66" x14ac:dyDescent="0.25">
      <c r="A1276" t="s">
        <v>65</v>
      </c>
      <c r="B1276" t="s">
        <v>3471</v>
      </c>
      <c r="F1276" s="2"/>
      <c r="G1276" s="3">
        <v>46003.418157754626</v>
      </c>
      <c r="H1276" s="3">
        <v>46003.418157835651</v>
      </c>
      <c r="I1276" s="4" t="s">
        <v>67</v>
      </c>
      <c r="J1276" t="s">
        <v>67</v>
      </c>
      <c r="K1276" t="s">
        <v>67</v>
      </c>
      <c r="L1276" t="s">
        <v>3466</v>
      </c>
      <c r="M1276" t="s">
        <v>3467</v>
      </c>
      <c r="N1276" t="s">
        <v>3468</v>
      </c>
      <c r="O1276" t="s">
        <v>3469</v>
      </c>
      <c r="P1276" t="s">
        <v>3470</v>
      </c>
      <c r="S1276" s="5"/>
      <c r="T1276" t="s">
        <v>72</v>
      </c>
      <c r="U1276" t="s">
        <v>87</v>
      </c>
      <c r="V1276" t="s">
        <v>74</v>
      </c>
      <c r="W1276" t="s">
        <v>87</v>
      </c>
      <c r="AE1276" s="2"/>
      <c r="AF1276" s="2"/>
      <c r="AG1276" s="2"/>
      <c r="AH1276" s="2"/>
      <c r="AL1276" s="2">
        <v>4054958</v>
      </c>
      <c r="AM1276" s="2">
        <v>0</v>
      </c>
      <c r="AN1276" s="2"/>
      <c r="AO1276" s="2">
        <v>0</v>
      </c>
      <c r="AP1276" s="2">
        <v>4054958</v>
      </c>
      <c r="AQ1276" s="2">
        <v>0</v>
      </c>
      <c r="AR1276" s="2">
        <v>0</v>
      </c>
      <c r="AS1276" s="2">
        <v>0</v>
      </c>
      <c r="AT1276" s="2">
        <v>0</v>
      </c>
      <c r="AU1276" s="2">
        <v>0</v>
      </c>
      <c r="AV1276" s="2">
        <v>0</v>
      </c>
      <c r="AW1276" s="4"/>
      <c r="AX1276" t="s">
        <v>75</v>
      </c>
      <c r="AZ1276" t="s">
        <v>3236</v>
      </c>
      <c r="BA1276" t="s">
        <v>67</v>
      </c>
      <c r="BB1276" t="s">
        <v>3237</v>
      </c>
      <c r="BC1276" t="s">
        <v>2169</v>
      </c>
      <c r="BD1276" t="s">
        <v>79</v>
      </c>
      <c r="BE1276" t="s">
        <v>131</v>
      </c>
      <c r="BF1276" s="5">
        <v>46874</v>
      </c>
      <c r="BH1276">
        <v>1</v>
      </c>
      <c r="BI1276" s="6">
        <v>990000</v>
      </c>
      <c r="BJ1276" s="6">
        <v>42</v>
      </c>
      <c r="BK1276" s="6">
        <v>415800</v>
      </c>
      <c r="BL1276" s="6">
        <v>574200</v>
      </c>
      <c r="BM1276" s="2">
        <v>574200</v>
      </c>
      <c r="BN1276">
        <f>InvoiceTable[[#This Row],[Giảm giá]]*InvoiceTable[[#This Row],[Số lượng]]</f>
        <v>415800</v>
      </c>
    </row>
    <row r="1277" spans="1:66" x14ac:dyDescent="0.25">
      <c r="A1277" t="s">
        <v>65</v>
      </c>
      <c r="B1277" t="s">
        <v>3471</v>
      </c>
      <c r="F1277" s="2"/>
      <c r="G1277" s="3">
        <v>46003.418157754626</v>
      </c>
      <c r="H1277" s="3">
        <v>46003.418157835651</v>
      </c>
      <c r="I1277" s="4" t="s">
        <v>67</v>
      </c>
      <c r="J1277" t="s">
        <v>67</v>
      </c>
      <c r="K1277" t="s">
        <v>67</v>
      </c>
      <c r="L1277" t="s">
        <v>3466</v>
      </c>
      <c r="M1277" t="s">
        <v>3467</v>
      </c>
      <c r="N1277" t="s">
        <v>3468</v>
      </c>
      <c r="O1277" t="s">
        <v>3469</v>
      </c>
      <c r="P1277" t="s">
        <v>3470</v>
      </c>
      <c r="S1277" s="5"/>
      <c r="T1277" t="s">
        <v>72</v>
      </c>
      <c r="U1277" t="s">
        <v>87</v>
      </c>
      <c r="V1277" t="s">
        <v>74</v>
      </c>
      <c r="W1277" t="s">
        <v>87</v>
      </c>
      <c r="AE1277" s="2"/>
      <c r="AF1277" s="2"/>
      <c r="AG1277" s="2"/>
      <c r="AH1277" s="2"/>
      <c r="AL1277" s="2">
        <v>4054958</v>
      </c>
      <c r="AM1277" s="2">
        <v>0</v>
      </c>
      <c r="AN1277" s="2"/>
      <c r="AO1277" s="2">
        <v>0</v>
      </c>
      <c r="AP1277" s="2">
        <v>4054958</v>
      </c>
      <c r="AQ1277" s="2">
        <v>0</v>
      </c>
      <c r="AR1277" s="2">
        <v>0</v>
      </c>
      <c r="AS1277" s="2">
        <v>0</v>
      </c>
      <c r="AT1277" s="2">
        <v>0</v>
      </c>
      <c r="AU1277" s="2">
        <v>0</v>
      </c>
      <c r="AV1277" s="2">
        <v>0</v>
      </c>
      <c r="AW1277" s="4"/>
      <c r="AX1277" t="s">
        <v>75</v>
      </c>
      <c r="AZ1277" t="s">
        <v>213</v>
      </c>
      <c r="BA1277" t="s">
        <v>67</v>
      </c>
      <c r="BB1277" t="s">
        <v>214</v>
      </c>
      <c r="BC1277" t="s">
        <v>215</v>
      </c>
      <c r="BD1277" t="s">
        <v>79</v>
      </c>
      <c r="BE1277" t="s">
        <v>216</v>
      </c>
      <c r="BF1277" s="5">
        <v>46784</v>
      </c>
      <c r="BH1277">
        <v>1</v>
      </c>
      <c r="BI1277" s="6">
        <v>760000</v>
      </c>
      <c r="BJ1277" s="6">
        <v>52</v>
      </c>
      <c r="BK1277" s="6">
        <v>395200</v>
      </c>
      <c r="BL1277" s="6">
        <v>364800</v>
      </c>
      <c r="BM1277" s="2">
        <v>364800</v>
      </c>
      <c r="BN1277">
        <f>InvoiceTable[[#This Row],[Giảm giá]]*InvoiceTable[[#This Row],[Số lượng]]</f>
        <v>395200</v>
      </c>
    </row>
    <row r="1278" spans="1:66" x14ac:dyDescent="0.25">
      <c r="A1278" t="s">
        <v>65</v>
      </c>
      <c r="B1278" t="s">
        <v>3471</v>
      </c>
      <c r="F1278" s="2"/>
      <c r="G1278" s="3">
        <v>46003.418157754626</v>
      </c>
      <c r="H1278" s="3">
        <v>46003.418157835651</v>
      </c>
      <c r="I1278" s="4" t="s">
        <v>67</v>
      </c>
      <c r="J1278" t="s">
        <v>67</v>
      </c>
      <c r="K1278" t="s">
        <v>67</v>
      </c>
      <c r="L1278" t="s">
        <v>3466</v>
      </c>
      <c r="M1278" t="s">
        <v>3467</v>
      </c>
      <c r="N1278" t="s">
        <v>3468</v>
      </c>
      <c r="O1278" t="s">
        <v>3469</v>
      </c>
      <c r="P1278" t="s">
        <v>3470</v>
      </c>
      <c r="S1278" s="5"/>
      <c r="T1278" t="s">
        <v>72</v>
      </c>
      <c r="U1278" t="s">
        <v>87</v>
      </c>
      <c r="V1278" t="s">
        <v>74</v>
      </c>
      <c r="W1278" t="s">
        <v>87</v>
      </c>
      <c r="AE1278" s="2"/>
      <c r="AF1278" s="2"/>
      <c r="AG1278" s="2"/>
      <c r="AH1278" s="2"/>
      <c r="AL1278" s="2">
        <v>4054958</v>
      </c>
      <c r="AM1278" s="2">
        <v>0</v>
      </c>
      <c r="AN1278" s="2"/>
      <c r="AO1278" s="2">
        <v>0</v>
      </c>
      <c r="AP1278" s="2">
        <v>4054958</v>
      </c>
      <c r="AQ1278" s="2">
        <v>0</v>
      </c>
      <c r="AR1278" s="2">
        <v>0</v>
      </c>
      <c r="AS1278" s="2">
        <v>0</v>
      </c>
      <c r="AT1278" s="2">
        <v>0</v>
      </c>
      <c r="AU1278" s="2">
        <v>0</v>
      </c>
      <c r="AV1278" s="2">
        <v>0</v>
      </c>
      <c r="AW1278" s="4"/>
      <c r="AX1278" t="s">
        <v>75</v>
      </c>
      <c r="AZ1278" t="s">
        <v>427</v>
      </c>
      <c r="BA1278" t="s">
        <v>67</v>
      </c>
      <c r="BB1278" t="s">
        <v>428</v>
      </c>
      <c r="BC1278" t="s">
        <v>367</v>
      </c>
      <c r="BD1278" t="s">
        <v>79</v>
      </c>
      <c r="BE1278" t="s">
        <v>228</v>
      </c>
      <c r="BF1278" s="5">
        <v>46813</v>
      </c>
      <c r="BH1278">
        <v>1</v>
      </c>
      <c r="BI1278" s="6">
        <v>535000</v>
      </c>
      <c r="BJ1278" s="6">
        <v>30</v>
      </c>
      <c r="BK1278" s="6">
        <v>160500</v>
      </c>
      <c r="BL1278" s="6">
        <v>374500</v>
      </c>
      <c r="BM1278" s="2">
        <v>374500</v>
      </c>
      <c r="BN1278">
        <f>InvoiceTable[[#This Row],[Giảm giá]]*InvoiceTable[[#This Row],[Số lượng]]</f>
        <v>160500</v>
      </c>
    </row>
    <row r="1279" spans="1:66" x14ac:dyDescent="0.25">
      <c r="A1279" t="s">
        <v>65</v>
      </c>
      <c r="B1279" t="s">
        <v>3471</v>
      </c>
      <c r="F1279" s="2"/>
      <c r="G1279" s="3">
        <v>46003.418157754626</v>
      </c>
      <c r="H1279" s="3">
        <v>46003.418157835651</v>
      </c>
      <c r="I1279" s="4" t="s">
        <v>67</v>
      </c>
      <c r="J1279" t="s">
        <v>67</v>
      </c>
      <c r="K1279" t="s">
        <v>67</v>
      </c>
      <c r="L1279" t="s">
        <v>3466</v>
      </c>
      <c r="M1279" t="s">
        <v>3467</v>
      </c>
      <c r="N1279" t="s">
        <v>3468</v>
      </c>
      <c r="O1279" t="s">
        <v>3469</v>
      </c>
      <c r="P1279" t="s">
        <v>3470</v>
      </c>
      <c r="S1279" s="5"/>
      <c r="T1279" t="s">
        <v>72</v>
      </c>
      <c r="U1279" t="s">
        <v>87</v>
      </c>
      <c r="V1279" t="s">
        <v>74</v>
      </c>
      <c r="W1279" t="s">
        <v>87</v>
      </c>
      <c r="AE1279" s="2"/>
      <c r="AF1279" s="2"/>
      <c r="AG1279" s="2"/>
      <c r="AH1279" s="2"/>
      <c r="AL1279" s="2">
        <v>4054958</v>
      </c>
      <c r="AM1279" s="2">
        <v>0</v>
      </c>
      <c r="AN1279" s="2"/>
      <c r="AO1279" s="2">
        <v>0</v>
      </c>
      <c r="AP1279" s="2">
        <v>4054958</v>
      </c>
      <c r="AQ1279" s="2">
        <v>0</v>
      </c>
      <c r="AR1279" s="2">
        <v>0</v>
      </c>
      <c r="AS1279" s="2">
        <v>0</v>
      </c>
      <c r="AT1279" s="2">
        <v>0</v>
      </c>
      <c r="AU1279" s="2">
        <v>0</v>
      </c>
      <c r="AV1279" s="2">
        <v>0</v>
      </c>
      <c r="AW1279" s="4"/>
      <c r="AX1279" t="s">
        <v>75</v>
      </c>
      <c r="AZ1279" t="s">
        <v>3472</v>
      </c>
      <c r="BA1279" t="s">
        <v>67</v>
      </c>
      <c r="BB1279" t="s">
        <v>3473</v>
      </c>
      <c r="BC1279" t="s">
        <v>173</v>
      </c>
      <c r="BD1279" t="s">
        <v>79</v>
      </c>
      <c r="BE1279" t="s">
        <v>921</v>
      </c>
      <c r="BF1279" s="5">
        <v>47392</v>
      </c>
      <c r="BH1279">
        <v>3</v>
      </c>
      <c r="BI1279" s="6">
        <v>1077000</v>
      </c>
      <c r="BJ1279" s="6">
        <v>43</v>
      </c>
      <c r="BK1279" s="6">
        <v>463110</v>
      </c>
      <c r="BL1279" s="6">
        <v>613890</v>
      </c>
      <c r="BM1279" s="2">
        <v>1841670</v>
      </c>
      <c r="BN1279">
        <f>InvoiceTable[[#This Row],[Giảm giá]]*InvoiceTable[[#This Row],[Số lượng]]</f>
        <v>1389330</v>
      </c>
    </row>
    <row r="1280" spans="1:66" x14ac:dyDescent="0.25">
      <c r="A1280" t="s">
        <v>65</v>
      </c>
      <c r="B1280" t="s">
        <v>3471</v>
      </c>
      <c r="F1280" s="2"/>
      <c r="G1280" s="3">
        <v>46003.418157754626</v>
      </c>
      <c r="H1280" s="3">
        <v>46003.418157835651</v>
      </c>
      <c r="I1280" s="4" t="s">
        <v>67</v>
      </c>
      <c r="J1280" t="s">
        <v>67</v>
      </c>
      <c r="K1280" t="s">
        <v>67</v>
      </c>
      <c r="L1280" t="s">
        <v>3466</v>
      </c>
      <c r="M1280" t="s">
        <v>3467</v>
      </c>
      <c r="N1280" t="s">
        <v>3468</v>
      </c>
      <c r="O1280" t="s">
        <v>3469</v>
      </c>
      <c r="P1280" t="s">
        <v>3470</v>
      </c>
      <c r="S1280" s="5"/>
      <c r="T1280" t="s">
        <v>72</v>
      </c>
      <c r="U1280" t="s">
        <v>87</v>
      </c>
      <c r="V1280" t="s">
        <v>74</v>
      </c>
      <c r="W1280" t="s">
        <v>87</v>
      </c>
      <c r="AE1280" s="2"/>
      <c r="AF1280" s="2"/>
      <c r="AG1280" s="2"/>
      <c r="AH1280" s="2"/>
      <c r="AL1280" s="2">
        <v>4054958</v>
      </c>
      <c r="AM1280" s="2">
        <v>0</v>
      </c>
      <c r="AN1280" s="2"/>
      <c r="AO1280" s="2">
        <v>0</v>
      </c>
      <c r="AP1280" s="2">
        <v>4054958</v>
      </c>
      <c r="AQ1280" s="2">
        <v>0</v>
      </c>
      <c r="AR1280" s="2">
        <v>0</v>
      </c>
      <c r="AS1280" s="2">
        <v>0</v>
      </c>
      <c r="AT1280" s="2">
        <v>0</v>
      </c>
      <c r="AU1280" s="2">
        <v>0</v>
      </c>
      <c r="AV1280" s="2">
        <v>0</v>
      </c>
      <c r="AW1280" s="4"/>
      <c r="AX1280" t="s">
        <v>75</v>
      </c>
      <c r="AZ1280" t="s">
        <v>226</v>
      </c>
      <c r="BA1280" t="s">
        <v>67</v>
      </c>
      <c r="BB1280" t="s">
        <v>227</v>
      </c>
      <c r="BC1280" t="s">
        <v>93</v>
      </c>
      <c r="BD1280" t="s">
        <v>79</v>
      </c>
      <c r="BE1280" t="s">
        <v>228</v>
      </c>
      <c r="BF1280" s="5">
        <v>46813</v>
      </c>
      <c r="BH1280">
        <v>1</v>
      </c>
      <c r="BI1280" s="6">
        <v>545000</v>
      </c>
      <c r="BJ1280" s="6">
        <v>35</v>
      </c>
      <c r="BK1280" s="6">
        <v>190750</v>
      </c>
      <c r="BL1280" s="6">
        <v>354250</v>
      </c>
      <c r="BM1280" s="2">
        <v>354250</v>
      </c>
      <c r="BN1280">
        <f>InvoiceTable[[#This Row],[Giảm giá]]*InvoiceTable[[#This Row],[Số lượng]]</f>
        <v>190750</v>
      </c>
    </row>
    <row r="1281" spans="1:66" x14ac:dyDescent="0.25">
      <c r="A1281" t="s">
        <v>65</v>
      </c>
      <c r="B1281" t="s">
        <v>3471</v>
      </c>
      <c r="F1281" s="2"/>
      <c r="G1281" s="3">
        <v>46003.418157754626</v>
      </c>
      <c r="H1281" s="3">
        <v>46003.418157835651</v>
      </c>
      <c r="I1281" s="4" t="s">
        <v>67</v>
      </c>
      <c r="J1281" t="s">
        <v>67</v>
      </c>
      <c r="K1281" t="s">
        <v>67</v>
      </c>
      <c r="L1281" t="s">
        <v>3466</v>
      </c>
      <c r="M1281" t="s">
        <v>3467</v>
      </c>
      <c r="N1281" t="s">
        <v>3468</v>
      </c>
      <c r="O1281" t="s">
        <v>3469</v>
      </c>
      <c r="P1281" t="s">
        <v>3470</v>
      </c>
      <c r="S1281" s="5"/>
      <c r="T1281" t="s">
        <v>72</v>
      </c>
      <c r="U1281" t="s">
        <v>87</v>
      </c>
      <c r="V1281" t="s">
        <v>74</v>
      </c>
      <c r="W1281" t="s">
        <v>87</v>
      </c>
      <c r="AE1281" s="2"/>
      <c r="AF1281" s="2"/>
      <c r="AG1281" s="2"/>
      <c r="AH1281" s="2"/>
      <c r="AL1281" s="2">
        <v>4054958</v>
      </c>
      <c r="AM1281" s="2">
        <v>0</v>
      </c>
      <c r="AN1281" s="2"/>
      <c r="AO1281" s="2">
        <v>0</v>
      </c>
      <c r="AP1281" s="2">
        <v>4054958</v>
      </c>
      <c r="AQ1281" s="2">
        <v>0</v>
      </c>
      <c r="AR1281" s="2">
        <v>0</v>
      </c>
      <c r="AS1281" s="2">
        <v>0</v>
      </c>
      <c r="AT1281" s="2">
        <v>0</v>
      </c>
      <c r="AU1281" s="2">
        <v>0</v>
      </c>
      <c r="AV1281" s="2">
        <v>0</v>
      </c>
      <c r="AW1281" s="4"/>
      <c r="AX1281" t="s">
        <v>75</v>
      </c>
      <c r="AZ1281" t="s">
        <v>860</v>
      </c>
      <c r="BA1281" t="s">
        <v>67</v>
      </c>
      <c r="BB1281" t="s">
        <v>861</v>
      </c>
      <c r="BC1281" t="s">
        <v>191</v>
      </c>
      <c r="BD1281" t="s">
        <v>79</v>
      </c>
      <c r="BE1281" t="s">
        <v>862</v>
      </c>
      <c r="BF1281" s="5">
        <v>47515</v>
      </c>
      <c r="BH1281">
        <v>2</v>
      </c>
      <c r="BI1281" s="6">
        <v>470291</v>
      </c>
      <c r="BJ1281" s="6">
        <v>42</v>
      </c>
      <c r="BK1281" s="6">
        <v>197522.22</v>
      </c>
      <c r="BL1281" s="6">
        <v>272768.78000000003</v>
      </c>
      <c r="BM1281" s="2">
        <v>545538</v>
      </c>
      <c r="BN1281">
        <f>InvoiceTable[[#This Row],[Giảm giá]]*InvoiceTable[[#This Row],[Số lượng]]</f>
        <v>395044.44</v>
      </c>
    </row>
    <row r="1282" spans="1:66" x14ac:dyDescent="0.25">
      <c r="A1282" t="s">
        <v>65</v>
      </c>
      <c r="B1282" t="s">
        <v>3474</v>
      </c>
      <c r="F1282" s="2"/>
      <c r="G1282" s="3">
        <v>46003.408594641201</v>
      </c>
      <c r="H1282" s="3">
        <v>46003.408548495368</v>
      </c>
      <c r="I1282" s="4" t="s">
        <v>96</v>
      </c>
      <c r="J1282" t="s">
        <v>67</v>
      </c>
      <c r="K1282" t="s">
        <v>67</v>
      </c>
      <c r="L1282" t="s">
        <v>933</v>
      </c>
      <c r="M1282" t="s">
        <v>934</v>
      </c>
      <c r="N1282" t="s">
        <v>67</v>
      </c>
      <c r="O1282" t="s">
        <v>935</v>
      </c>
      <c r="S1282" s="5"/>
      <c r="T1282" t="s">
        <v>72</v>
      </c>
      <c r="U1282" t="s">
        <v>87</v>
      </c>
      <c r="V1282" t="s">
        <v>74</v>
      </c>
      <c r="W1282" t="s">
        <v>87</v>
      </c>
      <c r="AE1282" s="2"/>
      <c r="AF1282" s="2"/>
      <c r="AG1282" s="2"/>
      <c r="AH1282" s="2"/>
      <c r="AL1282" s="2">
        <v>812000</v>
      </c>
      <c r="AM1282" s="2">
        <v>0</v>
      </c>
      <c r="AN1282" s="2"/>
      <c r="AO1282" s="2">
        <v>0</v>
      </c>
      <c r="AP1282" s="2">
        <v>812000</v>
      </c>
      <c r="AQ1282" s="2">
        <v>812000</v>
      </c>
      <c r="AR1282" s="2">
        <v>0</v>
      </c>
      <c r="AS1282" s="2">
        <v>0</v>
      </c>
      <c r="AT1282" s="2">
        <v>0</v>
      </c>
      <c r="AU1282" s="2">
        <v>812000</v>
      </c>
      <c r="AV1282" s="2">
        <v>0</v>
      </c>
      <c r="AW1282" s="4"/>
      <c r="AX1282" t="s">
        <v>75</v>
      </c>
      <c r="AZ1282" t="s">
        <v>3475</v>
      </c>
      <c r="BA1282" t="s">
        <v>67</v>
      </c>
      <c r="BB1282" t="s">
        <v>3476</v>
      </c>
      <c r="BC1282" t="s">
        <v>721</v>
      </c>
      <c r="BD1282" t="s">
        <v>79</v>
      </c>
      <c r="BE1282" t="s">
        <v>201</v>
      </c>
      <c r="BF1282" s="5">
        <v>46966</v>
      </c>
      <c r="BH1282">
        <v>1</v>
      </c>
      <c r="BI1282" s="6">
        <v>1450000</v>
      </c>
      <c r="BJ1282" s="6">
        <v>44</v>
      </c>
      <c r="BK1282" s="6">
        <v>638000</v>
      </c>
      <c r="BL1282" s="6">
        <v>812000</v>
      </c>
      <c r="BM1282" s="2">
        <v>812000</v>
      </c>
      <c r="BN1282">
        <f>InvoiceTable[[#This Row],[Giảm giá]]*InvoiceTable[[#This Row],[Số lượng]]</f>
        <v>638000</v>
      </c>
    </row>
    <row r="1283" spans="1:66" x14ac:dyDescent="0.25">
      <c r="A1283" t="s">
        <v>65</v>
      </c>
      <c r="B1283" t="s">
        <v>3477</v>
      </c>
      <c r="F1283" s="2"/>
      <c r="G1283" s="3">
        <v>46003.407977546296</v>
      </c>
      <c r="H1283" s="3">
        <v>46003.407954629627</v>
      </c>
      <c r="I1283" s="4" t="s">
        <v>3281</v>
      </c>
      <c r="J1283" t="s">
        <v>67</v>
      </c>
      <c r="K1283" t="s">
        <v>67</v>
      </c>
      <c r="L1283" t="s">
        <v>933</v>
      </c>
      <c r="M1283" t="s">
        <v>934</v>
      </c>
      <c r="N1283" t="s">
        <v>67</v>
      </c>
      <c r="O1283" t="s">
        <v>935</v>
      </c>
      <c r="S1283" s="5"/>
      <c r="T1283" t="s">
        <v>72</v>
      </c>
      <c r="U1283" t="s">
        <v>87</v>
      </c>
      <c r="V1283" t="s">
        <v>74</v>
      </c>
      <c r="W1283" t="s">
        <v>87</v>
      </c>
      <c r="AE1283" s="2"/>
      <c r="AF1283" s="2"/>
      <c r="AG1283" s="2"/>
      <c r="AH1283" s="2"/>
      <c r="AL1283" s="2">
        <v>544500</v>
      </c>
      <c r="AM1283" s="2">
        <v>0</v>
      </c>
      <c r="AN1283" s="2"/>
      <c r="AO1283" s="2">
        <v>0</v>
      </c>
      <c r="AP1283" s="2">
        <v>544500</v>
      </c>
      <c r="AQ1283" s="2">
        <v>544500</v>
      </c>
      <c r="AR1283" s="2">
        <v>0</v>
      </c>
      <c r="AS1283" s="2">
        <v>0</v>
      </c>
      <c r="AT1283" s="2">
        <v>0</v>
      </c>
      <c r="AU1283" s="2">
        <v>544500</v>
      </c>
      <c r="AV1283" s="2">
        <v>0</v>
      </c>
      <c r="AW1283" s="4"/>
      <c r="AX1283" t="s">
        <v>75</v>
      </c>
      <c r="AZ1283" t="s">
        <v>404</v>
      </c>
      <c r="BA1283" t="s">
        <v>67</v>
      </c>
      <c r="BB1283" t="s">
        <v>405</v>
      </c>
      <c r="BC1283" t="s">
        <v>406</v>
      </c>
      <c r="BD1283" t="s">
        <v>79</v>
      </c>
      <c r="BE1283" t="s">
        <v>131</v>
      </c>
      <c r="BF1283" s="5">
        <v>46874</v>
      </c>
      <c r="BH1283">
        <v>1</v>
      </c>
      <c r="BI1283" s="6">
        <v>990000</v>
      </c>
      <c r="BJ1283" s="6">
        <v>45</v>
      </c>
      <c r="BK1283" s="6">
        <v>445500</v>
      </c>
      <c r="BL1283" s="6">
        <v>544500</v>
      </c>
      <c r="BM1283" s="2">
        <v>544500</v>
      </c>
      <c r="BN1283">
        <f>InvoiceTable[[#This Row],[Giảm giá]]*InvoiceTable[[#This Row],[Số lượng]]</f>
        <v>445500</v>
      </c>
    </row>
    <row r="1284" spans="1:66" x14ac:dyDescent="0.25">
      <c r="A1284" t="s">
        <v>65</v>
      </c>
      <c r="B1284" t="s">
        <v>3478</v>
      </c>
      <c r="F1284" s="2"/>
      <c r="G1284" s="3">
        <v>46003.406465046297</v>
      </c>
      <c r="H1284" s="3">
        <v>46003.406465127315</v>
      </c>
      <c r="I1284" s="4" t="s">
        <v>67</v>
      </c>
      <c r="J1284" t="s">
        <v>67</v>
      </c>
      <c r="K1284" t="s">
        <v>67</v>
      </c>
      <c r="L1284" t="s">
        <v>455</v>
      </c>
      <c r="M1284" t="s">
        <v>456</v>
      </c>
      <c r="N1284" t="s">
        <v>67</v>
      </c>
      <c r="O1284" t="s">
        <v>457</v>
      </c>
      <c r="P1284" t="s">
        <v>458</v>
      </c>
      <c r="Q1284" t="s">
        <v>459</v>
      </c>
      <c r="R1284" t="s">
        <v>460</v>
      </c>
      <c r="S1284" s="5"/>
      <c r="T1284" t="s">
        <v>72</v>
      </c>
      <c r="U1284" t="s">
        <v>87</v>
      </c>
      <c r="V1284" t="s">
        <v>74</v>
      </c>
      <c r="W1284" t="s">
        <v>87</v>
      </c>
      <c r="AE1284" s="2"/>
      <c r="AF1284" s="2"/>
      <c r="AG1284" s="2"/>
      <c r="AH1284" s="2"/>
      <c r="AL1284" s="2">
        <v>0</v>
      </c>
      <c r="AM1284" s="2">
        <v>0</v>
      </c>
      <c r="AN1284" s="2"/>
      <c r="AO1284" s="2">
        <v>0</v>
      </c>
      <c r="AP1284" s="2">
        <v>0</v>
      </c>
      <c r="AQ1284" s="2">
        <v>0</v>
      </c>
      <c r="AR1284" s="2">
        <v>0</v>
      </c>
      <c r="AS1284" s="2">
        <v>0</v>
      </c>
      <c r="AT1284" s="2">
        <v>0</v>
      </c>
      <c r="AU1284" s="2">
        <v>0</v>
      </c>
      <c r="AV1284" s="2">
        <v>0</v>
      </c>
      <c r="AW1284" s="4"/>
      <c r="AX1284" t="s">
        <v>75</v>
      </c>
      <c r="AZ1284" t="s">
        <v>1558</v>
      </c>
      <c r="BA1284" t="s">
        <v>67</v>
      </c>
      <c r="BB1284" t="s">
        <v>1559</v>
      </c>
      <c r="BC1284" t="s">
        <v>154</v>
      </c>
      <c r="BD1284" t="s">
        <v>79</v>
      </c>
      <c r="BE1284" t="s">
        <v>117</v>
      </c>
      <c r="BF1284" s="5">
        <v>46569</v>
      </c>
      <c r="BH1284">
        <v>1</v>
      </c>
      <c r="BI1284" s="6">
        <v>750000</v>
      </c>
      <c r="BJ1284" s="6">
        <v>0</v>
      </c>
      <c r="BK1284" s="6">
        <v>750000</v>
      </c>
      <c r="BL1284" s="6">
        <v>0</v>
      </c>
      <c r="BM1284" s="2">
        <v>0</v>
      </c>
      <c r="BN1284">
        <f>InvoiceTable[[#This Row],[Giảm giá]]*InvoiceTable[[#This Row],[Số lượng]]</f>
        <v>750000</v>
      </c>
    </row>
    <row r="1285" spans="1:66" x14ac:dyDescent="0.25">
      <c r="A1285" t="s">
        <v>65</v>
      </c>
      <c r="B1285" t="s">
        <v>3479</v>
      </c>
      <c r="F1285" s="2"/>
      <c r="G1285" s="3">
        <v>46003.393360844908</v>
      </c>
      <c r="H1285" s="3">
        <v>46003.393210497685</v>
      </c>
      <c r="I1285" s="4" t="s">
        <v>686</v>
      </c>
      <c r="J1285" t="s">
        <v>67</v>
      </c>
      <c r="K1285" t="s">
        <v>67</v>
      </c>
      <c r="L1285" t="s">
        <v>1045</v>
      </c>
      <c r="M1285" t="s">
        <v>1046</v>
      </c>
      <c r="N1285" t="s">
        <v>67</v>
      </c>
      <c r="Q1285" t="s">
        <v>67</v>
      </c>
      <c r="R1285" t="s">
        <v>67</v>
      </c>
      <c r="S1285" s="5"/>
      <c r="T1285" t="s">
        <v>72</v>
      </c>
      <c r="U1285" t="s">
        <v>87</v>
      </c>
      <c r="V1285" t="s">
        <v>74</v>
      </c>
      <c r="W1285" t="s">
        <v>87</v>
      </c>
      <c r="AE1285" s="2"/>
      <c r="AF1285" s="2"/>
      <c r="AG1285" s="2"/>
      <c r="AH1285" s="2"/>
      <c r="AL1285" s="2">
        <v>1055520</v>
      </c>
      <c r="AM1285" s="2">
        <v>0</v>
      </c>
      <c r="AN1285" s="2"/>
      <c r="AO1285" s="2">
        <v>0</v>
      </c>
      <c r="AP1285" s="2">
        <v>1055520</v>
      </c>
      <c r="AQ1285" s="2">
        <v>0</v>
      </c>
      <c r="AR1285" s="2">
        <v>0</v>
      </c>
      <c r="AS1285" s="2">
        <v>0</v>
      </c>
      <c r="AT1285" s="2">
        <v>0</v>
      </c>
      <c r="AU1285" s="2">
        <v>0</v>
      </c>
      <c r="AV1285" s="2">
        <v>0</v>
      </c>
      <c r="AW1285" s="4"/>
      <c r="AX1285" t="s">
        <v>75</v>
      </c>
      <c r="AZ1285" t="s">
        <v>663</v>
      </c>
      <c r="BA1285" t="s">
        <v>67</v>
      </c>
      <c r="BB1285" t="s">
        <v>664</v>
      </c>
      <c r="BC1285" t="s">
        <v>665</v>
      </c>
      <c r="BD1285" t="s">
        <v>79</v>
      </c>
      <c r="BE1285" t="s">
        <v>159</v>
      </c>
      <c r="BF1285" s="5">
        <v>46478</v>
      </c>
      <c r="BH1285">
        <v>1</v>
      </c>
      <c r="BI1285" s="6">
        <v>380000</v>
      </c>
      <c r="BJ1285" s="6">
        <v>0</v>
      </c>
      <c r="BK1285" s="6">
        <v>220000</v>
      </c>
      <c r="BL1285" s="6">
        <v>160000</v>
      </c>
      <c r="BM1285" s="2">
        <v>160000</v>
      </c>
      <c r="BN1285">
        <f>InvoiceTable[[#This Row],[Giảm giá]]*InvoiceTable[[#This Row],[Số lượng]]</f>
        <v>220000</v>
      </c>
    </row>
    <row r="1286" spans="1:66" x14ac:dyDescent="0.25">
      <c r="A1286" t="s">
        <v>65</v>
      </c>
      <c r="B1286" t="s">
        <v>3479</v>
      </c>
      <c r="F1286" s="2"/>
      <c r="G1286" s="3">
        <v>46003.393360844908</v>
      </c>
      <c r="H1286" s="3">
        <v>46003.393210497685</v>
      </c>
      <c r="I1286" s="4" t="s">
        <v>686</v>
      </c>
      <c r="J1286" t="s">
        <v>67</v>
      </c>
      <c r="K1286" t="s">
        <v>67</v>
      </c>
      <c r="L1286" t="s">
        <v>1045</v>
      </c>
      <c r="M1286" t="s">
        <v>1046</v>
      </c>
      <c r="N1286" t="s">
        <v>67</v>
      </c>
      <c r="Q1286" t="s">
        <v>67</v>
      </c>
      <c r="R1286" t="s">
        <v>67</v>
      </c>
      <c r="S1286" s="5"/>
      <c r="T1286" t="s">
        <v>72</v>
      </c>
      <c r="U1286" t="s">
        <v>87</v>
      </c>
      <c r="V1286" t="s">
        <v>74</v>
      </c>
      <c r="W1286" t="s">
        <v>87</v>
      </c>
      <c r="AE1286" s="2"/>
      <c r="AF1286" s="2"/>
      <c r="AG1286" s="2"/>
      <c r="AH1286" s="2"/>
      <c r="AL1286" s="2">
        <v>1055520</v>
      </c>
      <c r="AM1286" s="2">
        <v>0</v>
      </c>
      <c r="AN1286" s="2"/>
      <c r="AO1286" s="2">
        <v>0</v>
      </c>
      <c r="AP1286" s="2">
        <v>1055520</v>
      </c>
      <c r="AQ1286" s="2">
        <v>0</v>
      </c>
      <c r="AR1286" s="2">
        <v>0</v>
      </c>
      <c r="AS1286" s="2">
        <v>0</v>
      </c>
      <c r="AT1286" s="2">
        <v>0</v>
      </c>
      <c r="AU1286" s="2">
        <v>0</v>
      </c>
      <c r="AV1286" s="2">
        <v>0</v>
      </c>
      <c r="AW1286" s="4"/>
      <c r="AX1286" t="s">
        <v>75</v>
      </c>
      <c r="AZ1286" t="s">
        <v>431</v>
      </c>
      <c r="BA1286" t="s">
        <v>67</v>
      </c>
      <c r="BB1286" t="s">
        <v>432</v>
      </c>
      <c r="BC1286" t="s">
        <v>433</v>
      </c>
      <c r="BD1286" t="s">
        <v>79</v>
      </c>
      <c r="BE1286" t="s">
        <v>434</v>
      </c>
      <c r="BF1286" s="5">
        <v>46661</v>
      </c>
      <c r="BG1286" t="s">
        <v>67</v>
      </c>
      <c r="BH1286">
        <v>1</v>
      </c>
      <c r="BI1286" s="6">
        <v>1544000</v>
      </c>
      <c r="BJ1286" s="6">
        <v>42</v>
      </c>
      <c r="BK1286" s="6">
        <v>648480</v>
      </c>
      <c r="BL1286" s="6">
        <v>895520</v>
      </c>
      <c r="BM1286" s="2">
        <v>895520</v>
      </c>
      <c r="BN1286">
        <f>InvoiceTable[[#This Row],[Giảm giá]]*InvoiceTable[[#This Row],[Số lượng]]</f>
        <v>648480</v>
      </c>
    </row>
    <row r="1287" spans="1:66" x14ac:dyDescent="0.25">
      <c r="A1287" t="s">
        <v>65</v>
      </c>
      <c r="B1287" t="s">
        <v>3480</v>
      </c>
      <c r="F1287" s="2"/>
      <c r="G1287" s="3">
        <v>46002.750033680553</v>
      </c>
      <c r="H1287" s="3">
        <v>46002.749860266202</v>
      </c>
      <c r="I1287" s="4" t="s">
        <v>96</v>
      </c>
      <c r="J1287" t="s">
        <v>67</v>
      </c>
      <c r="K1287" t="s">
        <v>67</v>
      </c>
      <c r="L1287" t="s">
        <v>2097</v>
      </c>
      <c r="M1287" t="s">
        <v>2098</v>
      </c>
      <c r="N1287" t="s">
        <v>67</v>
      </c>
      <c r="Q1287" t="s">
        <v>67</v>
      </c>
      <c r="R1287" t="s">
        <v>67</v>
      </c>
      <c r="S1287" s="5"/>
      <c r="T1287" t="s">
        <v>72</v>
      </c>
      <c r="U1287" t="s">
        <v>87</v>
      </c>
      <c r="V1287" t="s">
        <v>74</v>
      </c>
      <c r="W1287" t="s">
        <v>87</v>
      </c>
      <c r="AE1287" s="2"/>
      <c r="AF1287" s="2"/>
      <c r="AG1287" s="2"/>
      <c r="AH1287" s="2"/>
      <c r="AK1287" t="s">
        <v>67</v>
      </c>
      <c r="AL1287" s="2">
        <v>85000</v>
      </c>
      <c r="AM1287" s="2">
        <v>0</v>
      </c>
      <c r="AN1287" s="2"/>
      <c r="AO1287" s="2">
        <v>0</v>
      </c>
      <c r="AP1287" s="2">
        <v>85000</v>
      </c>
      <c r="AQ1287" s="2">
        <v>0</v>
      </c>
      <c r="AR1287" s="2">
        <v>0</v>
      </c>
      <c r="AS1287" s="2">
        <v>0</v>
      </c>
      <c r="AT1287" s="2">
        <v>0</v>
      </c>
      <c r="AU1287" s="2">
        <v>0</v>
      </c>
      <c r="AV1287" s="2">
        <v>0</v>
      </c>
      <c r="AW1287" s="4"/>
      <c r="AX1287" t="s">
        <v>75</v>
      </c>
      <c r="AZ1287" t="s">
        <v>3481</v>
      </c>
      <c r="BA1287" t="s">
        <v>67</v>
      </c>
      <c r="BB1287" t="s">
        <v>3482</v>
      </c>
      <c r="BC1287" t="s">
        <v>3483</v>
      </c>
      <c r="BD1287" t="s">
        <v>79</v>
      </c>
      <c r="BE1287" t="s">
        <v>434</v>
      </c>
      <c r="BF1287" s="5">
        <v>46661</v>
      </c>
      <c r="BG1287" t="s">
        <v>67</v>
      </c>
      <c r="BH1287">
        <v>1</v>
      </c>
      <c r="BI1287" s="6">
        <v>138000</v>
      </c>
      <c r="BJ1287" s="6">
        <v>0</v>
      </c>
      <c r="BK1287" s="6">
        <v>53000</v>
      </c>
      <c r="BL1287" s="6">
        <v>85000</v>
      </c>
      <c r="BM1287" s="2">
        <v>85000</v>
      </c>
      <c r="BN1287">
        <f>InvoiceTable[[#This Row],[Giảm giá]]*InvoiceTable[[#This Row],[Số lượng]]</f>
        <v>53000</v>
      </c>
    </row>
    <row r="1288" spans="1:66" x14ac:dyDescent="0.25">
      <c r="A1288" t="s">
        <v>65</v>
      </c>
      <c r="B1288" t="s">
        <v>3484</v>
      </c>
      <c r="F1288" s="2"/>
      <c r="G1288" s="3">
        <v>46002.749526504631</v>
      </c>
      <c r="H1288" s="3">
        <v>46002.749526701387</v>
      </c>
      <c r="I1288" s="4" t="s">
        <v>67</v>
      </c>
      <c r="J1288" t="s">
        <v>67</v>
      </c>
      <c r="K1288" t="s">
        <v>67</v>
      </c>
      <c r="L1288" t="s">
        <v>2097</v>
      </c>
      <c r="M1288" t="s">
        <v>2098</v>
      </c>
      <c r="N1288" t="s">
        <v>67</v>
      </c>
      <c r="Q1288" t="s">
        <v>67</v>
      </c>
      <c r="R1288" t="s">
        <v>67</v>
      </c>
      <c r="S1288" s="5"/>
      <c r="T1288" t="s">
        <v>72</v>
      </c>
      <c r="U1288" t="s">
        <v>87</v>
      </c>
      <c r="V1288" t="s">
        <v>74</v>
      </c>
      <c r="W1288" t="s">
        <v>87</v>
      </c>
      <c r="AE1288" s="2"/>
      <c r="AF1288" s="2"/>
      <c r="AG1288" s="2"/>
      <c r="AH1288" s="2"/>
      <c r="AK1288" t="s">
        <v>3485</v>
      </c>
      <c r="AL1288" s="2">
        <v>571200</v>
      </c>
      <c r="AM1288" s="2">
        <v>0</v>
      </c>
      <c r="AN1288" s="2"/>
      <c r="AO1288" s="2">
        <v>0</v>
      </c>
      <c r="AP1288" s="2">
        <v>571200</v>
      </c>
      <c r="AQ1288" s="2">
        <v>0</v>
      </c>
      <c r="AR1288" s="2">
        <v>0</v>
      </c>
      <c r="AS1288" s="2">
        <v>0</v>
      </c>
      <c r="AT1288" s="2">
        <v>0</v>
      </c>
      <c r="AU1288" s="2">
        <v>0</v>
      </c>
      <c r="AV1288" s="2">
        <v>0</v>
      </c>
      <c r="AW1288" s="4"/>
      <c r="AX1288" t="s">
        <v>75</v>
      </c>
      <c r="AZ1288" t="s">
        <v>318</v>
      </c>
      <c r="BA1288" t="s">
        <v>67</v>
      </c>
      <c r="BB1288" t="s">
        <v>319</v>
      </c>
      <c r="BC1288" t="s">
        <v>154</v>
      </c>
      <c r="BD1288" t="s">
        <v>79</v>
      </c>
      <c r="BE1288" t="s">
        <v>317</v>
      </c>
      <c r="BF1288" s="5">
        <v>46935</v>
      </c>
      <c r="BG1288" t="s">
        <v>3486</v>
      </c>
      <c r="BH1288">
        <v>1</v>
      </c>
      <c r="BI1288" s="6">
        <v>1190000</v>
      </c>
      <c r="BJ1288" s="6">
        <v>52</v>
      </c>
      <c r="BK1288" s="6">
        <v>618800</v>
      </c>
      <c r="BL1288" s="6">
        <v>571200</v>
      </c>
      <c r="BM1288" s="2">
        <v>571200</v>
      </c>
      <c r="BN1288">
        <f>InvoiceTable[[#This Row],[Giảm giá]]*InvoiceTable[[#This Row],[Số lượng]]</f>
        <v>618800</v>
      </c>
    </row>
    <row r="1289" spans="1:66" x14ac:dyDescent="0.25">
      <c r="A1289" t="s">
        <v>65</v>
      </c>
      <c r="B1289" t="s">
        <v>3487</v>
      </c>
      <c r="F1289" s="2"/>
      <c r="G1289" s="3">
        <v>46002.724732175928</v>
      </c>
      <c r="H1289" s="3">
        <v>46002.724732291666</v>
      </c>
      <c r="I1289" s="4" t="s">
        <v>67</v>
      </c>
      <c r="J1289" t="s">
        <v>67</v>
      </c>
      <c r="K1289" t="s">
        <v>67</v>
      </c>
      <c r="L1289" t="s">
        <v>3488</v>
      </c>
      <c r="M1289" t="s">
        <v>3489</v>
      </c>
      <c r="N1289" t="s">
        <v>67</v>
      </c>
      <c r="O1289" t="s">
        <v>3490</v>
      </c>
      <c r="P1289" t="s">
        <v>3491</v>
      </c>
      <c r="S1289" s="5"/>
      <c r="T1289" t="s">
        <v>72</v>
      </c>
      <c r="U1289" t="s">
        <v>87</v>
      </c>
      <c r="V1289" t="s">
        <v>74</v>
      </c>
      <c r="W1289" t="s">
        <v>87</v>
      </c>
      <c r="AE1289" s="2"/>
      <c r="AF1289" s="2"/>
      <c r="AG1289" s="2"/>
      <c r="AH1289" s="2"/>
      <c r="AL1289" s="2">
        <v>311850</v>
      </c>
      <c r="AM1289" s="2">
        <v>0</v>
      </c>
      <c r="AN1289" s="2"/>
      <c r="AO1289" s="2">
        <v>0</v>
      </c>
      <c r="AP1289" s="2">
        <v>311850</v>
      </c>
      <c r="AQ1289" s="2">
        <v>311120</v>
      </c>
      <c r="AR1289" s="2">
        <v>0</v>
      </c>
      <c r="AS1289" s="2">
        <v>0</v>
      </c>
      <c r="AT1289" s="2">
        <v>0</v>
      </c>
      <c r="AU1289" s="2">
        <v>311120</v>
      </c>
      <c r="AV1289" s="2">
        <v>0</v>
      </c>
      <c r="AW1289" s="4"/>
      <c r="AX1289" t="s">
        <v>75</v>
      </c>
      <c r="AZ1289" t="s">
        <v>241</v>
      </c>
      <c r="BA1289" t="s">
        <v>67</v>
      </c>
      <c r="BB1289" t="s">
        <v>242</v>
      </c>
      <c r="BC1289" t="s">
        <v>204</v>
      </c>
      <c r="BD1289" t="s">
        <v>79</v>
      </c>
      <c r="BE1289" t="s">
        <v>198</v>
      </c>
      <c r="BF1289" s="5">
        <v>46753</v>
      </c>
      <c r="BH1289">
        <v>1</v>
      </c>
      <c r="BI1289" s="6">
        <v>495000</v>
      </c>
      <c r="BJ1289" s="6">
        <v>37</v>
      </c>
      <c r="BK1289" s="6">
        <v>183150</v>
      </c>
      <c r="BL1289" s="6">
        <v>311850</v>
      </c>
      <c r="BM1289" s="2">
        <v>311850</v>
      </c>
      <c r="BN1289">
        <f>InvoiceTable[[#This Row],[Giảm giá]]*InvoiceTable[[#This Row],[Số lượng]]</f>
        <v>183150</v>
      </c>
    </row>
    <row r="1290" spans="1:66" x14ac:dyDescent="0.25">
      <c r="A1290" t="s">
        <v>65</v>
      </c>
      <c r="B1290" t="s">
        <v>3492</v>
      </c>
      <c r="F1290" s="2"/>
      <c r="G1290" s="3">
        <v>46002.714107754633</v>
      </c>
      <c r="H1290" s="3">
        <v>46002.72191385417</v>
      </c>
      <c r="I1290" s="4" t="s">
        <v>3493</v>
      </c>
      <c r="J1290" t="s">
        <v>67</v>
      </c>
      <c r="K1290" t="s">
        <v>67</v>
      </c>
      <c r="L1290" t="s">
        <v>303</v>
      </c>
      <c r="M1290" t="s">
        <v>304</v>
      </c>
      <c r="N1290" t="s">
        <v>67</v>
      </c>
      <c r="O1290" t="s">
        <v>305</v>
      </c>
      <c r="P1290" t="s">
        <v>306</v>
      </c>
      <c r="Q1290" t="s">
        <v>67</v>
      </c>
      <c r="R1290" t="s">
        <v>67</v>
      </c>
      <c r="S1290" s="5"/>
      <c r="T1290" t="s">
        <v>72</v>
      </c>
      <c r="U1290" t="s">
        <v>87</v>
      </c>
      <c r="V1290" t="s">
        <v>74</v>
      </c>
      <c r="W1290" t="s">
        <v>87</v>
      </c>
      <c r="AE1290" s="2"/>
      <c r="AF1290" s="2"/>
      <c r="AG1290" s="2"/>
      <c r="AH1290" s="2"/>
      <c r="AK1290" t="s">
        <v>2680</v>
      </c>
      <c r="AL1290" s="2">
        <v>38800000</v>
      </c>
      <c r="AM1290" s="2">
        <v>0</v>
      </c>
      <c r="AN1290" s="2"/>
      <c r="AO1290" s="2">
        <v>0</v>
      </c>
      <c r="AP1290" s="2">
        <v>38800000</v>
      </c>
      <c r="AQ1290" s="2">
        <v>0</v>
      </c>
      <c r="AR1290" s="2">
        <v>0</v>
      </c>
      <c r="AS1290" s="2">
        <v>0</v>
      </c>
      <c r="AT1290" s="2">
        <v>0</v>
      </c>
      <c r="AU1290" s="2">
        <v>0</v>
      </c>
      <c r="AV1290" s="2">
        <v>0</v>
      </c>
      <c r="AW1290" s="4"/>
      <c r="AX1290" t="s">
        <v>75</v>
      </c>
      <c r="AZ1290" t="s">
        <v>103</v>
      </c>
      <c r="BB1290" t="s">
        <v>104</v>
      </c>
      <c r="BC1290" t="s">
        <v>105</v>
      </c>
      <c r="BD1290" t="s">
        <v>79</v>
      </c>
      <c r="BE1290" t="s">
        <v>106</v>
      </c>
      <c r="BF1290" s="5">
        <v>46327</v>
      </c>
      <c r="BH1290">
        <v>10</v>
      </c>
      <c r="BI1290" s="6">
        <v>6930000</v>
      </c>
      <c r="BJ1290" s="6">
        <v>0</v>
      </c>
      <c r="BK1290" s="6">
        <v>3050000</v>
      </c>
      <c r="BL1290" s="6">
        <v>3880000</v>
      </c>
      <c r="BM1290" s="2">
        <v>38800000</v>
      </c>
      <c r="BN1290">
        <f>InvoiceTable[[#This Row],[Giảm giá]]*InvoiceTable[[#This Row],[Số lượng]]</f>
        <v>30500000</v>
      </c>
    </row>
    <row r="1291" spans="1:66" x14ac:dyDescent="0.25">
      <c r="A1291" t="s">
        <v>65</v>
      </c>
      <c r="B1291" t="s">
        <v>3494</v>
      </c>
      <c r="F1291" s="2"/>
      <c r="G1291" s="3">
        <v>46002.695915277778</v>
      </c>
      <c r="H1291" s="3">
        <v>46002.695915312499</v>
      </c>
      <c r="I1291" s="4" t="s">
        <v>67</v>
      </c>
      <c r="J1291" t="s">
        <v>67</v>
      </c>
      <c r="K1291" t="s">
        <v>67</v>
      </c>
      <c r="L1291" t="s">
        <v>1952</v>
      </c>
      <c r="M1291" t="s">
        <v>1953</v>
      </c>
      <c r="N1291" t="s">
        <v>67</v>
      </c>
      <c r="Q1291" t="s">
        <v>67</v>
      </c>
      <c r="R1291" t="s">
        <v>67</v>
      </c>
      <c r="S1291" s="5"/>
      <c r="T1291" t="s">
        <v>72</v>
      </c>
      <c r="U1291" t="s">
        <v>87</v>
      </c>
      <c r="V1291" t="s">
        <v>74</v>
      </c>
      <c r="W1291" t="s">
        <v>87</v>
      </c>
      <c r="AE1291" s="2"/>
      <c r="AF1291" s="2"/>
      <c r="AG1291" s="2"/>
      <c r="AH1291" s="2"/>
      <c r="AK1291" t="s">
        <v>354</v>
      </c>
      <c r="AL1291" s="2">
        <v>6750000</v>
      </c>
      <c r="AM1291" s="2">
        <v>0</v>
      </c>
      <c r="AN1291" s="2"/>
      <c r="AO1291" s="2">
        <v>0</v>
      </c>
      <c r="AP1291" s="2">
        <v>6750000</v>
      </c>
      <c r="AQ1291" s="2">
        <v>0</v>
      </c>
      <c r="AR1291" s="2">
        <v>0</v>
      </c>
      <c r="AS1291" s="2">
        <v>0</v>
      </c>
      <c r="AT1291" s="2">
        <v>0</v>
      </c>
      <c r="AU1291" s="2">
        <v>0</v>
      </c>
      <c r="AV1291" s="2">
        <v>0</v>
      </c>
      <c r="AW1291" s="4"/>
      <c r="AX1291" t="s">
        <v>75</v>
      </c>
      <c r="AZ1291" t="s">
        <v>1199</v>
      </c>
      <c r="BA1291" t="s">
        <v>67</v>
      </c>
      <c r="BB1291" t="s">
        <v>1200</v>
      </c>
      <c r="BC1291" t="s">
        <v>78</v>
      </c>
      <c r="BD1291" t="s">
        <v>79</v>
      </c>
      <c r="BE1291" t="s">
        <v>131</v>
      </c>
      <c r="BF1291" s="5">
        <v>46874</v>
      </c>
      <c r="BH1291">
        <v>5</v>
      </c>
      <c r="BI1291" s="6">
        <v>2700000</v>
      </c>
      <c r="BJ1291" s="6">
        <v>50</v>
      </c>
      <c r="BK1291" s="6">
        <v>1350000</v>
      </c>
      <c r="BL1291" s="6">
        <v>1350000</v>
      </c>
      <c r="BM1291" s="2">
        <v>6750000</v>
      </c>
      <c r="BN1291">
        <f>InvoiceTable[[#This Row],[Giảm giá]]*InvoiceTable[[#This Row],[Số lượng]]</f>
        <v>6750000</v>
      </c>
    </row>
    <row r="1292" spans="1:66" x14ac:dyDescent="0.25">
      <c r="A1292" t="s">
        <v>65</v>
      </c>
      <c r="B1292" t="s">
        <v>3495</v>
      </c>
      <c r="F1292" s="2"/>
      <c r="G1292" s="3">
        <v>46002.69491539352</v>
      </c>
      <c r="H1292" s="3">
        <v>46002.694915509259</v>
      </c>
      <c r="I1292" s="4" t="s">
        <v>67</v>
      </c>
      <c r="J1292" t="s">
        <v>67</v>
      </c>
      <c r="K1292" t="s">
        <v>67</v>
      </c>
      <c r="L1292" t="s">
        <v>111</v>
      </c>
      <c r="M1292" t="s">
        <v>112</v>
      </c>
      <c r="N1292" t="s">
        <v>67</v>
      </c>
      <c r="O1292" t="s">
        <v>113</v>
      </c>
      <c r="P1292" t="s">
        <v>114</v>
      </c>
      <c r="Q1292" t="s">
        <v>67</v>
      </c>
      <c r="R1292" t="s">
        <v>67</v>
      </c>
      <c r="S1292" s="5"/>
      <c r="T1292" t="s">
        <v>72</v>
      </c>
      <c r="U1292" t="s">
        <v>87</v>
      </c>
      <c r="V1292" t="s">
        <v>74</v>
      </c>
      <c r="W1292" t="s">
        <v>87</v>
      </c>
      <c r="AE1292" s="2"/>
      <c r="AF1292" s="2"/>
      <c r="AG1292" s="2"/>
      <c r="AH1292" s="2"/>
      <c r="AK1292" t="s">
        <v>3496</v>
      </c>
      <c r="AL1292" s="2">
        <v>22550000</v>
      </c>
      <c r="AM1292" s="2">
        <v>11275000</v>
      </c>
      <c r="AN1292" s="2"/>
      <c r="AO1292" s="2">
        <v>0</v>
      </c>
      <c r="AP1292" s="2">
        <v>11275000</v>
      </c>
      <c r="AQ1292" s="2">
        <v>0</v>
      </c>
      <c r="AR1292" s="2">
        <v>0</v>
      </c>
      <c r="AS1292" s="2">
        <v>0</v>
      </c>
      <c r="AT1292" s="2">
        <v>0</v>
      </c>
      <c r="AU1292" s="2">
        <v>0</v>
      </c>
      <c r="AV1292" s="2">
        <v>0</v>
      </c>
      <c r="AW1292" s="4"/>
      <c r="AX1292" t="s">
        <v>75</v>
      </c>
      <c r="AZ1292" t="s">
        <v>527</v>
      </c>
      <c r="BA1292" t="s">
        <v>67</v>
      </c>
      <c r="BB1292" t="s">
        <v>528</v>
      </c>
      <c r="BC1292" t="s">
        <v>78</v>
      </c>
      <c r="BD1292" t="s">
        <v>79</v>
      </c>
      <c r="BE1292" t="s">
        <v>317</v>
      </c>
      <c r="BF1292" s="5">
        <v>46935</v>
      </c>
      <c r="BH1292">
        <v>1</v>
      </c>
      <c r="BI1292" s="6">
        <v>3800000</v>
      </c>
      <c r="BJ1292" s="6">
        <v>0</v>
      </c>
      <c r="BK1292" s="6">
        <v>0</v>
      </c>
      <c r="BL1292" s="6">
        <v>3800000</v>
      </c>
      <c r="BM1292" s="2">
        <v>3800000</v>
      </c>
      <c r="BN1292">
        <f>InvoiceTable[[#This Row],[Giảm giá]]*InvoiceTable[[#This Row],[Số lượng]]</f>
        <v>0</v>
      </c>
    </row>
    <row r="1293" spans="1:66" x14ac:dyDescent="0.25">
      <c r="A1293" t="s">
        <v>65</v>
      </c>
      <c r="B1293" t="s">
        <v>3495</v>
      </c>
      <c r="F1293" s="2"/>
      <c r="G1293" s="3">
        <v>46002.69491539352</v>
      </c>
      <c r="H1293" s="3">
        <v>46002.694915509259</v>
      </c>
      <c r="I1293" s="4" t="s">
        <v>67</v>
      </c>
      <c r="J1293" t="s">
        <v>67</v>
      </c>
      <c r="K1293" t="s">
        <v>67</v>
      </c>
      <c r="L1293" t="s">
        <v>111</v>
      </c>
      <c r="M1293" t="s">
        <v>112</v>
      </c>
      <c r="N1293" t="s">
        <v>67</v>
      </c>
      <c r="O1293" t="s">
        <v>113</v>
      </c>
      <c r="P1293" t="s">
        <v>114</v>
      </c>
      <c r="Q1293" t="s">
        <v>67</v>
      </c>
      <c r="R1293" t="s">
        <v>67</v>
      </c>
      <c r="S1293" s="5"/>
      <c r="T1293" t="s">
        <v>72</v>
      </c>
      <c r="U1293" t="s">
        <v>87</v>
      </c>
      <c r="V1293" t="s">
        <v>74</v>
      </c>
      <c r="W1293" t="s">
        <v>87</v>
      </c>
      <c r="AE1293" s="2"/>
      <c r="AF1293" s="2"/>
      <c r="AG1293" s="2"/>
      <c r="AH1293" s="2"/>
      <c r="AK1293" t="s">
        <v>3496</v>
      </c>
      <c r="AL1293" s="2">
        <v>22550000</v>
      </c>
      <c r="AM1293" s="2">
        <v>11275000</v>
      </c>
      <c r="AN1293" s="2"/>
      <c r="AO1293" s="2">
        <v>0</v>
      </c>
      <c r="AP1293" s="2">
        <v>11275000</v>
      </c>
      <c r="AQ1293" s="2">
        <v>0</v>
      </c>
      <c r="AR1293" s="2">
        <v>0</v>
      </c>
      <c r="AS1293" s="2">
        <v>0</v>
      </c>
      <c r="AT1293" s="2">
        <v>0</v>
      </c>
      <c r="AU1293" s="2">
        <v>0</v>
      </c>
      <c r="AV1293" s="2">
        <v>0</v>
      </c>
      <c r="AW1293" s="4"/>
      <c r="AX1293" t="s">
        <v>75</v>
      </c>
      <c r="AZ1293" t="s">
        <v>518</v>
      </c>
      <c r="BA1293" t="s">
        <v>67</v>
      </c>
      <c r="BB1293" t="s">
        <v>519</v>
      </c>
      <c r="BC1293" t="s">
        <v>78</v>
      </c>
      <c r="BD1293" t="s">
        <v>79</v>
      </c>
      <c r="BE1293" t="s">
        <v>80</v>
      </c>
      <c r="BF1293" s="5">
        <v>47300</v>
      </c>
      <c r="BH1293">
        <v>1</v>
      </c>
      <c r="BI1293" s="6">
        <v>3500000</v>
      </c>
      <c r="BJ1293" s="6">
        <v>0</v>
      </c>
      <c r="BK1293" s="6">
        <v>0</v>
      </c>
      <c r="BL1293" s="6">
        <v>3500000</v>
      </c>
      <c r="BM1293" s="2">
        <v>3500000</v>
      </c>
      <c r="BN1293">
        <f>InvoiceTable[[#This Row],[Giảm giá]]*InvoiceTable[[#This Row],[Số lượng]]</f>
        <v>0</v>
      </c>
    </row>
    <row r="1294" spans="1:66" x14ac:dyDescent="0.25">
      <c r="A1294" t="s">
        <v>65</v>
      </c>
      <c r="B1294" t="s">
        <v>3495</v>
      </c>
      <c r="F1294" s="2"/>
      <c r="G1294" s="3">
        <v>46002.69491539352</v>
      </c>
      <c r="H1294" s="3">
        <v>46002.694915509259</v>
      </c>
      <c r="I1294" s="4" t="s">
        <v>67</v>
      </c>
      <c r="J1294" t="s">
        <v>67</v>
      </c>
      <c r="K1294" t="s">
        <v>67</v>
      </c>
      <c r="L1294" t="s">
        <v>111</v>
      </c>
      <c r="M1294" t="s">
        <v>112</v>
      </c>
      <c r="N1294" t="s">
        <v>67</v>
      </c>
      <c r="O1294" t="s">
        <v>113</v>
      </c>
      <c r="P1294" t="s">
        <v>114</v>
      </c>
      <c r="Q1294" t="s">
        <v>67</v>
      </c>
      <c r="R1294" t="s">
        <v>67</v>
      </c>
      <c r="S1294" s="5"/>
      <c r="T1294" t="s">
        <v>72</v>
      </c>
      <c r="U1294" t="s">
        <v>87</v>
      </c>
      <c r="V1294" t="s">
        <v>74</v>
      </c>
      <c r="W1294" t="s">
        <v>87</v>
      </c>
      <c r="AE1294" s="2"/>
      <c r="AF1294" s="2"/>
      <c r="AG1294" s="2"/>
      <c r="AH1294" s="2"/>
      <c r="AK1294" t="s">
        <v>3496</v>
      </c>
      <c r="AL1294" s="2">
        <v>22550000</v>
      </c>
      <c r="AM1294" s="2">
        <v>11275000</v>
      </c>
      <c r="AN1294" s="2"/>
      <c r="AO1294" s="2">
        <v>0</v>
      </c>
      <c r="AP1294" s="2">
        <v>11275000</v>
      </c>
      <c r="AQ1294" s="2">
        <v>0</v>
      </c>
      <c r="AR1294" s="2">
        <v>0</v>
      </c>
      <c r="AS1294" s="2">
        <v>0</v>
      </c>
      <c r="AT1294" s="2">
        <v>0</v>
      </c>
      <c r="AU1294" s="2">
        <v>0</v>
      </c>
      <c r="AV1294" s="2">
        <v>0</v>
      </c>
      <c r="AW1294" s="4"/>
      <c r="AX1294" t="s">
        <v>75</v>
      </c>
      <c r="AZ1294" t="s">
        <v>129</v>
      </c>
      <c r="BA1294" t="s">
        <v>67</v>
      </c>
      <c r="BB1294" t="s">
        <v>130</v>
      </c>
      <c r="BC1294" t="s">
        <v>78</v>
      </c>
      <c r="BD1294" t="s">
        <v>79</v>
      </c>
      <c r="BE1294" t="s">
        <v>131</v>
      </c>
      <c r="BF1294" s="5">
        <v>46874</v>
      </c>
      <c r="BG1294" t="s">
        <v>67</v>
      </c>
      <c r="BH1294">
        <v>5</v>
      </c>
      <c r="BI1294" s="6">
        <v>3050000</v>
      </c>
      <c r="BJ1294" s="6">
        <v>0</v>
      </c>
      <c r="BK1294" s="6">
        <v>0</v>
      </c>
      <c r="BL1294" s="6">
        <v>3050000</v>
      </c>
      <c r="BM1294" s="2">
        <v>15250000</v>
      </c>
      <c r="BN1294">
        <f>InvoiceTable[[#This Row],[Giảm giá]]*InvoiceTable[[#This Row],[Số lượng]]</f>
        <v>0</v>
      </c>
    </row>
    <row r="1295" spans="1:66" x14ac:dyDescent="0.25">
      <c r="A1295" t="s">
        <v>65</v>
      </c>
      <c r="B1295" t="s">
        <v>3497</v>
      </c>
      <c r="F1295" s="2"/>
      <c r="G1295" s="3">
        <v>46002.694398229163</v>
      </c>
      <c r="H1295" s="3">
        <v>46002.694398298612</v>
      </c>
      <c r="I1295" s="4" t="s">
        <v>67</v>
      </c>
      <c r="J1295" t="s">
        <v>67</v>
      </c>
      <c r="K1295" t="s">
        <v>67</v>
      </c>
      <c r="L1295" t="s">
        <v>111</v>
      </c>
      <c r="M1295" t="s">
        <v>112</v>
      </c>
      <c r="N1295" t="s">
        <v>67</v>
      </c>
      <c r="O1295" t="s">
        <v>113</v>
      </c>
      <c r="P1295" t="s">
        <v>114</v>
      </c>
      <c r="Q1295" t="s">
        <v>67</v>
      </c>
      <c r="R1295" t="s">
        <v>67</v>
      </c>
      <c r="S1295" s="5"/>
      <c r="T1295" t="s">
        <v>72</v>
      </c>
      <c r="U1295" t="s">
        <v>87</v>
      </c>
      <c r="V1295" t="s">
        <v>74</v>
      </c>
      <c r="W1295" t="s">
        <v>87</v>
      </c>
      <c r="AE1295" s="2"/>
      <c r="AF1295" s="2"/>
      <c r="AG1295" s="2"/>
      <c r="AH1295" s="2"/>
      <c r="AK1295" t="s">
        <v>3498</v>
      </c>
      <c r="AL1295" s="2">
        <v>1995000</v>
      </c>
      <c r="AM1295" s="2">
        <v>0</v>
      </c>
      <c r="AN1295" s="2"/>
      <c r="AO1295" s="2">
        <v>0</v>
      </c>
      <c r="AP1295" s="2">
        <v>1995000</v>
      </c>
      <c r="AQ1295" s="2">
        <v>0</v>
      </c>
      <c r="AR1295" s="2">
        <v>0</v>
      </c>
      <c r="AS1295" s="2">
        <v>0</v>
      </c>
      <c r="AT1295" s="2">
        <v>0</v>
      </c>
      <c r="AU1295" s="2">
        <v>0</v>
      </c>
      <c r="AV1295" s="2">
        <v>0</v>
      </c>
      <c r="AW1295" s="4"/>
      <c r="AX1295" t="s">
        <v>75</v>
      </c>
      <c r="AZ1295" t="s">
        <v>1959</v>
      </c>
      <c r="BA1295" t="s">
        <v>67</v>
      </c>
      <c r="BB1295" t="s">
        <v>1960</v>
      </c>
      <c r="BC1295" t="s">
        <v>78</v>
      </c>
      <c r="BD1295" t="s">
        <v>79</v>
      </c>
      <c r="BE1295" t="s">
        <v>195</v>
      </c>
      <c r="BF1295" s="5">
        <v>46419</v>
      </c>
      <c r="BH1295">
        <v>1</v>
      </c>
      <c r="BI1295" s="6">
        <v>3990000</v>
      </c>
      <c r="BJ1295" s="6">
        <v>50</v>
      </c>
      <c r="BK1295" s="6">
        <v>1995000</v>
      </c>
      <c r="BL1295" s="6">
        <v>1995000</v>
      </c>
      <c r="BM1295" s="2">
        <v>1995000</v>
      </c>
      <c r="BN1295">
        <f>InvoiceTable[[#This Row],[Giảm giá]]*InvoiceTable[[#This Row],[Số lượng]]</f>
        <v>1995000</v>
      </c>
    </row>
    <row r="1296" spans="1:66" x14ac:dyDescent="0.25">
      <c r="A1296" t="s">
        <v>65</v>
      </c>
      <c r="B1296" t="s">
        <v>3499</v>
      </c>
      <c r="F1296" s="2"/>
      <c r="G1296" s="3">
        <v>46002.687198495369</v>
      </c>
      <c r="H1296" s="3">
        <v>46002.687198645835</v>
      </c>
      <c r="I1296" s="4" t="s">
        <v>67</v>
      </c>
      <c r="J1296" t="s">
        <v>67</v>
      </c>
      <c r="K1296" t="s">
        <v>67</v>
      </c>
      <c r="L1296" t="s">
        <v>654</v>
      </c>
      <c r="M1296" t="s">
        <v>655</v>
      </c>
      <c r="N1296" t="s">
        <v>67</v>
      </c>
      <c r="O1296" t="s">
        <v>656</v>
      </c>
      <c r="P1296" t="s">
        <v>657</v>
      </c>
      <c r="Q1296" t="s">
        <v>658</v>
      </c>
      <c r="R1296" t="s">
        <v>67</v>
      </c>
      <c r="S1296" s="5"/>
      <c r="T1296" t="s">
        <v>72</v>
      </c>
      <c r="U1296" t="s">
        <v>87</v>
      </c>
      <c r="V1296" t="s">
        <v>74</v>
      </c>
      <c r="W1296" t="s">
        <v>87</v>
      </c>
      <c r="AE1296" s="2"/>
      <c r="AF1296" s="2"/>
      <c r="AG1296" s="2"/>
      <c r="AH1296" s="2"/>
      <c r="AL1296" s="2">
        <v>1155000</v>
      </c>
      <c r="AM1296" s="2">
        <v>0</v>
      </c>
      <c r="AN1296" s="2"/>
      <c r="AO1296" s="2">
        <v>0</v>
      </c>
      <c r="AP1296" s="2">
        <v>1155000</v>
      </c>
      <c r="AQ1296" s="2">
        <v>0</v>
      </c>
      <c r="AR1296" s="2">
        <v>0</v>
      </c>
      <c r="AS1296" s="2">
        <v>0</v>
      </c>
      <c r="AT1296" s="2">
        <v>0</v>
      </c>
      <c r="AU1296" s="2">
        <v>0</v>
      </c>
      <c r="AV1296" s="2">
        <v>0</v>
      </c>
      <c r="AW1296" s="4"/>
      <c r="AX1296" t="s">
        <v>75</v>
      </c>
      <c r="AZ1296" t="s">
        <v>1047</v>
      </c>
      <c r="BA1296" t="s">
        <v>67</v>
      </c>
      <c r="BB1296" t="s">
        <v>1048</v>
      </c>
      <c r="BC1296" t="s">
        <v>344</v>
      </c>
      <c r="BD1296" t="s">
        <v>79</v>
      </c>
      <c r="BE1296" t="s">
        <v>139</v>
      </c>
      <c r="BF1296" s="5">
        <v>46447</v>
      </c>
      <c r="BH1296">
        <v>2</v>
      </c>
      <c r="BI1296" s="6">
        <v>1050000</v>
      </c>
      <c r="BJ1296" s="6">
        <v>45</v>
      </c>
      <c r="BK1296" s="6">
        <v>472500</v>
      </c>
      <c r="BL1296" s="6">
        <v>577500</v>
      </c>
      <c r="BM1296" s="2">
        <v>1155000</v>
      </c>
      <c r="BN1296">
        <f>InvoiceTable[[#This Row],[Giảm giá]]*InvoiceTable[[#This Row],[Số lượng]]</f>
        <v>945000</v>
      </c>
    </row>
    <row r="1297" spans="1:66" x14ac:dyDescent="0.25">
      <c r="A1297" t="s">
        <v>65</v>
      </c>
      <c r="B1297" t="s">
        <v>3500</v>
      </c>
      <c r="F1297" s="2"/>
      <c r="G1297" s="3">
        <v>46002.686771145833</v>
      </c>
      <c r="H1297" s="3">
        <v>46002.68662079861</v>
      </c>
      <c r="I1297" s="4" t="s">
        <v>844</v>
      </c>
      <c r="J1297" t="s">
        <v>67</v>
      </c>
      <c r="K1297" t="s">
        <v>67</v>
      </c>
      <c r="L1297" t="s">
        <v>654</v>
      </c>
      <c r="M1297" t="s">
        <v>655</v>
      </c>
      <c r="N1297" t="s">
        <v>67</v>
      </c>
      <c r="O1297" t="s">
        <v>656</v>
      </c>
      <c r="P1297" t="s">
        <v>657</v>
      </c>
      <c r="Q1297" t="s">
        <v>658</v>
      </c>
      <c r="R1297" t="s">
        <v>67</v>
      </c>
      <c r="S1297" s="5"/>
      <c r="T1297" t="s">
        <v>72</v>
      </c>
      <c r="U1297" t="s">
        <v>87</v>
      </c>
      <c r="V1297" t="s">
        <v>74</v>
      </c>
      <c r="W1297" t="s">
        <v>87</v>
      </c>
      <c r="AE1297" s="2"/>
      <c r="AF1297" s="2"/>
      <c r="AG1297" s="2"/>
      <c r="AH1297" s="2"/>
      <c r="AL1297" s="2">
        <v>2025000</v>
      </c>
      <c r="AM1297" s="2">
        <v>0</v>
      </c>
      <c r="AN1297" s="2"/>
      <c r="AO1297" s="2">
        <v>0</v>
      </c>
      <c r="AP1297" s="2">
        <v>2025000</v>
      </c>
      <c r="AQ1297" s="2">
        <v>0</v>
      </c>
      <c r="AR1297" s="2">
        <v>0</v>
      </c>
      <c r="AS1297" s="2">
        <v>0</v>
      </c>
      <c r="AT1297" s="2">
        <v>0</v>
      </c>
      <c r="AU1297" s="2">
        <v>0</v>
      </c>
      <c r="AV1297" s="2">
        <v>0</v>
      </c>
      <c r="AW1297" s="4"/>
      <c r="AX1297" t="s">
        <v>75</v>
      </c>
      <c r="AZ1297" t="s">
        <v>669</v>
      </c>
      <c r="BA1297" t="s">
        <v>67</v>
      </c>
      <c r="BB1297" t="s">
        <v>670</v>
      </c>
      <c r="BC1297" t="s">
        <v>126</v>
      </c>
      <c r="BD1297" t="s">
        <v>79</v>
      </c>
      <c r="BE1297" t="s">
        <v>117</v>
      </c>
      <c r="BF1297" s="5">
        <v>46569</v>
      </c>
      <c r="BH1297">
        <v>15</v>
      </c>
      <c r="BI1297" s="6">
        <v>350000</v>
      </c>
      <c r="BJ1297" s="6">
        <v>0</v>
      </c>
      <c r="BK1297" s="6">
        <v>215000</v>
      </c>
      <c r="BL1297" s="6">
        <v>135000</v>
      </c>
      <c r="BM1297" s="2">
        <v>2025000</v>
      </c>
      <c r="BN1297">
        <f>InvoiceTable[[#This Row],[Giảm giá]]*InvoiceTable[[#This Row],[Số lượng]]</f>
        <v>3225000</v>
      </c>
    </row>
    <row r="1298" spans="1:66" x14ac:dyDescent="0.25">
      <c r="A1298" t="s">
        <v>65</v>
      </c>
      <c r="B1298" t="s">
        <v>3501</v>
      </c>
      <c r="F1298" s="2"/>
      <c r="G1298" s="3">
        <v>46002.68370170139</v>
      </c>
      <c r="H1298" s="3">
        <v>46002.683678668982</v>
      </c>
      <c r="I1298" s="4" t="s">
        <v>3298</v>
      </c>
      <c r="J1298" t="s">
        <v>67</v>
      </c>
      <c r="K1298" t="s">
        <v>67</v>
      </c>
      <c r="L1298" t="s">
        <v>876</v>
      </c>
      <c r="M1298" t="s">
        <v>877</v>
      </c>
      <c r="N1298" t="s">
        <v>67</v>
      </c>
      <c r="O1298" t="s">
        <v>878</v>
      </c>
      <c r="P1298" t="s">
        <v>879</v>
      </c>
      <c r="Q1298" t="s">
        <v>880</v>
      </c>
      <c r="R1298" t="s">
        <v>881</v>
      </c>
      <c r="S1298" s="5"/>
      <c r="T1298" t="s">
        <v>72</v>
      </c>
      <c r="U1298" t="s">
        <v>87</v>
      </c>
      <c r="V1298" t="s">
        <v>74</v>
      </c>
      <c r="W1298" t="s">
        <v>87</v>
      </c>
      <c r="AE1298" s="2"/>
      <c r="AF1298" s="2"/>
      <c r="AG1298" s="2"/>
      <c r="AH1298" s="2"/>
      <c r="AL1298" s="2">
        <v>5700000</v>
      </c>
      <c r="AM1298" s="2">
        <v>0</v>
      </c>
      <c r="AN1298" s="2"/>
      <c r="AO1298" s="2">
        <v>0</v>
      </c>
      <c r="AP1298" s="2">
        <v>5700000</v>
      </c>
      <c r="AQ1298" s="2">
        <v>0</v>
      </c>
      <c r="AR1298" s="2">
        <v>0</v>
      </c>
      <c r="AS1298" s="2">
        <v>0</v>
      </c>
      <c r="AT1298" s="2">
        <v>0</v>
      </c>
      <c r="AU1298" s="2">
        <v>0</v>
      </c>
      <c r="AV1298" s="2">
        <v>0</v>
      </c>
      <c r="AW1298" s="4"/>
      <c r="AX1298" t="s">
        <v>75</v>
      </c>
      <c r="AZ1298" t="s">
        <v>2105</v>
      </c>
      <c r="BA1298" t="s">
        <v>67</v>
      </c>
      <c r="BB1298" t="s">
        <v>2106</v>
      </c>
      <c r="BC1298" t="s">
        <v>784</v>
      </c>
      <c r="BD1298" t="s">
        <v>268</v>
      </c>
      <c r="BE1298" t="s">
        <v>1351</v>
      </c>
      <c r="BF1298" s="5">
        <v>46477</v>
      </c>
      <c r="BG1298" t="s">
        <v>67</v>
      </c>
      <c r="BH1298">
        <v>1</v>
      </c>
      <c r="BI1298" s="6">
        <v>3972000</v>
      </c>
      <c r="BJ1298" s="6">
        <v>0</v>
      </c>
      <c r="BK1298" s="6">
        <v>972000</v>
      </c>
      <c r="BL1298" s="6">
        <v>3000000</v>
      </c>
      <c r="BM1298" s="2">
        <v>3000000</v>
      </c>
      <c r="BN1298">
        <f>InvoiceTable[[#This Row],[Giảm giá]]*InvoiceTable[[#This Row],[Số lượng]]</f>
        <v>972000</v>
      </c>
    </row>
    <row r="1299" spans="1:66" x14ac:dyDescent="0.25">
      <c r="A1299" t="s">
        <v>65</v>
      </c>
      <c r="B1299" t="s">
        <v>3501</v>
      </c>
      <c r="F1299" s="2"/>
      <c r="G1299" s="3">
        <v>46002.68370170139</v>
      </c>
      <c r="H1299" s="3">
        <v>46002.683678668982</v>
      </c>
      <c r="I1299" s="4" t="s">
        <v>3298</v>
      </c>
      <c r="J1299" t="s">
        <v>67</v>
      </c>
      <c r="K1299" t="s">
        <v>67</v>
      </c>
      <c r="L1299" t="s">
        <v>876</v>
      </c>
      <c r="M1299" t="s">
        <v>877</v>
      </c>
      <c r="N1299" t="s">
        <v>67</v>
      </c>
      <c r="O1299" t="s">
        <v>878</v>
      </c>
      <c r="P1299" t="s">
        <v>879</v>
      </c>
      <c r="Q1299" t="s">
        <v>880</v>
      </c>
      <c r="R1299" t="s">
        <v>881</v>
      </c>
      <c r="S1299" s="5"/>
      <c r="T1299" t="s">
        <v>72</v>
      </c>
      <c r="U1299" t="s">
        <v>87</v>
      </c>
      <c r="V1299" t="s">
        <v>74</v>
      </c>
      <c r="W1299" t="s">
        <v>87</v>
      </c>
      <c r="AE1299" s="2"/>
      <c r="AF1299" s="2"/>
      <c r="AG1299" s="2"/>
      <c r="AH1299" s="2"/>
      <c r="AL1299" s="2">
        <v>5700000</v>
      </c>
      <c r="AM1299" s="2">
        <v>0</v>
      </c>
      <c r="AN1299" s="2"/>
      <c r="AO1299" s="2">
        <v>0</v>
      </c>
      <c r="AP1299" s="2">
        <v>5700000</v>
      </c>
      <c r="AQ1299" s="2">
        <v>0</v>
      </c>
      <c r="AR1299" s="2">
        <v>0</v>
      </c>
      <c r="AS1299" s="2">
        <v>0</v>
      </c>
      <c r="AT1299" s="2">
        <v>0</v>
      </c>
      <c r="AU1299" s="2">
        <v>0</v>
      </c>
      <c r="AV1299" s="2">
        <v>0</v>
      </c>
      <c r="AW1299" s="4"/>
      <c r="AX1299" t="s">
        <v>75</v>
      </c>
      <c r="AZ1299" t="s">
        <v>782</v>
      </c>
      <c r="BA1299" t="s">
        <v>67</v>
      </c>
      <c r="BB1299" t="s">
        <v>783</v>
      </c>
      <c r="BC1299" t="s">
        <v>784</v>
      </c>
      <c r="BD1299" t="s">
        <v>79</v>
      </c>
      <c r="BE1299" t="s">
        <v>106</v>
      </c>
      <c r="BF1299" s="5">
        <v>46327</v>
      </c>
      <c r="BH1299">
        <v>1</v>
      </c>
      <c r="BI1299" s="6">
        <v>3550000</v>
      </c>
      <c r="BJ1299" s="6">
        <v>0</v>
      </c>
      <c r="BK1299" s="6">
        <v>850000</v>
      </c>
      <c r="BL1299" s="6">
        <v>2700000</v>
      </c>
      <c r="BM1299" s="2">
        <v>2700000</v>
      </c>
      <c r="BN1299">
        <f>InvoiceTable[[#This Row],[Giảm giá]]*InvoiceTable[[#This Row],[Số lượng]]</f>
        <v>850000</v>
      </c>
    </row>
    <row r="1300" spans="1:66" x14ac:dyDescent="0.25">
      <c r="A1300" t="s">
        <v>65</v>
      </c>
      <c r="B1300" t="s">
        <v>3502</v>
      </c>
      <c r="F1300" s="2"/>
      <c r="G1300" s="3">
        <v>46002.681784062501</v>
      </c>
      <c r="H1300" s="3">
        <v>46002.681784143519</v>
      </c>
      <c r="I1300" s="4" t="s">
        <v>67</v>
      </c>
      <c r="J1300" t="s">
        <v>67</v>
      </c>
      <c r="K1300" t="s">
        <v>67</v>
      </c>
      <c r="L1300" t="s">
        <v>303</v>
      </c>
      <c r="M1300" t="s">
        <v>304</v>
      </c>
      <c r="N1300" t="s">
        <v>67</v>
      </c>
      <c r="O1300" t="s">
        <v>305</v>
      </c>
      <c r="P1300" t="s">
        <v>306</v>
      </c>
      <c r="Q1300" t="s">
        <v>67</v>
      </c>
      <c r="R1300" t="s">
        <v>67</v>
      </c>
      <c r="S1300" s="5"/>
      <c r="T1300" t="s">
        <v>72</v>
      </c>
      <c r="U1300" t="s">
        <v>87</v>
      </c>
      <c r="V1300" t="s">
        <v>74</v>
      </c>
      <c r="W1300" t="s">
        <v>87</v>
      </c>
      <c r="AE1300" s="2"/>
      <c r="AF1300" s="2"/>
      <c r="AG1300" s="2"/>
      <c r="AH1300" s="2"/>
      <c r="AL1300" s="2">
        <v>38800000</v>
      </c>
      <c r="AM1300" s="2">
        <v>0</v>
      </c>
      <c r="AN1300" s="2"/>
      <c r="AO1300" s="2">
        <v>0</v>
      </c>
      <c r="AP1300" s="2">
        <v>38800000</v>
      </c>
      <c r="AQ1300" s="2">
        <v>0</v>
      </c>
      <c r="AR1300" s="2">
        <v>0</v>
      </c>
      <c r="AS1300" s="2">
        <v>0</v>
      </c>
      <c r="AT1300" s="2">
        <v>0</v>
      </c>
      <c r="AU1300" s="2">
        <v>0</v>
      </c>
      <c r="AV1300" s="2">
        <v>0</v>
      </c>
      <c r="AW1300" s="4"/>
      <c r="AX1300" t="s">
        <v>75</v>
      </c>
      <c r="AZ1300" t="s">
        <v>103</v>
      </c>
      <c r="BB1300" t="s">
        <v>104</v>
      </c>
      <c r="BC1300" t="s">
        <v>105</v>
      </c>
      <c r="BD1300" t="s">
        <v>79</v>
      </c>
      <c r="BE1300" t="s">
        <v>106</v>
      </c>
      <c r="BF1300" s="5">
        <v>46327</v>
      </c>
      <c r="BH1300">
        <v>10</v>
      </c>
      <c r="BI1300" s="6">
        <v>6930000</v>
      </c>
      <c r="BJ1300" s="6">
        <v>0</v>
      </c>
      <c r="BK1300" s="6">
        <v>3050000</v>
      </c>
      <c r="BL1300" s="6">
        <v>3880000</v>
      </c>
      <c r="BM1300" s="2">
        <v>38800000</v>
      </c>
      <c r="BN1300">
        <f>InvoiceTable[[#This Row],[Giảm giá]]*InvoiceTable[[#This Row],[Số lượng]]</f>
        <v>30500000</v>
      </c>
    </row>
    <row r="1301" spans="1:66" x14ac:dyDescent="0.25">
      <c r="A1301" t="s">
        <v>65</v>
      </c>
      <c r="B1301" t="s">
        <v>3503</v>
      </c>
      <c r="F1301" s="2"/>
      <c r="G1301" s="3">
        <v>46002.681013275462</v>
      </c>
      <c r="H1301" s="3">
        <v>46002.68096716435</v>
      </c>
      <c r="I1301" s="4" t="s">
        <v>3066</v>
      </c>
      <c r="J1301" t="s">
        <v>67</v>
      </c>
      <c r="K1301" t="s">
        <v>67</v>
      </c>
      <c r="L1301" t="s">
        <v>672</v>
      </c>
      <c r="M1301" t="s">
        <v>673</v>
      </c>
      <c r="N1301" t="s">
        <v>67</v>
      </c>
      <c r="Q1301" t="s">
        <v>67</v>
      </c>
      <c r="R1301" t="s">
        <v>67</v>
      </c>
      <c r="S1301" s="5"/>
      <c r="T1301" t="s">
        <v>72</v>
      </c>
      <c r="U1301" t="s">
        <v>87</v>
      </c>
      <c r="V1301" t="s">
        <v>74</v>
      </c>
      <c r="W1301" t="s">
        <v>87</v>
      </c>
      <c r="AE1301" s="2"/>
      <c r="AF1301" s="2"/>
      <c r="AG1301" s="2"/>
      <c r="AH1301" s="2"/>
      <c r="AL1301" s="2">
        <v>5450000</v>
      </c>
      <c r="AM1301" s="2">
        <v>0</v>
      </c>
      <c r="AN1301" s="2"/>
      <c r="AO1301" s="2">
        <v>0</v>
      </c>
      <c r="AP1301" s="2">
        <v>5450000</v>
      </c>
      <c r="AQ1301" s="2">
        <v>5450000</v>
      </c>
      <c r="AR1301" s="2">
        <v>5450000</v>
      </c>
      <c r="AS1301" s="2">
        <v>0</v>
      </c>
      <c r="AT1301" s="2">
        <v>0</v>
      </c>
      <c r="AU1301" s="2">
        <v>0</v>
      </c>
      <c r="AV1301" s="2">
        <v>0</v>
      </c>
      <c r="AW1301" s="4"/>
      <c r="AX1301" t="s">
        <v>75</v>
      </c>
      <c r="AZ1301" t="s">
        <v>1019</v>
      </c>
      <c r="BA1301" t="s">
        <v>67</v>
      </c>
      <c r="BB1301" t="s">
        <v>1020</v>
      </c>
      <c r="BC1301" t="s">
        <v>676</v>
      </c>
      <c r="BD1301" t="s">
        <v>79</v>
      </c>
      <c r="BE1301" t="s">
        <v>131</v>
      </c>
      <c r="BF1301" s="5">
        <v>46874</v>
      </c>
      <c r="BH1301">
        <v>1</v>
      </c>
      <c r="BI1301" s="6">
        <v>1690000</v>
      </c>
      <c r="BJ1301" s="6">
        <v>0</v>
      </c>
      <c r="BK1301" s="6">
        <v>600000</v>
      </c>
      <c r="BL1301" s="6">
        <v>1090000</v>
      </c>
      <c r="BM1301" s="2">
        <v>1090000</v>
      </c>
      <c r="BN1301">
        <f>InvoiceTable[[#This Row],[Giảm giá]]*InvoiceTable[[#This Row],[Số lượng]]</f>
        <v>600000</v>
      </c>
    </row>
    <row r="1302" spans="1:66" x14ac:dyDescent="0.25">
      <c r="A1302" t="s">
        <v>65</v>
      </c>
      <c r="B1302" t="s">
        <v>3503</v>
      </c>
      <c r="F1302" s="2"/>
      <c r="G1302" s="3">
        <v>46002.681013275462</v>
      </c>
      <c r="H1302" s="3">
        <v>46002.68096716435</v>
      </c>
      <c r="I1302" s="4" t="s">
        <v>3066</v>
      </c>
      <c r="J1302" t="s">
        <v>67</v>
      </c>
      <c r="K1302" t="s">
        <v>67</v>
      </c>
      <c r="L1302" t="s">
        <v>672</v>
      </c>
      <c r="M1302" t="s">
        <v>673</v>
      </c>
      <c r="N1302" t="s">
        <v>67</v>
      </c>
      <c r="Q1302" t="s">
        <v>67</v>
      </c>
      <c r="R1302" t="s">
        <v>67</v>
      </c>
      <c r="S1302" s="5"/>
      <c r="T1302" t="s">
        <v>72</v>
      </c>
      <c r="U1302" t="s">
        <v>87</v>
      </c>
      <c r="V1302" t="s">
        <v>74</v>
      </c>
      <c r="W1302" t="s">
        <v>87</v>
      </c>
      <c r="AE1302" s="2"/>
      <c r="AF1302" s="2"/>
      <c r="AG1302" s="2"/>
      <c r="AH1302" s="2"/>
      <c r="AL1302" s="2">
        <v>5450000</v>
      </c>
      <c r="AM1302" s="2">
        <v>0</v>
      </c>
      <c r="AN1302" s="2"/>
      <c r="AO1302" s="2">
        <v>0</v>
      </c>
      <c r="AP1302" s="2">
        <v>5450000</v>
      </c>
      <c r="AQ1302" s="2">
        <v>5450000</v>
      </c>
      <c r="AR1302" s="2">
        <v>5450000</v>
      </c>
      <c r="AS1302" s="2">
        <v>0</v>
      </c>
      <c r="AT1302" s="2">
        <v>0</v>
      </c>
      <c r="AU1302" s="2">
        <v>0</v>
      </c>
      <c r="AV1302" s="2">
        <v>0</v>
      </c>
      <c r="AW1302" s="4"/>
      <c r="AX1302" t="s">
        <v>75</v>
      </c>
      <c r="AZ1302" t="s">
        <v>674</v>
      </c>
      <c r="BA1302" t="s">
        <v>67</v>
      </c>
      <c r="BB1302" t="s">
        <v>675</v>
      </c>
      <c r="BC1302" t="s">
        <v>676</v>
      </c>
      <c r="BD1302" t="s">
        <v>79</v>
      </c>
      <c r="BE1302" t="s">
        <v>677</v>
      </c>
      <c r="BF1302" s="5">
        <v>46943</v>
      </c>
      <c r="BH1302">
        <v>3</v>
      </c>
      <c r="BI1302" s="6">
        <v>1690000</v>
      </c>
      <c r="BJ1302" s="6">
        <v>0</v>
      </c>
      <c r="BK1302" s="6">
        <v>600000</v>
      </c>
      <c r="BL1302" s="6">
        <v>1090000</v>
      </c>
      <c r="BM1302" s="2">
        <v>3270000</v>
      </c>
      <c r="BN1302">
        <f>InvoiceTable[[#This Row],[Giảm giá]]*InvoiceTable[[#This Row],[Số lượng]]</f>
        <v>1800000</v>
      </c>
    </row>
    <row r="1303" spans="1:66" x14ac:dyDescent="0.25">
      <c r="A1303" t="s">
        <v>65</v>
      </c>
      <c r="B1303" t="s">
        <v>3503</v>
      </c>
      <c r="F1303" s="2"/>
      <c r="G1303" s="3">
        <v>46002.681013275462</v>
      </c>
      <c r="H1303" s="3">
        <v>46002.68096716435</v>
      </c>
      <c r="I1303" s="4" t="s">
        <v>3066</v>
      </c>
      <c r="J1303" t="s">
        <v>67</v>
      </c>
      <c r="K1303" t="s">
        <v>67</v>
      </c>
      <c r="L1303" t="s">
        <v>672</v>
      </c>
      <c r="M1303" t="s">
        <v>673</v>
      </c>
      <c r="N1303" t="s">
        <v>67</v>
      </c>
      <c r="Q1303" t="s">
        <v>67</v>
      </c>
      <c r="R1303" t="s">
        <v>67</v>
      </c>
      <c r="S1303" s="5"/>
      <c r="T1303" t="s">
        <v>72</v>
      </c>
      <c r="U1303" t="s">
        <v>87</v>
      </c>
      <c r="V1303" t="s">
        <v>74</v>
      </c>
      <c r="W1303" t="s">
        <v>87</v>
      </c>
      <c r="AE1303" s="2"/>
      <c r="AF1303" s="2"/>
      <c r="AG1303" s="2"/>
      <c r="AH1303" s="2"/>
      <c r="AL1303" s="2">
        <v>5450000</v>
      </c>
      <c r="AM1303" s="2">
        <v>0</v>
      </c>
      <c r="AN1303" s="2"/>
      <c r="AO1303" s="2">
        <v>0</v>
      </c>
      <c r="AP1303" s="2">
        <v>5450000</v>
      </c>
      <c r="AQ1303" s="2">
        <v>5450000</v>
      </c>
      <c r="AR1303" s="2">
        <v>5450000</v>
      </c>
      <c r="AS1303" s="2">
        <v>0</v>
      </c>
      <c r="AT1303" s="2">
        <v>0</v>
      </c>
      <c r="AU1303" s="2">
        <v>0</v>
      </c>
      <c r="AV1303" s="2">
        <v>0</v>
      </c>
      <c r="AW1303" s="4"/>
      <c r="AX1303" t="s">
        <v>75</v>
      </c>
      <c r="AZ1303" t="s">
        <v>1494</v>
      </c>
      <c r="BA1303" t="s">
        <v>67</v>
      </c>
      <c r="BB1303" t="s">
        <v>1495</v>
      </c>
      <c r="BC1303" t="s">
        <v>676</v>
      </c>
      <c r="BD1303" t="s">
        <v>79</v>
      </c>
      <c r="BE1303" t="s">
        <v>117</v>
      </c>
      <c r="BF1303" s="5">
        <v>46569</v>
      </c>
      <c r="BH1303">
        <v>1</v>
      </c>
      <c r="BI1303" s="6">
        <v>1690000</v>
      </c>
      <c r="BJ1303" s="6">
        <v>0</v>
      </c>
      <c r="BK1303" s="6">
        <v>600000</v>
      </c>
      <c r="BL1303" s="6">
        <v>1090000</v>
      </c>
      <c r="BM1303" s="2">
        <v>1090000</v>
      </c>
      <c r="BN1303">
        <f>InvoiceTable[[#This Row],[Giảm giá]]*InvoiceTable[[#This Row],[Số lượng]]</f>
        <v>600000</v>
      </c>
    </row>
    <row r="1304" spans="1:66" x14ac:dyDescent="0.25">
      <c r="A1304" t="s">
        <v>65</v>
      </c>
      <c r="B1304" t="s">
        <v>3504</v>
      </c>
      <c r="F1304" s="2"/>
      <c r="G1304" s="3">
        <v>46002.679780358798</v>
      </c>
      <c r="H1304" s="3">
        <v>46002.679780520833</v>
      </c>
      <c r="I1304" s="4" t="s">
        <v>67</v>
      </c>
      <c r="J1304" t="s">
        <v>3505</v>
      </c>
      <c r="K1304" t="s">
        <v>67</v>
      </c>
      <c r="L1304" t="s">
        <v>119</v>
      </c>
      <c r="M1304" t="s">
        <v>120</v>
      </c>
      <c r="N1304" t="s">
        <v>67</v>
      </c>
      <c r="O1304" t="s">
        <v>121</v>
      </c>
      <c r="Q1304" t="s">
        <v>122</v>
      </c>
      <c r="R1304" t="s">
        <v>123</v>
      </c>
      <c r="S1304" s="5"/>
      <c r="T1304" t="s">
        <v>72</v>
      </c>
      <c r="U1304" t="s">
        <v>102</v>
      </c>
      <c r="V1304" t="s">
        <v>74</v>
      </c>
      <c r="W1304" t="s">
        <v>87</v>
      </c>
      <c r="AE1304" s="2"/>
      <c r="AF1304" s="2"/>
      <c r="AG1304" s="2"/>
      <c r="AH1304" s="2"/>
      <c r="AK1304" t="s">
        <v>613</v>
      </c>
      <c r="AL1304" s="2">
        <v>263363</v>
      </c>
      <c r="AM1304" s="2">
        <v>0</v>
      </c>
      <c r="AN1304" s="2"/>
      <c r="AO1304" s="2">
        <v>0</v>
      </c>
      <c r="AP1304" s="2">
        <v>263363</v>
      </c>
      <c r="AQ1304" s="2">
        <v>0</v>
      </c>
      <c r="AR1304" s="2">
        <v>0</v>
      </c>
      <c r="AS1304" s="2">
        <v>0</v>
      </c>
      <c r="AT1304" s="2">
        <v>0</v>
      </c>
      <c r="AU1304" s="2">
        <v>0</v>
      </c>
      <c r="AV1304" s="2">
        <v>0</v>
      </c>
      <c r="AW1304" s="4"/>
      <c r="AX1304" t="s">
        <v>75</v>
      </c>
      <c r="AZ1304" t="s">
        <v>860</v>
      </c>
      <c r="BA1304" t="s">
        <v>67</v>
      </c>
      <c r="BB1304" t="s">
        <v>861</v>
      </c>
      <c r="BC1304" t="s">
        <v>191</v>
      </c>
      <c r="BD1304" t="s">
        <v>79</v>
      </c>
      <c r="BE1304" t="s">
        <v>862</v>
      </c>
      <c r="BF1304" s="5">
        <v>47515</v>
      </c>
      <c r="BH1304">
        <v>1</v>
      </c>
      <c r="BI1304" s="6">
        <v>470291</v>
      </c>
      <c r="BJ1304" s="6">
        <v>44</v>
      </c>
      <c r="BK1304" s="6">
        <v>206928.04</v>
      </c>
      <c r="BL1304" s="6">
        <v>263362.96000000002</v>
      </c>
      <c r="BM1304" s="2">
        <v>263363</v>
      </c>
      <c r="BN1304">
        <f>InvoiceTable[[#This Row],[Giảm giá]]*InvoiceTable[[#This Row],[Số lượng]]</f>
        <v>206928.04</v>
      </c>
    </row>
    <row r="1305" spans="1:66" x14ac:dyDescent="0.25">
      <c r="A1305" t="s">
        <v>65</v>
      </c>
      <c r="B1305" t="s">
        <v>3506</v>
      </c>
      <c r="F1305" s="2"/>
      <c r="G1305" s="3">
        <v>46002.679646608798</v>
      </c>
      <c r="H1305" s="3">
        <v>46002.679646793978</v>
      </c>
      <c r="I1305" s="4" t="s">
        <v>67</v>
      </c>
      <c r="J1305" t="s">
        <v>3507</v>
      </c>
      <c r="K1305" t="s">
        <v>67</v>
      </c>
      <c r="L1305" t="s">
        <v>3508</v>
      </c>
      <c r="M1305" t="s">
        <v>3509</v>
      </c>
      <c r="N1305" t="s">
        <v>3510</v>
      </c>
      <c r="O1305" t="s">
        <v>3511</v>
      </c>
      <c r="P1305" t="s">
        <v>3512</v>
      </c>
      <c r="Q1305" t="s">
        <v>3513</v>
      </c>
      <c r="R1305" t="s">
        <v>460</v>
      </c>
      <c r="S1305" s="5"/>
      <c r="T1305" t="s">
        <v>72</v>
      </c>
      <c r="U1305" t="s">
        <v>73</v>
      </c>
      <c r="V1305" t="s">
        <v>74</v>
      </c>
      <c r="W1305" t="s">
        <v>73</v>
      </c>
      <c r="AE1305" s="2"/>
      <c r="AF1305" s="2"/>
      <c r="AG1305" s="2"/>
      <c r="AH1305" s="2"/>
      <c r="AK1305" t="s">
        <v>613</v>
      </c>
      <c r="AL1305" s="2">
        <v>1060000</v>
      </c>
      <c r="AM1305" s="2">
        <v>0</v>
      </c>
      <c r="AN1305" s="2"/>
      <c r="AO1305" s="2">
        <v>0</v>
      </c>
      <c r="AP1305" s="2">
        <v>1060000</v>
      </c>
      <c r="AQ1305" s="2">
        <v>1060000</v>
      </c>
      <c r="AR1305" s="2">
        <v>1060000</v>
      </c>
      <c r="AS1305" s="2">
        <v>0</v>
      </c>
      <c r="AT1305" s="2">
        <v>0</v>
      </c>
      <c r="AU1305" s="2">
        <v>0</v>
      </c>
      <c r="AV1305" s="2">
        <v>0</v>
      </c>
      <c r="AW1305" s="4"/>
      <c r="AX1305" t="s">
        <v>75</v>
      </c>
      <c r="AZ1305" t="s">
        <v>1989</v>
      </c>
      <c r="BA1305" t="s">
        <v>67</v>
      </c>
      <c r="BB1305" t="s">
        <v>1990</v>
      </c>
      <c r="BC1305" t="s">
        <v>1991</v>
      </c>
      <c r="BD1305" t="s">
        <v>79</v>
      </c>
      <c r="BE1305" t="s">
        <v>94</v>
      </c>
      <c r="BF1305" s="5">
        <v>46692</v>
      </c>
      <c r="BG1305" t="s">
        <v>67</v>
      </c>
      <c r="BH1305">
        <v>20</v>
      </c>
      <c r="BI1305" s="6">
        <v>84000</v>
      </c>
      <c r="BJ1305" s="6">
        <v>36.9</v>
      </c>
      <c r="BK1305" s="6">
        <v>31000</v>
      </c>
      <c r="BL1305" s="6">
        <v>53000</v>
      </c>
      <c r="BM1305" s="2">
        <v>1060000</v>
      </c>
      <c r="BN1305">
        <f>InvoiceTable[[#This Row],[Giảm giá]]*InvoiceTable[[#This Row],[Số lượng]]</f>
        <v>620000</v>
      </c>
    </row>
    <row r="1306" spans="1:66" x14ac:dyDescent="0.25">
      <c r="A1306" t="s">
        <v>65</v>
      </c>
      <c r="B1306" t="s">
        <v>3514</v>
      </c>
      <c r="F1306" s="2"/>
      <c r="G1306" s="3">
        <v>46002.678296296297</v>
      </c>
      <c r="H1306" s="3">
        <v>46002.678296446757</v>
      </c>
      <c r="I1306" s="4" t="s">
        <v>67</v>
      </c>
      <c r="J1306" t="s">
        <v>3515</v>
      </c>
      <c r="K1306" t="s">
        <v>67</v>
      </c>
      <c r="L1306" t="s">
        <v>119</v>
      </c>
      <c r="M1306" t="s">
        <v>120</v>
      </c>
      <c r="N1306" t="s">
        <v>67</v>
      </c>
      <c r="O1306" t="s">
        <v>121</v>
      </c>
      <c r="Q1306" t="s">
        <v>122</v>
      </c>
      <c r="R1306" t="s">
        <v>123</v>
      </c>
      <c r="S1306" s="5"/>
      <c r="T1306" t="s">
        <v>72</v>
      </c>
      <c r="U1306" t="s">
        <v>102</v>
      </c>
      <c r="V1306" t="s">
        <v>74</v>
      </c>
      <c r="W1306" t="s">
        <v>87</v>
      </c>
      <c r="AE1306" s="2"/>
      <c r="AF1306" s="2"/>
      <c r="AG1306" s="2"/>
      <c r="AH1306" s="2"/>
      <c r="AK1306" t="s">
        <v>1003</v>
      </c>
      <c r="AL1306" s="2">
        <v>598500</v>
      </c>
      <c r="AM1306" s="2">
        <v>0</v>
      </c>
      <c r="AN1306" s="2"/>
      <c r="AO1306" s="2">
        <v>0</v>
      </c>
      <c r="AP1306" s="2">
        <v>598500</v>
      </c>
      <c r="AQ1306" s="2">
        <v>0</v>
      </c>
      <c r="AR1306" s="2">
        <v>0</v>
      </c>
      <c r="AS1306" s="2">
        <v>0</v>
      </c>
      <c r="AT1306" s="2">
        <v>0</v>
      </c>
      <c r="AU1306" s="2">
        <v>0</v>
      </c>
      <c r="AV1306" s="2">
        <v>0</v>
      </c>
      <c r="AW1306" s="4"/>
      <c r="AX1306" t="s">
        <v>75</v>
      </c>
      <c r="AZ1306" t="s">
        <v>3516</v>
      </c>
      <c r="BA1306" t="s">
        <v>67</v>
      </c>
      <c r="BB1306" t="s">
        <v>3517</v>
      </c>
      <c r="BC1306" t="s">
        <v>3518</v>
      </c>
      <c r="BD1306" t="s">
        <v>79</v>
      </c>
      <c r="BE1306" t="s">
        <v>339</v>
      </c>
      <c r="BF1306" s="5">
        <v>47270</v>
      </c>
      <c r="BH1306">
        <v>1</v>
      </c>
      <c r="BI1306" s="6">
        <v>1050000</v>
      </c>
      <c r="BJ1306" s="6">
        <v>43</v>
      </c>
      <c r="BK1306" s="6">
        <v>451500</v>
      </c>
      <c r="BL1306" s="6">
        <v>598500</v>
      </c>
      <c r="BM1306" s="2">
        <v>598500</v>
      </c>
      <c r="BN1306">
        <f>InvoiceTable[[#This Row],[Giảm giá]]*InvoiceTable[[#This Row],[Số lượng]]</f>
        <v>451500</v>
      </c>
    </row>
    <row r="1307" spans="1:66" x14ac:dyDescent="0.25">
      <c r="A1307" t="s">
        <v>65</v>
      </c>
      <c r="B1307" t="s">
        <v>3519</v>
      </c>
      <c r="F1307" s="2"/>
      <c r="G1307" s="3">
        <v>46002.678157754628</v>
      </c>
      <c r="H1307" s="3">
        <v>46002.678146331018</v>
      </c>
      <c r="I1307" s="4" t="s">
        <v>3493</v>
      </c>
      <c r="J1307" t="s">
        <v>3520</v>
      </c>
      <c r="K1307" t="s">
        <v>67</v>
      </c>
      <c r="L1307" t="s">
        <v>3508</v>
      </c>
      <c r="M1307" t="s">
        <v>3509</v>
      </c>
      <c r="N1307" t="s">
        <v>3510</v>
      </c>
      <c r="O1307" t="s">
        <v>3511</v>
      </c>
      <c r="P1307" t="s">
        <v>3512</v>
      </c>
      <c r="Q1307" t="s">
        <v>3513</v>
      </c>
      <c r="R1307" t="s">
        <v>460</v>
      </c>
      <c r="S1307" s="5"/>
      <c r="T1307" t="s">
        <v>72</v>
      </c>
      <c r="U1307" t="s">
        <v>73</v>
      </c>
      <c r="V1307" t="s">
        <v>74</v>
      </c>
      <c r="W1307" t="s">
        <v>87</v>
      </c>
      <c r="AE1307" s="2"/>
      <c r="AF1307" s="2"/>
      <c r="AG1307" s="2"/>
      <c r="AH1307" s="2"/>
      <c r="AK1307" t="s">
        <v>282</v>
      </c>
      <c r="AL1307" s="2">
        <v>390000</v>
      </c>
      <c r="AM1307" s="2">
        <v>0</v>
      </c>
      <c r="AN1307" s="2"/>
      <c r="AO1307" s="2">
        <v>0</v>
      </c>
      <c r="AP1307" s="2">
        <v>390000</v>
      </c>
      <c r="AQ1307" s="2">
        <v>390000</v>
      </c>
      <c r="AR1307" s="2">
        <v>390000</v>
      </c>
      <c r="AS1307" s="2">
        <v>0</v>
      </c>
      <c r="AT1307" s="2">
        <v>0</v>
      </c>
      <c r="AU1307" s="2">
        <v>0</v>
      </c>
      <c r="AV1307" s="2">
        <v>0</v>
      </c>
      <c r="AW1307" s="4"/>
      <c r="AX1307" t="s">
        <v>75</v>
      </c>
      <c r="AZ1307" t="s">
        <v>3398</v>
      </c>
      <c r="BA1307" t="s">
        <v>67</v>
      </c>
      <c r="BB1307" t="s">
        <v>3399</v>
      </c>
      <c r="BC1307" t="s">
        <v>1183</v>
      </c>
      <c r="BD1307" t="s">
        <v>79</v>
      </c>
      <c r="BE1307" t="s">
        <v>188</v>
      </c>
      <c r="BF1307" s="5">
        <v>46905</v>
      </c>
      <c r="BG1307" t="s">
        <v>67</v>
      </c>
      <c r="BH1307">
        <v>1</v>
      </c>
      <c r="BI1307" s="6">
        <v>780000</v>
      </c>
      <c r="BJ1307" s="6">
        <v>50</v>
      </c>
      <c r="BK1307" s="6">
        <v>390000</v>
      </c>
      <c r="BL1307" s="6">
        <v>390000</v>
      </c>
      <c r="BM1307" s="2">
        <v>390000</v>
      </c>
      <c r="BN1307">
        <f>InvoiceTable[[#This Row],[Giảm giá]]*InvoiceTable[[#This Row],[Số lượng]]</f>
        <v>390000</v>
      </c>
    </row>
    <row r="1308" spans="1:66" x14ac:dyDescent="0.25">
      <c r="A1308" t="s">
        <v>65</v>
      </c>
      <c r="B1308" t="s">
        <v>3521</v>
      </c>
      <c r="F1308" s="2"/>
      <c r="G1308" s="3">
        <v>46002.677814085648</v>
      </c>
      <c r="H1308" s="3">
        <v>46002.677663692128</v>
      </c>
      <c r="I1308" s="4" t="s">
        <v>1050</v>
      </c>
      <c r="J1308" t="s">
        <v>3522</v>
      </c>
      <c r="K1308" t="s">
        <v>67</v>
      </c>
      <c r="L1308" t="s">
        <v>3523</v>
      </c>
      <c r="M1308" t="s">
        <v>3524</v>
      </c>
      <c r="N1308" t="s">
        <v>67</v>
      </c>
      <c r="O1308" t="s">
        <v>3525</v>
      </c>
      <c r="P1308" t="s">
        <v>3526</v>
      </c>
      <c r="Q1308" t="s">
        <v>67</v>
      </c>
      <c r="R1308" t="s">
        <v>67</v>
      </c>
      <c r="S1308" s="5"/>
      <c r="T1308" t="s">
        <v>72</v>
      </c>
      <c r="U1308" t="s">
        <v>102</v>
      </c>
      <c r="V1308" t="s">
        <v>74</v>
      </c>
      <c r="W1308" t="s">
        <v>87</v>
      </c>
      <c r="AE1308" s="2"/>
      <c r="AF1308" s="2"/>
      <c r="AG1308" s="2"/>
      <c r="AH1308" s="2"/>
      <c r="AK1308" t="s">
        <v>67</v>
      </c>
      <c r="AL1308" s="2">
        <v>1730000</v>
      </c>
      <c r="AM1308" s="2">
        <v>0</v>
      </c>
      <c r="AN1308" s="2"/>
      <c r="AO1308" s="2">
        <v>0</v>
      </c>
      <c r="AP1308" s="2">
        <v>1730000</v>
      </c>
      <c r="AQ1308" s="2">
        <v>0</v>
      </c>
      <c r="AR1308" s="2">
        <v>0</v>
      </c>
      <c r="AS1308" s="2">
        <v>0</v>
      </c>
      <c r="AT1308" s="2">
        <v>0</v>
      </c>
      <c r="AU1308" s="2">
        <v>0</v>
      </c>
      <c r="AV1308" s="2">
        <v>0</v>
      </c>
      <c r="AW1308" s="4"/>
      <c r="AX1308" t="s">
        <v>75</v>
      </c>
      <c r="AZ1308" t="s">
        <v>872</v>
      </c>
      <c r="BA1308" t="s">
        <v>67</v>
      </c>
      <c r="BB1308" t="s">
        <v>873</v>
      </c>
      <c r="BC1308" t="s">
        <v>874</v>
      </c>
      <c r="BD1308" t="s">
        <v>79</v>
      </c>
      <c r="BE1308" t="s">
        <v>155</v>
      </c>
      <c r="BF1308" s="5">
        <v>46600</v>
      </c>
      <c r="BH1308">
        <v>1</v>
      </c>
      <c r="BI1308" s="6">
        <v>2750000</v>
      </c>
      <c r="BJ1308" s="6">
        <v>0</v>
      </c>
      <c r="BK1308" s="6">
        <v>1020000</v>
      </c>
      <c r="BL1308" s="6">
        <v>1730000</v>
      </c>
      <c r="BM1308" s="2">
        <v>1730000</v>
      </c>
      <c r="BN1308">
        <f>InvoiceTable[[#This Row],[Giảm giá]]*InvoiceTable[[#This Row],[Số lượng]]</f>
        <v>1020000</v>
      </c>
    </row>
    <row r="1309" spans="1:66" x14ac:dyDescent="0.25">
      <c r="A1309" t="s">
        <v>65</v>
      </c>
      <c r="B1309" t="s">
        <v>3527</v>
      </c>
      <c r="F1309" s="2"/>
      <c r="G1309" s="3">
        <v>46002.67657152778</v>
      </c>
      <c r="H1309" s="3">
        <v>46002.676571643518</v>
      </c>
      <c r="I1309" s="4" t="s">
        <v>67</v>
      </c>
      <c r="J1309" t="s">
        <v>3528</v>
      </c>
      <c r="K1309" t="s">
        <v>67</v>
      </c>
      <c r="L1309" t="s">
        <v>3523</v>
      </c>
      <c r="M1309" t="s">
        <v>3524</v>
      </c>
      <c r="N1309" t="s">
        <v>67</v>
      </c>
      <c r="O1309" t="s">
        <v>3525</v>
      </c>
      <c r="P1309" t="s">
        <v>3526</v>
      </c>
      <c r="Q1309" t="s">
        <v>67</v>
      </c>
      <c r="R1309" t="s">
        <v>67</v>
      </c>
      <c r="S1309" s="5"/>
      <c r="T1309" t="s">
        <v>72</v>
      </c>
      <c r="U1309" t="s">
        <v>102</v>
      </c>
      <c r="V1309" t="s">
        <v>74</v>
      </c>
      <c r="W1309" t="s">
        <v>87</v>
      </c>
      <c r="AE1309" s="2"/>
      <c r="AF1309" s="2"/>
      <c r="AG1309" s="2"/>
      <c r="AH1309" s="2"/>
      <c r="AK1309" t="s">
        <v>67</v>
      </c>
      <c r="AL1309" s="2">
        <v>665967</v>
      </c>
      <c r="AM1309" s="2">
        <v>0</v>
      </c>
      <c r="AN1309" s="2"/>
      <c r="AO1309" s="2">
        <v>0</v>
      </c>
      <c r="AP1309" s="2">
        <v>665967</v>
      </c>
      <c r="AQ1309" s="2">
        <v>0</v>
      </c>
      <c r="AR1309" s="2">
        <v>0</v>
      </c>
      <c r="AS1309" s="2">
        <v>0</v>
      </c>
      <c r="AT1309" s="2">
        <v>0</v>
      </c>
      <c r="AU1309" s="2">
        <v>0</v>
      </c>
      <c r="AV1309" s="2">
        <v>0</v>
      </c>
      <c r="AW1309" s="4"/>
      <c r="AX1309" t="s">
        <v>75</v>
      </c>
      <c r="AZ1309" t="s">
        <v>2193</v>
      </c>
      <c r="BA1309" t="s">
        <v>67</v>
      </c>
      <c r="BB1309" t="s">
        <v>2194</v>
      </c>
      <c r="BC1309" t="s">
        <v>191</v>
      </c>
      <c r="BD1309" t="s">
        <v>79</v>
      </c>
      <c r="BE1309" t="s">
        <v>823</v>
      </c>
      <c r="BF1309" s="5">
        <v>47574</v>
      </c>
      <c r="BH1309">
        <v>2</v>
      </c>
      <c r="BI1309" s="6">
        <v>584182</v>
      </c>
      <c r="BJ1309" s="6">
        <v>43</v>
      </c>
      <c r="BK1309" s="6">
        <v>251198.26</v>
      </c>
      <c r="BL1309" s="6">
        <v>332983.74</v>
      </c>
      <c r="BM1309" s="2">
        <v>665967</v>
      </c>
      <c r="BN1309">
        <f>InvoiceTable[[#This Row],[Giảm giá]]*InvoiceTable[[#This Row],[Số lượng]]</f>
        <v>502396.52</v>
      </c>
    </row>
    <row r="1310" spans="1:66" x14ac:dyDescent="0.25">
      <c r="A1310" t="s">
        <v>65</v>
      </c>
      <c r="B1310" t="s">
        <v>3529</v>
      </c>
      <c r="F1310" s="2"/>
      <c r="G1310" s="3">
        <v>46002.676146608799</v>
      </c>
      <c r="H1310" s="3">
        <v>46002.676146759259</v>
      </c>
      <c r="I1310" s="4" t="s">
        <v>67</v>
      </c>
      <c r="J1310" t="s">
        <v>3530</v>
      </c>
      <c r="K1310" t="s">
        <v>67</v>
      </c>
      <c r="L1310" t="s">
        <v>464</v>
      </c>
      <c r="M1310" t="s">
        <v>465</v>
      </c>
      <c r="N1310" t="s">
        <v>466</v>
      </c>
      <c r="O1310" t="s">
        <v>467</v>
      </c>
      <c r="P1310" t="s">
        <v>468</v>
      </c>
      <c r="S1310" s="5"/>
      <c r="T1310" t="s">
        <v>72</v>
      </c>
      <c r="U1310" t="s">
        <v>73</v>
      </c>
      <c r="V1310" t="s">
        <v>74</v>
      </c>
      <c r="W1310" t="s">
        <v>87</v>
      </c>
      <c r="AE1310" s="2"/>
      <c r="AF1310" s="2"/>
      <c r="AG1310" s="2"/>
      <c r="AH1310" s="2"/>
      <c r="AK1310" t="s">
        <v>3531</v>
      </c>
      <c r="AL1310" s="2">
        <v>1032400</v>
      </c>
      <c r="AM1310" s="2">
        <v>0</v>
      </c>
      <c r="AN1310" s="2"/>
      <c r="AO1310" s="2">
        <v>0</v>
      </c>
      <c r="AP1310" s="2">
        <v>1032400</v>
      </c>
      <c r="AQ1310" s="2">
        <v>1032400</v>
      </c>
      <c r="AR1310" s="2">
        <v>1032400</v>
      </c>
      <c r="AS1310" s="2">
        <v>0</v>
      </c>
      <c r="AT1310" s="2">
        <v>0</v>
      </c>
      <c r="AU1310" s="2">
        <v>0</v>
      </c>
      <c r="AV1310" s="2">
        <v>0</v>
      </c>
      <c r="AW1310" s="4"/>
      <c r="AX1310" t="s">
        <v>75</v>
      </c>
      <c r="AZ1310" t="s">
        <v>2940</v>
      </c>
      <c r="BA1310" t="s">
        <v>67</v>
      </c>
      <c r="BB1310" t="s">
        <v>2941</v>
      </c>
      <c r="BC1310" t="s">
        <v>344</v>
      </c>
      <c r="BD1310" t="s">
        <v>79</v>
      </c>
      <c r="BE1310" t="s">
        <v>142</v>
      </c>
      <c r="BF1310" s="5">
        <v>46844</v>
      </c>
      <c r="BG1310" t="s">
        <v>67</v>
      </c>
      <c r="BH1310">
        <v>1</v>
      </c>
      <c r="BI1310" s="6">
        <v>1780000</v>
      </c>
      <c r="BJ1310" s="6">
        <v>42</v>
      </c>
      <c r="BK1310" s="6">
        <v>747600</v>
      </c>
      <c r="BL1310" s="6">
        <v>1032400</v>
      </c>
      <c r="BM1310" s="2">
        <v>1032400</v>
      </c>
      <c r="BN1310">
        <f>InvoiceTable[[#This Row],[Giảm giá]]*InvoiceTable[[#This Row],[Số lượng]]</f>
        <v>747600</v>
      </c>
    </row>
    <row r="1311" spans="1:66" x14ac:dyDescent="0.25">
      <c r="A1311" t="s">
        <v>65</v>
      </c>
      <c r="B1311" t="s">
        <v>3532</v>
      </c>
      <c r="F1311" s="2"/>
      <c r="G1311" s="3">
        <v>46002.675337696761</v>
      </c>
      <c r="H1311" s="3">
        <v>46002.675337812499</v>
      </c>
      <c r="I1311" s="4" t="s">
        <v>67</v>
      </c>
      <c r="J1311" t="s">
        <v>67</v>
      </c>
      <c r="K1311" t="s">
        <v>67</v>
      </c>
      <c r="L1311" t="s">
        <v>2559</v>
      </c>
      <c r="M1311" t="s">
        <v>2560</v>
      </c>
      <c r="N1311" t="s">
        <v>2561</v>
      </c>
      <c r="O1311" t="s">
        <v>2562</v>
      </c>
      <c r="P1311" t="s">
        <v>2563</v>
      </c>
      <c r="S1311" s="5"/>
      <c r="T1311" t="s">
        <v>72</v>
      </c>
      <c r="U1311" t="s">
        <v>87</v>
      </c>
      <c r="V1311" t="s">
        <v>74</v>
      </c>
      <c r="W1311" t="s">
        <v>87</v>
      </c>
      <c r="AE1311" s="2"/>
      <c r="AF1311" s="2"/>
      <c r="AG1311" s="2"/>
      <c r="AH1311" s="2"/>
      <c r="AL1311" s="2">
        <v>3588750</v>
      </c>
      <c r="AM1311" s="2">
        <v>0</v>
      </c>
      <c r="AN1311" s="2"/>
      <c r="AO1311" s="2">
        <v>0</v>
      </c>
      <c r="AP1311" s="2">
        <v>3588750</v>
      </c>
      <c r="AQ1311" s="2">
        <v>0</v>
      </c>
      <c r="AR1311" s="2">
        <v>0</v>
      </c>
      <c r="AS1311" s="2">
        <v>0</v>
      </c>
      <c r="AT1311" s="2">
        <v>0</v>
      </c>
      <c r="AU1311" s="2">
        <v>0</v>
      </c>
      <c r="AV1311" s="2">
        <v>0</v>
      </c>
      <c r="AW1311" s="4"/>
      <c r="AX1311" t="s">
        <v>75</v>
      </c>
      <c r="AZ1311" t="s">
        <v>3268</v>
      </c>
      <c r="BA1311" t="s">
        <v>67</v>
      </c>
      <c r="BB1311" t="s">
        <v>3269</v>
      </c>
      <c r="BC1311" t="s">
        <v>251</v>
      </c>
      <c r="BD1311" t="s">
        <v>79</v>
      </c>
      <c r="BE1311" t="s">
        <v>155</v>
      </c>
      <c r="BF1311" s="5">
        <v>46600</v>
      </c>
      <c r="BH1311">
        <v>2</v>
      </c>
      <c r="BI1311" s="6">
        <v>720000</v>
      </c>
      <c r="BJ1311" s="6">
        <v>45</v>
      </c>
      <c r="BK1311" s="6">
        <v>324000</v>
      </c>
      <c r="BL1311" s="6">
        <v>396000</v>
      </c>
      <c r="BM1311" s="2">
        <v>792000</v>
      </c>
      <c r="BN1311">
        <f>InvoiceTable[[#This Row],[Giảm giá]]*InvoiceTable[[#This Row],[Số lượng]]</f>
        <v>648000</v>
      </c>
    </row>
    <row r="1312" spans="1:66" x14ac:dyDescent="0.25">
      <c r="A1312" t="s">
        <v>65</v>
      </c>
      <c r="B1312" t="s">
        <v>3532</v>
      </c>
      <c r="F1312" s="2"/>
      <c r="G1312" s="3">
        <v>46002.675337696761</v>
      </c>
      <c r="H1312" s="3">
        <v>46002.675337812499</v>
      </c>
      <c r="I1312" s="4" t="s">
        <v>67</v>
      </c>
      <c r="J1312" t="s">
        <v>67</v>
      </c>
      <c r="K1312" t="s">
        <v>67</v>
      </c>
      <c r="L1312" t="s">
        <v>2559</v>
      </c>
      <c r="M1312" t="s">
        <v>2560</v>
      </c>
      <c r="N1312" t="s">
        <v>2561</v>
      </c>
      <c r="O1312" t="s">
        <v>2562</v>
      </c>
      <c r="P1312" t="s">
        <v>2563</v>
      </c>
      <c r="S1312" s="5"/>
      <c r="T1312" t="s">
        <v>72</v>
      </c>
      <c r="U1312" t="s">
        <v>87</v>
      </c>
      <c r="V1312" t="s">
        <v>74</v>
      </c>
      <c r="W1312" t="s">
        <v>87</v>
      </c>
      <c r="AE1312" s="2"/>
      <c r="AF1312" s="2"/>
      <c r="AG1312" s="2"/>
      <c r="AH1312" s="2"/>
      <c r="AL1312" s="2">
        <v>3588750</v>
      </c>
      <c r="AM1312" s="2">
        <v>0</v>
      </c>
      <c r="AN1312" s="2"/>
      <c r="AO1312" s="2">
        <v>0</v>
      </c>
      <c r="AP1312" s="2">
        <v>3588750</v>
      </c>
      <c r="AQ1312" s="2">
        <v>0</v>
      </c>
      <c r="AR1312" s="2">
        <v>0</v>
      </c>
      <c r="AS1312" s="2">
        <v>0</v>
      </c>
      <c r="AT1312" s="2">
        <v>0</v>
      </c>
      <c r="AU1312" s="2">
        <v>0</v>
      </c>
      <c r="AV1312" s="2">
        <v>0</v>
      </c>
      <c r="AW1312" s="4"/>
      <c r="AX1312" t="s">
        <v>75</v>
      </c>
      <c r="AZ1312" t="s">
        <v>713</v>
      </c>
      <c r="BA1312" t="s">
        <v>67</v>
      </c>
      <c r="BB1312" t="s">
        <v>714</v>
      </c>
      <c r="BC1312" t="s">
        <v>251</v>
      </c>
      <c r="BD1312" t="s">
        <v>79</v>
      </c>
      <c r="BE1312" t="s">
        <v>715</v>
      </c>
      <c r="BF1312" s="5">
        <v>46631</v>
      </c>
      <c r="BG1312" t="s">
        <v>67</v>
      </c>
      <c r="BH1312">
        <v>2</v>
      </c>
      <c r="BI1312" s="6">
        <v>1860000</v>
      </c>
      <c r="BJ1312" s="6">
        <v>45</v>
      </c>
      <c r="BK1312" s="6">
        <v>837000</v>
      </c>
      <c r="BL1312" s="6">
        <v>1023000</v>
      </c>
      <c r="BM1312" s="2">
        <v>2046000</v>
      </c>
      <c r="BN1312">
        <f>InvoiceTable[[#This Row],[Giảm giá]]*InvoiceTable[[#This Row],[Số lượng]]</f>
        <v>1674000</v>
      </c>
    </row>
    <row r="1313" spans="1:66" x14ac:dyDescent="0.25">
      <c r="A1313" t="s">
        <v>65</v>
      </c>
      <c r="B1313" t="s">
        <v>3532</v>
      </c>
      <c r="F1313" s="2"/>
      <c r="G1313" s="3">
        <v>46002.675337696761</v>
      </c>
      <c r="H1313" s="3">
        <v>46002.675337812499</v>
      </c>
      <c r="I1313" s="4" t="s">
        <v>67</v>
      </c>
      <c r="J1313" t="s">
        <v>67</v>
      </c>
      <c r="K1313" t="s">
        <v>67</v>
      </c>
      <c r="L1313" t="s">
        <v>2559</v>
      </c>
      <c r="M1313" t="s">
        <v>2560</v>
      </c>
      <c r="N1313" t="s">
        <v>2561</v>
      </c>
      <c r="O1313" t="s">
        <v>2562</v>
      </c>
      <c r="P1313" t="s">
        <v>2563</v>
      </c>
      <c r="S1313" s="5"/>
      <c r="T1313" t="s">
        <v>72</v>
      </c>
      <c r="U1313" t="s">
        <v>87</v>
      </c>
      <c r="V1313" t="s">
        <v>74</v>
      </c>
      <c r="W1313" t="s">
        <v>87</v>
      </c>
      <c r="AE1313" s="2"/>
      <c r="AF1313" s="2"/>
      <c r="AG1313" s="2"/>
      <c r="AH1313" s="2"/>
      <c r="AL1313" s="2">
        <v>3588750</v>
      </c>
      <c r="AM1313" s="2">
        <v>0</v>
      </c>
      <c r="AN1313" s="2"/>
      <c r="AO1313" s="2">
        <v>0</v>
      </c>
      <c r="AP1313" s="2">
        <v>3588750</v>
      </c>
      <c r="AQ1313" s="2">
        <v>0</v>
      </c>
      <c r="AR1313" s="2">
        <v>0</v>
      </c>
      <c r="AS1313" s="2">
        <v>0</v>
      </c>
      <c r="AT1313" s="2">
        <v>0</v>
      </c>
      <c r="AU1313" s="2">
        <v>0</v>
      </c>
      <c r="AV1313" s="2">
        <v>0</v>
      </c>
      <c r="AW1313" s="4"/>
      <c r="AX1313" t="s">
        <v>75</v>
      </c>
      <c r="AZ1313" t="s">
        <v>1386</v>
      </c>
      <c r="BA1313" t="s">
        <v>67</v>
      </c>
      <c r="BB1313" t="s">
        <v>1387</v>
      </c>
      <c r="BC1313" t="s">
        <v>251</v>
      </c>
      <c r="BD1313" t="s">
        <v>79</v>
      </c>
      <c r="BE1313" t="s">
        <v>810</v>
      </c>
      <c r="BF1313" s="5">
        <v>46539</v>
      </c>
      <c r="BH1313">
        <v>1</v>
      </c>
      <c r="BI1313" s="6">
        <v>605000</v>
      </c>
      <c r="BJ1313" s="6">
        <v>45</v>
      </c>
      <c r="BK1313" s="6">
        <v>272250</v>
      </c>
      <c r="BL1313" s="6">
        <v>332750</v>
      </c>
      <c r="BM1313" s="2">
        <v>332750</v>
      </c>
      <c r="BN1313">
        <f>InvoiceTable[[#This Row],[Giảm giá]]*InvoiceTable[[#This Row],[Số lượng]]</f>
        <v>272250</v>
      </c>
    </row>
    <row r="1314" spans="1:66" x14ac:dyDescent="0.25">
      <c r="A1314" t="s">
        <v>65</v>
      </c>
      <c r="B1314" t="s">
        <v>3532</v>
      </c>
      <c r="F1314" s="2"/>
      <c r="G1314" s="3">
        <v>46002.675337696761</v>
      </c>
      <c r="H1314" s="3">
        <v>46002.675337812499</v>
      </c>
      <c r="I1314" s="4" t="s">
        <v>67</v>
      </c>
      <c r="J1314" t="s">
        <v>67</v>
      </c>
      <c r="K1314" t="s">
        <v>67</v>
      </c>
      <c r="L1314" t="s">
        <v>2559</v>
      </c>
      <c r="M1314" t="s">
        <v>2560</v>
      </c>
      <c r="N1314" t="s">
        <v>2561</v>
      </c>
      <c r="O1314" t="s">
        <v>2562</v>
      </c>
      <c r="P1314" t="s">
        <v>2563</v>
      </c>
      <c r="S1314" s="5"/>
      <c r="T1314" t="s">
        <v>72</v>
      </c>
      <c r="U1314" t="s">
        <v>87</v>
      </c>
      <c r="V1314" t="s">
        <v>74</v>
      </c>
      <c r="W1314" t="s">
        <v>87</v>
      </c>
      <c r="AE1314" s="2"/>
      <c r="AF1314" s="2"/>
      <c r="AG1314" s="2"/>
      <c r="AH1314" s="2"/>
      <c r="AL1314" s="2">
        <v>3588750</v>
      </c>
      <c r="AM1314" s="2">
        <v>0</v>
      </c>
      <c r="AN1314" s="2"/>
      <c r="AO1314" s="2">
        <v>0</v>
      </c>
      <c r="AP1314" s="2">
        <v>3588750</v>
      </c>
      <c r="AQ1314" s="2">
        <v>0</v>
      </c>
      <c r="AR1314" s="2">
        <v>0</v>
      </c>
      <c r="AS1314" s="2">
        <v>0</v>
      </c>
      <c r="AT1314" s="2">
        <v>0</v>
      </c>
      <c r="AU1314" s="2">
        <v>0</v>
      </c>
      <c r="AV1314" s="2">
        <v>0</v>
      </c>
      <c r="AW1314" s="4"/>
      <c r="AX1314" t="s">
        <v>75</v>
      </c>
      <c r="AZ1314" t="s">
        <v>3533</v>
      </c>
      <c r="BA1314" t="s">
        <v>67</v>
      </c>
      <c r="BB1314" t="s">
        <v>3534</v>
      </c>
      <c r="BC1314" t="s">
        <v>251</v>
      </c>
      <c r="BD1314" t="s">
        <v>268</v>
      </c>
      <c r="BE1314" t="s">
        <v>142</v>
      </c>
      <c r="BF1314" s="5">
        <v>46844</v>
      </c>
      <c r="BG1314" t="s">
        <v>67</v>
      </c>
      <c r="BH1314">
        <v>1</v>
      </c>
      <c r="BI1314" s="6">
        <v>760000</v>
      </c>
      <c r="BJ1314" s="6">
        <v>45</v>
      </c>
      <c r="BK1314" s="6">
        <v>342000</v>
      </c>
      <c r="BL1314" s="6">
        <v>418000</v>
      </c>
      <c r="BM1314" s="2">
        <v>418000</v>
      </c>
      <c r="BN1314">
        <f>InvoiceTable[[#This Row],[Giảm giá]]*InvoiceTable[[#This Row],[Số lượng]]</f>
        <v>342000</v>
      </c>
    </row>
    <row r="1315" spans="1:66" x14ac:dyDescent="0.25">
      <c r="A1315" t="s">
        <v>65</v>
      </c>
      <c r="B1315" t="s">
        <v>3535</v>
      </c>
      <c r="F1315" s="2"/>
      <c r="G1315" s="3">
        <v>46002.671123807871</v>
      </c>
      <c r="H1315" s="3">
        <v>46002.671123877313</v>
      </c>
      <c r="I1315" s="4" t="s">
        <v>67</v>
      </c>
      <c r="J1315" t="s">
        <v>67</v>
      </c>
      <c r="K1315" t="s">
        <v>67</v>
      </c>
      <c r="L1315" t="s">
        <v>933</v>
      </c>
      <c r="M1315" t="s">
        <v>934</v>
      </c>
      <c r="N1315" t="s">
        <v>67</v>
      </c>
      <c r="O1315" t="s">
        <v>935</v>
      </c>
      <c r="S1315" s="5"/>
      <c r="T1315" t="s">
        <v>72</v>
      </c>
      <c r="U1315" t="s">
        <v>87</v>
      </c>
      <c r="V1315" t="s">
        <v>74</v>
      </c>
      <c r="W1315" t="s">
        <v>87</v>
      </c>
      <c r="AE1315" s="2"/>
      <c r="AF1315" s="2"/>
      <c r="AG1315" s="2"/>
      <c r="AH1315" s="2"/>
      <c r="AK1315" t="s">
        <v>3536</v>
      </c>
      <c r="AL1315" s="2">
        <v>929450</v>
      </c>
      <c r="AM1315" s="2">
        <v>0</v>
      </c>
      <c r="AN1315" s="2"/>
      <c r="AO1315" s="2">
        <v>0</v>
      </c>
      <c r="AP1315" s="2">
        <v>929450</v>
      </c>
      <c r="AQ1315" s="2">
        <v>929450</v>
      </c>
      <c r="AR1315" s="2">
        <v>0</v>
      </c>
      <c r="AS1315" s="2">
        <v>0</v>
      </c>
      <c r="AT1315" s="2">
        <v>0</v>
      </c>
      <c r="AU1315" s="2">
        <v>929450</v>
      </c>
      <c r="AV1315" s="2">
        <v>0</v>
      </c>
      <c r="AW1315" s="4"/>
      <c r="AX1315" t="s">
        <v>75</v>
      </c>
      <c r="AZ1315" t="s">
        <v>3537</v>
      </c>
      <c r="BA1315" t="s">
        <v>67</v>
      </c>
      <c r="BB1315" t="s">
        <v>3538</v>
      </c>
      <c r="BC1315" t="s">
        <v>770</v>
      </c>
      <c r="BD1315" t="s">
        <v>79</v>
      </c>
      <c r="BE1315" t="s">
        <v>198</v>
      </c>
      <c r="BF1315" s="5">
        <v>46753</v>
      </c>
      <c r="BH1315">
        <v>1</v>
      </c>
      <c r="BI1315" s="6">
        <v>785000</v>
      </c>
      <c r="BJ1315" s="6">
        <v>45</v>
      </c>
      <c r="BK1315" s="6">
        <v>353250</v>
      </c>
      <c r="BL1315" s="6">
        <v>431750</v>
      </c>
      <c r="BM1315" s="2">
        <v>431750</v>
      </c>
      <c r="BN1315">
        <f>InvoiceTable[[#This Row],[Giảm giá]]*InvoiceTable[[#This Row],[Số lượng]]</f>
        <v>353250</v>
      </c>
    </row>
    <row r="1316" spans="1:66" x14ac:dyDescent="0.25">
      <c r="A1316" t="s">
        <v>65</v>
      </c>
      <c r="B1316" t="s">
        <v>3535</v>
      </c>
      <c r="F1316" s="2"/>
      <c r="G1316" s="3">
        <v>46002.671123807871</v>
      </c>
      <c r="H1316" s="3">
        <v>46002.671123877313</v>
      </c>
      <c r="I1316" s="4" t="s">
        <v>67</v>
      </c>
      <c r="J1316" t="s">
        <v>67</v>
      </c>
      <c r="K1316" t="s">
        <v>67</v>
      </c>
      <c r="L1316" t="s">
        <v>933</v>
      </c>
      <c r="M1316" t="s">
        <v>934</v>
      </c>
      <c r="N1316" t="s">
        <v>67</v>
      </c>
      <c r="O1316" t="s">
        <v>935</v>
      </c>
      <c r="S1316" s="5"/>
      <c r="T1316" t="s">
        <v>72</v>
      </c>
      <c r="U1316" t="s">
        <v>87</v>
      </c>
      <c r="V1316" t="s">
        <v>74</v>
      </c>
      <c r="W1316" t="s">
        <v>87</v>
      </c>
      <c r="AE1316" s="2"/>
      <c r="AF1316" s="2"/>
      <c r="AG1316" s="2"/>
      <c r="AH1316" s="2"/>
      <c r="AK1316" t="s">
        <v>3536</v>
      </c>
      <c r="AL1316" s="2">
        <v>929450</v>
      </c>
      <c r="AM1316" s="2">
        <v>0</v>
      </c>
      <c r="AN1316" s="2"/>
      <c r="AO1316" s="2">
        <v>0</v>
      </c>
      <c r="AP1316" s="2">
        <v>929450</v>
      </c>
      <c r="AQ1316" s="2">
        <v>929450</v>
      </c>
      <c r="AR1316" s="2">
        <v>0</v>
      </c>
      <c r="AS1316" s="2">
        <v>0</v>
      </c>
      <c r="AT1316" s="2">
        <v>0</v>
      </c>
      <c r="AU1316" s="2">
        <v>929450</v>
      </c>
      <c r="AV1316" s="2">
        <v>0</v>
      </c>
      <c r="AW1316" s="4"/>
      <c r="AX1316" t="s">
        <v>75</v>
      </c>
      <c r="AZ1316" t="s">
        <v>1365</v>
      </c>
      <c r="BA1316" t="s">
        <v>67</v>
      </c>
      <c r="BB1316" t="s">
        <v>1366</v>
      </c>
      <c r="BC1316" t="s">
        <v>939</v>
      </c>
      <c r="BD1316" t="s">
        <v>79</v>
      </c>
      <c r="BE1316" t="s">
        <v>317</v>
      </c>
      <c r="BF1316" s="5">
        <v>46935</v>
      </c>
      <c r="BH1316">
        <v>1</v>
      </c>
      <c r="BI1316" s="6">
        <v>790000</v>
      </c>
      <c r="BJ1316" s="6">
        <v>37</v>
      </c>
      <c r="BK1316" s="6">
        <v>292300</v>
      </c>
      <c r="BL1316" s="6">
        <v>497700</v>
      </c>
      <c r="BM1316" s="2">
        <v>497700</v>
      </c>
      <c r="BN1316">
        <f>InvoiceTable[[#This Row],[Giảm giá]]*InvoiceTable[[#This Row],[Số lượng]]</f>
        <v>292300</v>
      </c>
    </row>
    <row r="1317" spans="1:66" x14ac:dyDescent="0.25">
      <c r="A1317" t="s">
        <v>65</v>
      </c>
      <c r="B1317" t="s">
        <v>3539</v>
      </c>
      <c r="F1317" s="2"/>
      <c r="G1317" s="3">
        <v>46002.670448993056</v>
      </c>
      <c r="H1317" s="3">
        <v>46002.670449189813</v>
      </c>
      <c r="I1317" s="4" t="s">
        <v>67</v>
      </c>
      <c r="J1317" t="s">
        <v>67</v>
      </c>
      <c r="K1317" t="s">
        <v>67</v>
      </c>
      <c r="L1317" t="s">
        <v>647</v>
      </c>
      <c r="M1317" t="s">
        <v>648</v>
      </c>
      <c r="N1317" t="s">
        <v>67</v>
      </c>
      <c r="O1317" t="s">
        <v>649</v>
      </c>
      <c r="P1317" t="s">
        <v>650</v>
      </c>
      <c r="S1317" s="5"/>
      <c r="T1317" t="s">
        <v>72</v>
      </c>
      <c r="U1317" t="s">
        <v>87</v>
      </c>
      <c r="V1317" t="s">
        <v>74</v>
      </c>
      <c r="W1317" t="s">
        <v>87</v>
      </c>
      <c r="AE1317" s="2"/>
      <c r="AF1317" s="2"/>
      <c r="AG1317" s="2"/>
      <c r="AH1317" s="2"/>
      <c r="AK1317" t="s">
        <v>3540</v>
      </c>
      <c r="AL1317" s="2">
        <v>2650000</v>
      </c>
      <c r="AM1317" s="2">
        <v>0</v>
      </c>
      <c r="AN1317" s="2"/>
      <c r="AO1317" s="2">
        <v>0</v>
      </c>
      <c r="AP1317" s="2">
        <v>2650000</v>
      </c>
      <c r="AQ1317" s="2">
        <v>0</v>
      </c>
      <c r="AR1317" s="2">
        <v>0</v>
      </c>
      <c r="AS1317" s="2">
        <v>0</v>
      </c>
      <c r="AT1317" s="2">
        <v>0</v>
      </c>
      <c r="AU1317" s="2">
        <v>0</v>
      </c>
      <c r="AV1317" s="2">
        <v>0</v>
      </c>
      <c r="AW1317" s="4"/>
      <c r="AX1317" t="s">
        <v>75</v>
      </c>
      <c r="AZ1317" t="s">
        <v>806</v>
      </c>
      <c r="BA1317" t="s">
        <v>67</v>
      </c>
      <c r="BB1317" t="s">
        <v>807</v>
      </c>
      <c r="BC1317" t="s">
        <v>78</v>
      </c>
      <c r="BD1317" t="s">
        <v>79</v>
      </c>
      <c r="BE1317" t="s">
        <v>188</v>
      </c>
      <c r="BF1317" s="5">
        <v>46905</v>
      </c>
      <c r="BH1317">
        <v>1</v>
      </c>
      <c r="BI1317" s="6">
        <v>5300000</v>
      </c>
      <c r="BJ1317" s="6">
        <v>50</v>
      </c>
      <c r="BK1317" s="6">
        <v>2650000</v>
      </c>
      <c r="BL1317" s="6">
        <v>2650000</v>
      </c>
      <c r="BM1317" s="2">
        <v>2650000</v>
      </c>
      <c r="BN1317">
        <f>InvoiceTable[[#This Row],[Giảm giá]]*InvoiceTable[[#This Row],[Số lượng]]</f>
        <v>2650000</v>
      </c>
    </row>
    <row r="1318" spans="1:66" x14ac:dyDescent="0.25">
      <c r="A1318" t="s">
        <v>65</v>
      </c>
      <c r="B1318" t="s">
        <v>3541</v>
      </c>
      <c r="F1318" s="2"/>
      <c r="G1318" s="3">
        <v>46002.659010266201</v>
      </c>
      <c r="H1318" s="3">
        <v>46002.65901087963</v>
      </c>
      <c r="I1318" s="4" t="s">
        <v>3542</v>
      </c>
      <c r="J1318" t="s">
        <v>3543</v>
      </c>
      <c r="K1318" t="s">
        <v>67</v>
      </c>
      <c r="L1318" t="s">
        <v>3242</v>
      </c>
      <c r="M1318" t="s">
        <v>3243</v>
      </c>
      <c r="N1318" t="s">
        <v>67</v>
      </c>
      <c r="O1318" t="s">
        <v>3244</v>
      </c>
      <c r="Q1318" t="s">
        <v>67</v>
      </c>
      <c r="R1318" t="s">
        <v>67</v>
      </c>
      <c r="S1318" s="5"/>
      <c r="T1318" t="s">
        <v>72</v>
      </c>
      <c r="U1318" t="s">
        <v>102</v>
      </c>
      <c r="V1318" t="s">
        <v>74</v>
      </c>
      <c r="W1318" t="s">
        <v>87</v>
      </c>
      <c r="AE1318" s="2"/>
      <c r="AF1318" s="2"/>
      <c r="AG1318" s="2"/>
      <c r="AH1318" s="2"/>
      <c r="AK1318" t="s">
        <v>3544</v>
      </c>
      <c r="AL1318" s="2">
        <v>456000</v>
      </c>
      <c r="AM1318" s="2">
        <v>0</v>
      </c>
      <c r="AN1318" s="2"/>
      <c r="AO1318" s="2">
        <v>0</v>
      </c>
      <c r="AP1318" s="2">
        <v>456000</v>
      </c>
      <c r="AQ1318" s="2">
        <v>0</v>
      </c>
      <c r="AR1318" s="2">
        <v>0</v>
      </c>
      <c r="AS1318" s="2">
        <v>0</v>
      </c>
      <c r="AT1318" s="2">
        <v>0</v>
      </c>
      <c r="AU1318" s="2">
        <v>0</v>
      </c>
      <c r="AV1318" s="2">
        <v>0</v>
      </c>
      <c r="AW1318" s="4"/>
      <c r="AX1318" t="s">
        <v>75</v>
      </c>
      <c r="AZ1318" t="s">
        <v>1777</v>
      </c>
      <c r="BA1318" t="s">
        <v>67</v>
      </c>
      <c r="BB1318" t="s">
        <v>1778</v>
      </c>
      <c r="BC1318" t="s">
        <v>1779</v>
      </c>
      <c r="BD1318" t="s">
        <v>79</v>
      </c>
      <c r="BE1318" t="s">
        <v>1780</v>
      </c>
      <c r="BF1318" s="5">
        <v>46956</v>
      </c>
      <c r="BG1318" t="s">
        <v>67</v>
      </c>
      <c r="BH1318">
        <v>2</v>
      </c>
      <c r="BI1318" s="6">
        <v>380000</v>
      </c>
      <c r="BJ1318" s="6">
        <v>40</v>
      </c>
      <c r="BK1318" s="6">
        <v>152000</v>
      </c>
      <c r="BL1318" s="6">
        <v>228000</v>
      </c>
      <c r="BM1318" s="2">
        <v>456000</v>
      </c>
      <c r="BN1318">
        <f>InvoiceTable[[#This Row],[Giảm giá]]*InvoiceTable[[#This Row],[Số lượng]]</f>
        <v>304000</v>
      </c>
    </row>
    <row r="1319" spans="1:66" x14ac:dyDescent="0.25">
      <c r="A1319" t="s">
        <v>65</v>
      </c>
      <c r="B1319" t="s">
        <v>3545</v>
      </c>
      <c r="F1319" s="2"/>
      <c r="G1319" s="3">
        <v>46002.649858020835</v>
      </c>
      <c r="H1319" s="3">
        <v>46002.649858217592</v>
      </c>
      <c r="I1319" s="4" t="s">
        <v>67</v>
      </c>
      <c r="J1319" t="s">
        <v>3546</v>
      </c>
      <c r="K1319" t="s">
        <v>67</v>
      </c>
      <c r="L1319" t="s">
        <v>3547</v>
      </c>
      <c r="M1319" t="s">
        <v>3548</v>
      </c>
      <c r="N1319" t="s">
        <v>67</v>
      </c>
      <c r="O1319" t="s">
        <v>3549</v>
      </c>
      <c r="P1319" t="s">
        <v>3550</v>
      </c>
      <c r="S1319" s="5"/>
      <c r="T1319" t="s">
        <v>72</v>
      </c>
      <c r="U1319" t="s">
        <v>102</v>
      </c>
      <c r="V1319" t="s">
        <v>74</v>
      </c>
      <c r="W1319" t="s">
        <v>87</v>
      </c>
      <c r="AE1319" s="2"/>
      <c r="AF1319" s="2"/>
      <c r="AG1319" s="2"/>
      <c r="AH1319" s="2"/>
      <c r="AL1319" s="2">
        <v>11543400</v>
      </c>
      <c r="AM1319" s="2">
        <v>0</v>
      </c>
      <c r="AN1319" s="2"/>
      <c r="AO1319" s="2">
        <v>0</v>
      </c>
      <c r="AP1319" s="2">
        <v>11543400</v>
      </c>
      <c r="AQ1319" s="2">
        <v>0</v>
      </c>
      <c r="AR1319" s="2">
        <v>0</v>
      </c>
      <c r="AS1319" s="2">
        <v>0</v>
      </c>
      <c r="AT1319" s="2">
        <v>0</v>
      </c>
      <c r="AU1319" s="2">
        <v>0</v>
      </c>
      <c r="AV1319" s="2">
        <v>0</v>
      </c>
      <c r="AW1319" s="4"/>
      <c r="AX1319" t="s">
        <v>75</v>
      </c>
      <c r="AZ1319" t="s">
        <v>1268</v>
      </c>
      <c r="BA1319" t="s">
        <v>67</v>
      </c>
      <c r="BB1319" t="s">
        <v>1269</v>
      </c>
      <c r="BC1319" t="s">
        <v>770</v>
      </c>
      <c r="BD1319" t="s">
        <v>79</v>
      </c>
      <c r="BE1319" t="s">
        <v>715</v>
      </c>
      <c r="BF1319" s="5">
        <v>46631</v>
      </c>
      <c r="BH1319">
        <v>20</v>
      </c>
      <c r="BI1319" s="6">
        <v>690000</v>
      </c>
      <c r="BJ1319" s="6">
        <v>47</v>
      </c>
      <c r="BK1319" s="6">
        <v>324300</v>
      </c>
      <c r="BL1319" s="6">
        <v>365700</v>
      </c>
      <c r="BM1319" s="2">
        <v>7314000</v>
      </c>
      <c r="BN1319">
        <f>InvoiceTable[[#This Row],[Giảm giá]]*InvoiceTable[[#This Row],[Số lượng]]</f>
        <v>6486000</v>
      </c>
    </row>
    <row r="1320" spans="1:66" x14ac:dyDescent="0.25">
      <c r="A1320" t="s">
        <v>65</v>
      </c>
      <c r="B1320" t="s">
        <v>3545</v>
      </c>
      <c r="F1320" s="2"/>
      <c r="G1320" s="3">
        <v>46002.649858020835</v>
      </c>
      <c r="H1320" s="3">
        <v>46002.649858217592</v>
      </c>
      <c r="I1320" s="4" t="s">
        <v>67</v>
      </c>
      <c r="J1320" t="s">
        <v>3546</v>
      </c>
      <c r="K1320" t="s">
        <v>67</v>
      </c>
      <c r="L1320" t="s">
        <v>3547</v>
      </c>
      <c r="M1320" t="s">
        <v>3548</v>
      </c>
      <c r="N1320" t="s">
        <v>67</v>
      </c>
      <c r="O1320" t="s">
        <v>3549</v>
      </c>
      <c r="P1320" t="s">
        <v>3550</v>
      </c>
      <c r="S1320" s="5"/>
      <c r="T1320" t="s">
        <v>72</v>
      </c>
      <c r="U1320" t="s">
        <v>102</v>
      </c>
      <c r="V1320" t="s">
        <v>74</v>
      </c>
      <c r="W1320" t="s">
        <v>87</v>
      </c>
      <c r="AE1320" s="2"/>
      <c r="AF1320" s="2"/>
      <c r="AG1320" s="2"/>
      <c r="AH1320" s="2"/>
      <c r="AL1320" s="2">
        <v>11543400</v>
      </c>
      <c r="AM1320" s="2">
        <v>0</v>
      </c>
      <c r="AN1320" s="2"/>
      <c r="AO1320" s="2">
        <v>0</v>
      </c>
      <c r="AP1320" s="2">
        <v>11543400</v>
      </c>
      <c r="AQ1320" s="2">
        <v>0</v>
      </c>
      <c r="AR1320" s="2">
        <v>0</v>
      </c>
      <c r="AS1320" s="2">
        <v>0</v>
      </c>
      <c r="AT1320" s="2">
        <v>0</v>
      </c>
      <c r="AU1320" s="2">
        <v>0</v>
      </c>
      <c r="AV1320" s="2">
        <v>0</v>
      </c>
      <c r="AW1320" s="4"/>
      <c r="AX1320" t="s">
        <v>75</v>
      </c>
      <c r="AZ1320" t="s">
        <v>771</v>
      </c>
      <c r="BA1320" t="s">
        <v>67</v>
      </c>
      <c r="BB1320" t="s">
        <v>772</v>
      </c>
      <c r="BC1320" t="s">
        <v>770</v>
      </c>
      <c r="BD1320" t="s">
        <v>79</v>
      </c>
      <c r="BE1320" t="s">
        <v>201</v>
      </c>
      <c r="BF1320" s="5">
        <v>46966</v>
      </c>
      <c r="BH1320">
        <v>20</v>
      </c>
      <c r="BI1320" s="6">
        <v>399000</v>
      </c>
      <c r="BJ1320" s="6">
        <v>47</v>
      </c>
      <c r="BK1320" s="6">
        <v>187530</v>
      </c>
      <c r="BL1320" s="6">
        <v>211470</v>
      </c>
      <c r="BM1320" s="2">
        <v>4229400</v>
      </c>
      <c r="BN1320">
        <f>InvoiceTable[[#This Row],[Giảm giá]]*InvoiceTable[[#This Row],[Số lượng]]</f>
        <v>3750600</v>
      </c>
    </row>
    <row r="1321" spans="1:66" x14ac:dyDescent="0.25">
      <c r="A1321" t="s">
        <v>65</v>
      </c>
      <c r="B1321" t="s">
        <v>3551</v>
      </c>
      <c r="F1321" s="2"/>
      <c r="G1321" s="3">
        <v>46002.622274687499</v>
      </c>
      <c r="H1321" s="3">
        <v>46002.622274768517</v>
      </c>
      <c r="I1321" s="4" t="s">
        <v>67</v>
      </c>
      <c r="J1321" t="s">
        <v>67</v>
      </c>
      <c r="K1321" t="s">
        <v>67</v>
      </c>
      <c r="L1321" t="s">
        <v>914</v>
      </c>
      <c r="M1321" t="s">
        <v>915</v>
      </c>
      <c r="N1321" t="s">
        <v>916</v>
      </c>
      <c r="O1321" t="s">
        <v>917</v>
      </c>
      <c r="P1321" t="s">
        <v>918</v>
      </c>
      <c r="S1321" s="5"/>
      <c r="T1321" t="s">
        <v>72</v>
      </c>
      <c r="U1321" t="s">
        <v>87</v>
      </c>
      <c r="V1321" t="s">
        <v>74</v>
      </c>
      <c r="W1321" t="s">
        <v>87</v>
      </c>
      <c r="AE1321" s="2"/>
      <c r="AF1321" s="2"/>
      <c r="AG1321" s="2"/>
      <c r="AH1321" s="2"/>
      <c r="AK1321" t="s">
        <v>3552</v>
      </c>
      <c r="AL1321" s="2">
        <v>345600</v>
      </c>
      <c r="AM1321" s="2">
        <v>0</v>
      </c>
      <c r="AN1321" s="2"/>
      <c r="AO1321" s="2">
        <v>0</v>
      </c>
      <c r="AP1321" s="2">
        <v>345600</v>
      </c>
      <c r="AQ1321" s="2">
        <v>0</v>
      </c>
      <c r="AR1321" s="2">
        <v>0</v>
      </c>
      <c r="AS1321" s="2">
        <v>0</v>
      </c>
      <c r="AT1321" s="2">
        <v>0</v>
      </c>
      <c r="AU1321" s="2">
        <v>0</v>
      </c>
      <c r="AV1321" s="2">
        <v>0</v>
      </c>
      <c r="AW1321" s="4"/>
      <c r="AX1321" t="s">
        <v>75</v>
      </c>
      <c r="AZ1321" t="s">
        <v>3553</v>
      </c>
      <c r="BA1321" t="s">
        <v>67</v>
      </c>
      <c r="BB1321" t="s">
        <v>3554</v>
      </c>
      <c r="BC1321" t="s">
        <v>187</v>
      </c>
      <c r="BD1321" t="s">
        <v>79</v>
      </c>
      <c r="BE1321" t="s">
        <v>177</v>
      </c>
      <c r="BF1321" s="5">
        <v>47027</v>
      </c>
      <c r="BH1321">
        <v>2</v>
      </c>
      <c r="BI1321" s="6">
        <v>360000</v>
      </c>
      <c r="BJ1321" s="6">
        <v>52</v>
      </c>
      <c r="BK1321" s="6">
        <v>187200</v>
      </c>
      <c r="BL1321" s="6">
        <v>172800</v>
      </c>
      <c r="BM1321" s="2">
        <v>345600</v>
      </c>
      <c r="BN1321">
        <f>InvoiceTable[[#This Row],[Giảm giá]]*InvoiceTable[[#This Row],[Số lượng]]</f>
        <v>374400</v>
      </c>
    </row>
    <row r="1322" spans="1:66" x14ac:dyDescent="0.25">
      <c r="A1322" t="s">
        <v>65</v>
      </c>
      <c r="B1322" t="s">
        <v>3555</v>
      </c>
      <c r="F1322" s="2"/>
      <c r="G1322" s="3">
        <v>46002.620003124997</v>
      </c>
      <c r="H1322" s="3">
        <v>46002.620003275464</v>
      </c>
      <c r="I1322" s="4" t="s">
        <v>67</v>
      </c>
      <c r="J1322" t="s">
        <v>3556</v>
      </c>
      <c r="K1322" t="s">
        <v>67</v>
      </c>
      <c r="L1322" t="s">
        <v>3557</v>
      </c>
      <c r="M1322" t="s">
        <v>3558</v>
      </c>
      <c r="N1322" t="s">
        <v>67</v>
      </c>
      <c r="O1322" t="s">
        <v>3559</v>
      </c>
      <c r="S1322" s="5">
        <v>37988</v>
      </c>
      <c r="T1322" t="s">
        <v>72</v>
      </c>
      <c r="U1322" t="s">
        <v>73</v>
      </c>
      <c r="V1322" t="s">
        <v>74</v>
      </c>
      <c r="W1322" t="s">
        <v>87</v>
      </c>
      <c r="AE1322" s="2"/>
      <c r="AF1322" s="2"/>
      <c r="AG1322" s="2"/>
      <c r="AH1322" s="2"/>
      <c r="AK1322" t="s">
        <v>613</v>
      </c>
      <c r="AL1322" s="2">
        <v>1392000</v>
      </c>
      <c r="AM1322" s="2">
        <v>0</v>
      </c>
      <c r="AN1322" s="2"/>
      <c r="AO1322" s="2">
        <v>0</v>
      </c>
      <c r="AP1322" s="2">
        <v>1392000</v>
      </c>
      <c r="AQ1322" s="2">
        <v>1392000</v>
      </c>
      <c r="AR1322" s="2">
        <v>1392000</v>
      </c>
      <c r="AS1322" s="2">
        <v>0</v>
      </c>
      <c r="AT1322" s="2">
        <v>0</v>
      </c>
      <c r="AU1322" s="2">
        <v>0</v>
      </c>
      <c r="AV1322" s="2">
        <v>0</v>
      </c>
      <c r="AW1322" s="4"/>
      <c r="AX1322" t="s">
        <v>75</v>
      </c>
      <c r="AZ1322" t="s">
        <v>3560</v>
      </c>
      <c r="BA1322" t="s">
        <v>67</v>
      </c>
      <c r="BB1322" t="s">
        <v>3561</v>
      </c>
      <c r="BC1322" t="s">
        <v>3562</v>
      </c>
      <c r="BD1322" t="s">
        <v>79</v>
      </c>
      <c r="BE1322" t="s">
        <v>159</v>
      </c>
      <c r="BF1322" s="5">
        <v>46478</v>
      </c>
      <c r="BG1322" t="s">
        <v>67</v>
      </c>
      <c r="BH1322">
        <v>4</v>
      </c>
      <c r="BI1322" s="6">
        <v>580000</v>
      </c>
      <c r="BJ1322" s="6">
        <v>40</v>
      </c>
      <c r="BK1322" s="6">
        <v>232000</v>
      </c>
      <c r="BL1322" s="6">
        <v>348000</v>
      </c>
      <c r="BM1322" s="2">
        <v>1392000</v>
      </c>
      <c r="BN1322">
        <f>InvoiceTable[[#This Row],[Giảm giá]]*InvoiceTable[[#This Row],[Số lượng]]</f>
        <v>928000</v>
      </c>
    </row>
    <row r="1323" spans="1:66" x14ac:dyDescent="0.25">
      <c r="A1323" t="s">
        <v>65</v>
      </c>
      <c r="B1323" t="s">
        <v>3563</v>
      </c>
      <c r="F1323" s="2"/>
      <c r="G1323" s="3">
        <v>46002.619742592593</v>
      </c>
      <c r="H1323" s="3">
        <v>46002.619742824078</v>
      </c>
      <c r="I1323" s="4" t="s">
        <v>67</v>
      </c>
      <c r="J1323" t="s">
        <v>3564</v>
      </c>
      <c r="K1323" t="s">
        <v>67</v>
      </c>
      <c r="L1323" t="s">
        <v>2274</v>
      </c>
      <c r="M1323" t="s">
        <v>2275</v>
      </c>
      <c r="N1323" t="s">
        <v>67</v>
      </c>
      <c r="O1323" t="s">
        <v>2276</v>
      </c>
      <c r="P1323" t="s">
        <v>2277</v>
      </c>
      <c r="S1323" s="5"/>
      <c r="T1323" t="s">
        <v>72</v>
      </c>
      <c r="U1323" t="s">
        <v>102</v>
      </c>
      <c r="V1323" t="s">
        <v>74</v>
      </c>
      <c r="W1323" t="s">
        <v>87</v>
      </c>
      <c r="AE1323" s="2"/>
      <c r="AF1323" s="2"/>
      <c r="AG1323" s="2"/>
      <c r="AH1323" s="2"/>
      <c r="AK1323" t="s">
        <v>67</v>
      </c>
      <c r="AL1323" s="2">
        <v>3050000</v>
      </c>
      <c r="AM1323" s="2">
        <v>0</v>
      </c>
      <c r="AN1323" s="2"/>
      <c r="AO1323" s="2">
        <v>0</v>
      </c>
      <c r="AP1323" s="2">
        <v>3050000</v>
      </c>
      <c r="AQ1323" s="2">
        <v>0</v>
      </c>
      <c r="AR1323" s="2">
        <v>0</v>
      </c>
      <c r="AS1323" s="2">
        <v>0</v>
      </c>
      <c r="AT1323" s="2">
        <v>0</v>
      </c>
      <c r="AU1323" s="2">
        <v>0</v>
      </c>
      <c r="AV1323" s="2">
        <v>0</v>
      </c>
      <c r="AW1323" s="4"/>
      <c r="AX1323" t="s">
        <v>75</v>
      </c>
      <c r="AZ1323" t="s">
        <v>3565</v>
      </c>
      <c r="BA1323" t="s">
        <v>67</v>
      </c>
      <c r="BB1323" t="s">
        <v>3566</v>
      </c>
      <c r="BC1323" t="s">
        <v>3567</v>
      </c>
      <c r="BD1323" t="s">
        <v>79</v>
      </c>
      <c r="BE1323" t="s">
        <v>168</v>
      </c>
      <c r="BF1323" s="5">
        <v>46388</v>
      </c>
      <c r="BG1323" t="s">
        <v>67</v>
      </c>
      <c r="BH1323">
        <v>1</v>
      </c>
      <c r="BI1323" s="6">
        <v>2500000</v>
      </c>
      <c r="BJ1323" s="6">
        <v>0</v>
      </c>
      <c r="BK1323" s="6">
        <v>1050000</v>
      </c>
      <c r="BL1323" s="6">
        <v>1450000</v>
      </c>
      <c r="BM1323" s="2">
        <v>1450000</v>
      </c>
      <c r="BN1323">
        <f>InvoiceTable[[#This Row],[Giảm giá]]*InvoiceTable[[#This Row],[Số lượng]]</f>
        <v>1050000</v>
      </c>
    </row>
    <row r="1324" spans="1:66" x14ac:dyDescent="0.25">
      <c r="A1324" t="s">
        <v>65</v>
      </c>
      <c r="B1324" t="s">
        <v>3563</v>
      </c>
      <c r="F1324" s="2"/>
      <c r="G1324" s="3">
        <v>46002.619742592593</v>
      </c>
      <c r="H1324" s="3">
        <v>46002.619742824078</v>
      </c>
      <c r="I1324" s="4" t="s">
        <v>67</v>
      </c>
      <c r="J1324" t="s">
        <v>3564</v>
      </c>
      <c r="K1324" t="s">
        <v>67</v>
      </c>
      <c r="L1324" t="s">
        <v>2274</v>
      </c>
      <c r="M1324" t="s">
        <v>2275</v>
      </c>
      <c r="N1324" t="s">
        <v>67</v>
      </c>
      <c r="O1324" t="s">
        <v>2276</v>
      </c>
      <c r="P1324" t="s">
        <v>2277</v>
      </c>
      <c r="S1324" s="5"/>
      <c r="T1324" t="s">
        <v>72</v>
      </c>
      <c r="U1324" t="s">
        <v>102</v>
      </c>
      <c r="V1324" t="s">
        <v>74</v>
      </c>
      <c r="W1324" t="s">
        <v>87</v>
      </c>
      <c r="AE1324" s="2"/>
      <c r="AF1324" s="2"/>
      <c r="AG1324" s="2"/>
      <c r="AH1324" s="2"/>
      <c r="AK1324" t="s">
        <v>67</v>
      </c>
      <c r="AL1324" s="2">
        <v>3050000</v>
      </c>
      <c r="AM1324" s="2">
        <v>0</v>
      </c>
      <c r="AN1324" s="2"/>
      <c r="AO1324" s="2">
        <v>0</v>
      </c>
      <c r="AP1324" s="2">
        <v>3050000</v>
      </c>
      <c r="AQ1324" s="2">
        <v>0</v>
      </c>
      <c r="AR1324" s="2">
        <v>0</v>
      </c>
      <c r="AS1324" s="2">
        <v>0</v>
      </c>
      <c r="AT1324" s="2">
        <v>0</v>
      </c>
      <c r="AU1324" s="2">
        <v>0</v>
      </c>
      <c r="AV1324" s="2">
        <v>0</v>
      </c>
      <c r="AW1324" s="4"/>
      <c r="AX1324" t="s">
        <v>75</v>
      </c>
      <c r="AZ1324" t="s">
        <v>3568</v>
      </c>
      <c r="BA1324" t="s">
        <v>67</v>
      </c>
      <c r="BB1324" t="s">
        <v>3569</v>
      </c>
      <c r="BC1324" t="s">
        <v>3570</v>
      </c>
      <c r="BD1324" t="s">
        <v>79</v>
      </c>
      <c r="BE1324" t="s">
        <v>168</v>
      </c>
      <c r="BF1324" s="5">
        <v>46388</v>
      </c>
      <c r="BG1324" t="s">
        <v>67</v>
      </c>
      <c r="BH1324">
        <v>1</v>
      </c>
      <c r="BI1324" s="6">
        <v>2500000</v>
      </c>
      <c r="BJ1324" s="6">
        <v>0</v>
      </c>
      <c r="BK1324" s="6">
        <v>900000</v>
      </c>
      <c r="BL1324" s="6">
        <v>1600000</v>
      </c>
      <c r="BM1324" s="2">
        <v>1600000</v>
      </c>
      <c r="BN1324">
        <f>InvoiceTable[[#This Row],[Giảm giá]]*InvoiceTable[[#This Row],[Số lượng]]</f>
        <v>900000</v>
      </c>
    </row>
    <row r="1325" spans="1:66" x14ac:dyDescent="0.25">
      <c r="A1325" t="s">
        <v>65</v>
      </c>
      <c r="B1325" t="s">
        <v>3571</v>
      </c>
      <c r="F1325" s="2"/>
      <c r="G1325" s="3">
        <v>46002.616010104168</v>
      </c>
      <c r="H1325" s="3">
        <v>46003.389747222223</v>
      </c>
      <c r="I1325" s="4" t="s">
        <v>67</v>
      </c>
      <c r="J1325" t="s">
        <v>67</v>
      </c>
      <c r="K1325" t="s">
        <v>67</v>
      </c>
      <c r="L1325" t="s">
        <v>3572</v>
      </c>
      <c r="M1325" t="s">
        <v>3573</v>
      </c>
      <c r="N1325" t="s">
        <v>67</v>
      </c>
      <c r="O1325" t="s">
        <v>3574</v>
      </c>
      <c r="P1325" t="s">
        <v>3575</v>
      </c>
      <c r="Q1325" t="s">
        <v>67</v>
      </c>
      <c r="R1325" t="s">
        <v>67</v>
      </c>
      <c r="S1325" s="5"/>
      <c r="T1325" t="s">
        <v>72</v>
      </c>
      <c r="U1325" t="s">
        <v>87</v>
      </c>
      <c r="V1325" t="s">
        <v>74</v>
      </c>
      <c r="W1325" t="s">
        <v>87</v>
      </c>
      <c r="AE1325" s="2"/>
      <c r="AF1325" s="2"/>
      <c r="AG1325" s="2"/>
      <c r="AH1325" s="2"/>
      <c r="AK1325" t="s">
        <v>3576</v>
      </c>
      <c r="AL1325" s="2">
        <v>928000</v>
      </c>
      <c r="AM1325" s="2">
        <v>0</v>
      </c>
      <c r="AN1325" s="2"/>
      <c r="AO1325" s="2">
        <v>0</v>
      </c>
      <c r="AP1325" s="2">
        <v>928000</v>
      </c>
      <c r="AQ1325" s="2">
        <v>0</v>
      </c>
      <c r="AR1325" s="2">
        <v>0</v>
      </c>
      <c r="AS1325" s="2">
        <v>0</v>
      </c>
      <c r="AT1325" s="2">
        <v>0</v>
      </c>
      <c r="AU1325" s="2">
        <v>0</v>
      </c>
      <c r="AV1325" s="2">
        <v>0</v>
      </c>
      <c r="AW1325" s="4"/>
      <c r="AX1325" t="s">
        <v>75</v>
      </c>
      <c r="AZ1325" t="s">
        <v>387</v>
      </c>
      <c r="BA1325" t="s">
        <v>67</v>
      </c>
      <c r="BB1325" t="s">
        <v>388</v>
      </c>
      <c r="BC1325" t="s">
        <v>344</v>
      </c>
      <c r="BD1325" t="s">
        <v>79</v>
      </c>
      <c r="BE1325" t="s">
        <v>228</v>
      </c>
      <c r="BF1325" s="5">
        <v>46813</v>
      </c>
      <c r="BH1325">
        <v>20</v>
      </c>
      <c r="BI1325" s="6">
        <v>80000</v>
      </c>
      <c r="BJ1325" s="6">
        <v>42</v>
      </c>
      <c r="BK1325" s="6">
        <v>33600</v>
      </c>
      <c r="BL1325" s="6">
        <v>46400</v>
      </c>
      <c r="BM1325" s="2">
        <v>928000</v>
      </c>
      <c r="BN1325">
        <f>InvoiceTable[[#This Row],[Giảm giá]]*InvoiceTable[[#This Row],[Số lượng]]</f>
        <v>672000</v>
      </c>
    </row>
    <row r="1326" spans="1:66" x14ac:dyDescent="0.25">
      <c r="A1326" t="s">
        <v>65</v>
      </c>
      <c r="B1326" t="s">
        <v>3577</v>
      </c>
      <c r="F1326" s="2"/>
      <c r="G1326" s="3">
        <v>46002.603390659722</v>
      </c>
      <c r="H1326" s="3">
        <v>46002.603379201391</v>
      </c>
      <c r="I1326" s="4" t="s">
        <v>3493</v>
      </c>
      <c r="J1326" t="s">
        <v>67</v>
      </c>
      <c r="K1326" t="s">
        <v>67</v>
      </c>
      <c r="L1326" t="s">
        <v>876</v>
      </c>
      <c r="M1326" t="s">
        <v>877</v>
      </c>
      <c r="N1326" t="s">
        <v>67</v>
      </c>
      <c r="O1326" t="s">
        <v>878</v>
      </c>
      <c r="P1326" t="s">
        <v>879</v>
      </c>
      <c r="Q1326" t="s">
        <v>880</v>
      </c>
      <c r="R1326" t="s">
        <v>881</v>
      </c>
      <c r="S1326" s="5"/>
      <c r="T1326" t="s">
        <v>72</v>
      </c>
      <c r="U1326" t="s">
        <v>87</v>
      </c>
      <c r="V1326" t="s">
        <v>74</v>
      </c>
      <c r="W1326" t="s">
        <v>87</v>
      </c>
      <c r="AE1326" s="2"/>
      <c r="AF1326" s="2"/>
      <c r="AG1326" s="2"/>
      <c r="AH1326" s="2"/>
      <c r="AL1326" s="2">
        <v>1780800</v>
      </c>
      <c r="AM1326" s="2">
        <v>0</v>
      </c>
      <c r="AN1326" s="2"/>
      <c r="AO1326" s="2">
        <v>0</v>
      </c>
      <c r="AP1326" s="2">
        <v>1780800</v>
      </c>
      <c r="AQ1326" s="2">
        <v>0</v>
      </c>
      <c r="AR1326" s="2">
        <v>0</v>
      </c>
      <c r="AS1326" s="2">
        <v>0</v>
      </c>
      <c r="AT1326" s="2">
        <v>0</v>
      </c>
      <c r="AU1326" s="2">
        <v>0</v>
      </c>
      <c r="AV1326" s="2">
        <v>0</v>
      </c>
      <c r="AW1326" s="4"/>
      <c r="AX1326" t="s">
        <v>75</v>
      </c>
      <c r="AZ1326" t="s">
        <v>283</v>
      </c>
      <c r="BA1326" t="s">
        <v>67</v>
      </c>
      <c r="BB1326" t="s">
        <v>284</v>
      </c>
      <c r="BC1326" t="s">
        <v>285</v>
      </c>
      <c r="BD1326" t="s">
        <v>79</v>
      </c>
      <c r="BE1326" t="s">
        <v>117</v>
      </c>
      <c r="BF1326" s="5">
        <v>46569</v>
      </c>
      <c r="BH1326">
        <v>2</v>
      </c>
      <c r="BI1326" s="6">
        <v>1680000</v>
      </c>
      <c r="BJ1326" s="6">
        <v>47</v>
      </c>
      <c r="BK1326" s="6">
        <v>789600</v>
      </c>
      <c r="BL1326" s="6">
        <v>890400</v>
      </c>
      <c r="BM1326" s="2">
        <v>1780800</v>
      </c>
      <c r="BN1326">
        <f>InvoiceTable[[#This Row],[Giảm giá]]*InvoiceTable[[#This Row],[Số lượng]]</f>
        <v>1579200</v>
      </c>
    </row>
    <row r="1327" spans="1:66" x14ac:dyDescent="0.25">
      <c r="A1327" t="s">
        <v>65</v>
      </c>
      <c r="B1327" t="s">
        <v>3578</v>
      </c>
      <c r="F1327" s="2"/>
      <c r="G1327" s="3">
        <v>46002.589107905093</v>
      </c>
      <c r="H1327" s="3">
        <v>46002.59058758102</v>
      </c>
      <c r="I1327" s="4" t="s">
        <v>1465</v>
      </c>
      <c r="J1327" t="s">
        <v>3579</v>
      </c>
      <c r="K1327" t="s">
        <v>67</v>
      </c>
      <c r="L1327" t="s">
        <v>3580</v>
      </c>
      <c r="M1327" t="s">
        <v>3581</v>
      </c>
      <c r="N1327" t="s">
        <v>67</v>
      </c>
      <c r="O1327" t="s">
        <v>3582</v>
      </c>
      <c r="P1327" t="s">
        <v>3583</v>
      </c>
      <c r="Q1327" t="s">
        <v>67</v>
      </c>
      <c r="R1327" t="s">
        <v>67</v>
      </c>
      <c r="S1327" s="5"/>
      <c r="T1327" t="s">
        <v>72</v>
      </c>
      <c r="U1327" t="s">
        <v>87</v>
      </c>
      <c r="V1327" t="s">
        <v>74</v>
      </c>
      <c r="W1327" t="s">
        <v>87</v>
      </c>
      <c r="AE1327" s="2"/>
      <c r="AF1327" s="2"/>
      <c r="AG1327" s="2"/>
      <c r="AH1327" s="2"/>
      <c r="AK1327" t="s">
        <v>909</v>
      </c>
      <c r="AL1327" s="2">
        <v>10214200</v>
      </c>
      <c r="AM1327" s="2">
        <v>0</v>
      </c>
      <c r="AN1327" s="2"/>
      <c r="AO1327" s="2">
        <v>0</v>
      </c>
      <c r="AP1327" s="2">
        <v>10214200</v>
      </c>
      <c r="AQ1327" s="2">
        <v>0</v>
      </c>
      <c r="AR1327" s="2">
        <v>0</v>
      </c>
      <c r="AS1327" s="2">
        <v>0</v>
      </c>
      <c r="AT1327" s="2">
        <v>0</v>
      </c>
      <c r="AU1327" s="2">
        <v>0</v>
      </c>
      <c r="AV1327" s="2">
        <v>0</v>
      </c>
      <c r="AW1327" s="4"/>
      <c r="AX1327" t="s">
        <v>75</v>
      </c>
      <c r="AZ1327" t="s">
        <v>3584</v>
      </c>
      <c r="BA1327" t="s">
        <v>67</v>
      </c>
      <c r="BB1327" t="s">
        <v>3585</v>
      </c>
      <c r="BC1327" t="s">
        <v>223</v>
      </c>
      <c r="BD1327" t="s">
        <v>79</v>
      </c>
      <c r="BE1327" t="s">
        <v>117</v>
      </c>
      <c r="BF1327" s="5">
        <v>46569</v>
      </c>
      <c r="BG1327" t="s">
        <v>67</v>
      </c>
      <c r="BH1327">
        <v>2</v>
      </c>
      <c r="BI1327" s="6">
        <v>3300000</v>
      </c>
      <c r="BJ1327" s="6">
        <v>44</v>
      </c>
      <c r="BK1327" s="6">
        <v>1452000</v>
      </c>
      <c r="BL1327" s="6">
        <v>1848000</v>
      </c>
      <c r="BM1327" s="2">
        <v>3696000</v>
      </c>
      <c r="BN1327">
        <f>InvoiceTable[[#This Row],[Giảm giá]]*InvoiceTable[[#This Row],[Số lượng]]</f>
        <v>2904000</v>
      </c>
    </row>
    <row r="1328" spans="1:66" x14ac:dyDescent="0.25">
      <c r="A1328" t="s">
        <v>65</v>
      </c>
      <c r="B1328" t="s">
        <v>3578</v>
      </c>
      <c r="F1328" s="2"/>
      <c r="G1328" s="3">
        <v>46002.589107905093</v>
      </c>
      <c r="H1328" s="3">
        <v>46002.59058758102</v>
      </c>
      <c r="I1328" s="4" t="s">
        <v>1465</v>
      </c>
      <c r="J1328" t="s">
        <v>3579</v>
      </c>
      <c r="K1328" t="s">
        <v>67</v>
      </c>
      <c r="L1328" t="s">
        <v>3580</v>
      </c>
      <c r="M1328" t="s">
        <v>3581</v>
      </c>
      <c r="N1328" t="s">
        <v>67</v>
      </c>
      <c r="O1328" t="s">
        <v>3582</v>
      </c>
      <c r="P1328" t="s">
        <v>3583</v>
      </c>
      <c r="Q1328" t="s">
        <v>67</v>
      </c>
      <c r="R1328" t="s">
        <v>67</v>
      </c>
      <c r="S1328" s="5"/>
      <c r="T1328" t="s">
        <v>72</v>
      </c>
      <c r="U1328" t="s">
        <v>87</v>
      </c>
      <c r="V1328" t="s">
        <v>74</v>
      </c>
      <c r="W1328" t="s">
        <v>87</v>
      </c>
      <c r="AE1328" s="2"/>
      <c r="AF1328" s="2"/>
      <c r="AG1328" s="2"/>
      <c r="AH1328" s="2"/>
      <c r="AK1328" t="s">
        <v>909</v>
      </c>
      <c r="AL1328" s="2">
        <v>10214200</v>
      </c>
      <c r="AM1328" s="2">
        <v>0</v>
      </c>
      <c r="AN1328" s="2"/>
      <c r="AO1328" s="2">
        <v>0</v>
      </c>
      <c r="AP1328" s="2">
        <v>10214200</v>
      </c>
      <c r="AQ1328" s="2">
        <v>0</v>
      </c>
      <c r="AR1328" s="2">
        <v>0</v>
      </c>
      <c r="AS1328" s="2">
        <v>0</v>
      </c>
      <c r="AT1328" s="2">
        <v>0</v>
      </c>
      <c r="AU1328" s="2">
        <v>0</v>
      </c>
      <c r="AV1328" s="2">
        <v>0</v>
      </c>
      <c r="AW1328" s="4"/>
      <c r="AX1328" t="s">
        <v>75</v>
      </c>
      <c r="AZ1328" t="s">
        <v>719</v>
      </c>
      <c r="BA1328" t="s">
        <v>67</v>
      </c>
      <c r="BB1328" t="s">
        <v>720</v>
      </c>
      <c r="BC1328" t="s">
        <v>721</v>
      </c>
      <c r="BD1328" t="s">
        <v>79</v>
      </c>
      <c r="BE1328" t="s">
        <v>722</v>
      </c>
      <c r="BF1328" s="5">
        <v>46782</v>
      </c>
      <c r="BG1328" t="s">
        <v>67</v>
      </c>
      <c r="BH1328">
        <v>3</v>
      </c>
      <c r="BI1328" s="6">
        <v>1100000</v>
      </c>
      <c r="BJ1328" s="6">
        <v>45</v>
      </c>
      <c r="BK1328" s="6">
        <v>495000</v>
      </c>
      <c r="BL1328" s="6">
        <v>605000</v>
      </c>
      <c r="BM1328" s="2">
        <v>1815000</v>
      </c>
      <c r="BN1328">
        <f>InvoiceTable[[#This Row],[Giảm giá]]*InvoiceTable[[#This Row],[Số lượng]]</f>
        <v>1485000</v>
      </c>
    </row>
    <row r="1329" spans="1:66" x14ac:dyDescent="0.25">
      <c r="A1329" t="s">
        <v>65</v>
      </c>
      <c r="B1329" t="s">
        <v>3578</v>
      </c>
      <c r="F1329" s="2"/>
      <c r="G1329" s="3">
        <v>46002.589107905093</v>
      </c>
      <c r="H1329" s="3">
        <v>46002.59058758102</v>
      </c>
      <c r="I1329" s="4" t="s">
        <v>1465</v>
      </c>
      <c r="J1329" t="s">
        <v>3579</v>
      </c>
      <c r="K1329" t="s">
        <v>67</v>
      </c>
      <c r="L1329" t="s">
        <v>3580</v>
      </c>
      <c r="M1329" t="s">
        <v>3581</v>
      </c>
      <c r="N1329" t="s">
        <v>67</v>
      </c>
      <c r="O1329" t="s">
        <v>3582</v>
      </c>
      <c r="P1329" t="s">
        <v>3583</v>
      </c>
      <c r="Q1329" t="s">
        <v>67</v>
      </c>
      <c r="R1329" t="s">
        <v>67</v>
      </c>
      <c r="S1329" s="5"/>
      <c r="T1329" t="s">
        <v>72</v>
      </c>
      <c r="U1329" t="s">
        <v>87</v>
      </c>
      <c r="V1329" t="s">
        <v>74</v>
      </c>
      <c r="W1329" t="s">
        <v>87</v>
      </c>
      <c r="AE1329" s="2"/>
      <c r="AF1329" s="2"/>
      <c r="AG1329" s="2"/>
      <c r="AH1329" s="2"/>
      <c r="AK1329" t="s">
        <v>909</v>
      </c>
      <c r="AL1329" s="2">
        <v>10214200</v>
      </c>
      <c r="AM1329" s="2">
        <v>0</v>
      </c>
      <c r="AN1329" s="2"/>
      <c r="AO1329" s="2">
        <v>0</v>
      </c>
      <c r="AP1329" s="2">
        <v>10214200</v>
      </c>
      <c r="AQ1329" s="2">
        <v>0</v>
      </c>
      <c r="AR1329" s="2">
        <v>0</v>
      </c>
      <c r="AS1329" s="2">
        <v>0</v>
      </c>
      <c r="AT1329" s="2">
        <v>0</v>
      </c>
      <c r="AU1329" s="2">
        <v>0</v>
      </c>
      <c r="AV1329" s="2">
        <v>0</v>
      </c>
      <c r="AW1329" s="4"/>
      <c r="AX1329" t="s">
        <v>75</v>
      </c>
      <c r="AZ1329" t="s">
        <v>3586</v>
      </c>
      <c r="BA1329" t="s">
        <v>67</v>
      </c>
      <c r="BB1329" t="s">
        <v>3587</v>
      </c>
      <c r="BC1329" t="s">
        <v>2469</v>
      </c>
      <c r="BD1329" t="s">
        <v>79</v>
      </c>
      <c r="BE1329" t="s">
        <v>378</v>
      </c>
      <c r="BF1329" s="5">
        <v>46997</v>
      </c>
      <c r="BH1329">
        <v>3</v>
      </c>
      <c r="BI1329" s="6">
        <v>880000</v>
      </c>
      <c r="BJ1329" s="6">
        <v>47</v>
      </c>
      <c r="BK1329" s="6">
        <v>413600</v>
      </c>
      <c r="BL1329" s="6">
        <v>466400</v>
      </c>
      <c r="BM1329" s="2">
        <v>1399200</v>
      </c>
      <c r="BN1329">
        <f>InvoiceTable[[#This Row],[Giảm giá]]*InvoiceTable[[#This Row],[Số lượng]]</f>
        <v>1240800</v>
      </c>
    </row>
    <row r="1330" spans="1:66" x14ac:dyDescent="0.25">
      <c r="A1330" t="s">
        <v>65</v>
      </c>
      <c r="B1330" t="s">
        <v>3578</v>
      </c>
      <c r="F1330" s="2"/>
      <c r="G1330" s="3">
        <v>46002.589107905093</v>
      </c>
      <c r="H1330" s="3">
        <v>46002.59058758102</v>
      </c>
      <c r="I1330" s="4" t="s">
        <v>1465</v>
      </c>
      <c r="J1330" t="s">
        <v>3579</v>
      </c>
      <c r="K1330" t="s">
        <v>67</v>
      </c>
      <c r="L1330" t="s">
        <v>3580</v>
      </c>
      <c r="M1330" t="s">
        <v>3581</v>
      </c>
      <c r="N1330" t="s">
        <v>67</v>
      </c>
      <c r="O1330" t="s">
        <v>3582</v>
      </c>
      <c r="P1330" t="s">
        <v>3583</v>
      </c>
      <c r="Q1330" t="s">
        <v>67</v>
      </c>
      <c r="R1330" t="s">
        <v>67</v>
      </c>
      <c r="S1330" s="5"/>
      <c r="T1330" t="s">
        <v>72</v>
      </c>
      <c r="U1330" t="s">
        <v>87</v>
      </c>
      <c r="V1330" t="s">
        <v>74</v>
      </c>
      <c r="W1330" t="s">
        <v>87</v>
      </c>
      <c r="AE1330" s="2"/>
      <c r="AF1330" s="2"/>
      <c r="AG1330" s="2"/>
      <c r="AH1330" s="2"/>
      <c r="AK1330" t="s">
        <v>909</v>
      </c>
      <c r="AL1330" s="2">
        <v>10214200</v>
      </c>
      <c r="AM1330" s="2">
        <v>0</v>
      </c>
      <c r="AN1330" s="2"/>
      <c r="AO1330" s="2">
        <v>0</v>
      </c>
      <c r="AP1330" s="2">
        <v>10214200</v>
      </c>
      <c r="AQ1330" s="2">
        <v>0</v>
      </c>
      <c r="AR1330" s="2">
        <v>0</v>
      </c>
      <c r="AS1330" s="2">
        <v>0</v>
      </c>
      <c r="AT1330" s="2">
        <v>0</v>
      </c>
      <c r="AU1330" s="2">
        <v>0</v>
      </c>
      <c r="AV1330" s="2">
        <v>0</v>
      </c>
      <c r="AW1330" s="4"/>
      <c r="AX1330" t="s">
        <v>75</v>
      </c>
      <c r="AZ1330" t="s">
        <v>1508</v>
      </c>
      <c r="BA1330" t="s">
        <v>67</v>
      </c>
      <c r="BB1330" t="s">
        <v>1509</v>
      </c>
      <c r="BC1330" t="s">
        <v>223</v>
      </c>
      <c r="BD1330" t="s">
        <v>79</v>
      </c>
      <c r="BE1330" t="s">
        <v>201</v>
      </c>
      <c r="BF1330" s="5">
        <v>46966</v>
      </c>
      <c r="BH1330">
        <v>2</v>
      </c>
      <c r="BI1330" s="6">
        <v>2950000</v>
      </c>
      <c r="BJ1330" s="6">
        <v>44</v>
      </c>
      <c r="BK1330" s="6">
        <v>1298000</v>
      </c>
      <c r="BL1330" s="6">
        <v>1652000</v>
      </c>
      <c r="BM1330" s="2">
        <v>3304000</v>
      </c>
      <c r="BN1330">
        <f>InvoiceTable[[#This Row],[Giảm giá]]*InvoiceTable[[#This Row],[Số lượng]]</f>
        <v>2596000</v>
      </c>
    </row>
    <row r="1331" spans="1:66" x14ac:dyDescent="0.25">
      <c r="A1331" t="s">
        <v>65</v>
      </c>
      <c r="B1331" t="s">
        <v>3588</v>
      </c>
      <c r="F1331" s="2"/>
      <c r="G1331" s="3">
        <v>46002.585454050924</v>
      </c>
      <c r="H1331" s="3">
        <v>46002.585454363427</v>
      </c>
      <c r="I1331" s="4" t="s">
        <v>67</v>
      </c>
      <c r="J1331" t="s">
        <v>3589</v>
      </c>
      <c r="K1331" t="s">
        <v>67</v>
      </c>
      <c r="L1331" t="s">
        <v>3590</v>
      </c>
      <c r="M1331" t="s">
        <v>3591</v>
      </c>
      <c r="N1331" t="s">
        <v>67</v>
      </c>
      <c r="O1331" t="s">
        <v>3592</v>
      </c>
      <c r="P1331" t="s">
        <v>3593</v>
      </c>
      <c r="Q1331" t="s">
        <v>67</v>
      </c>
      <c r="R1331" t="s">
        <v>67</v>
      </c>
      <c r="S1331" s="5"/>
      <c r="T1331" t="s">
        <v>72</v>
      </c>
      <c r="U1331" t="s">
        <v>102</v>
      </c>
      <c r="V1331" t="s">
        <v>74</v>
      </c>
      <c r="W1331" t="s">
        <v>87</v>
      </c>
      <c r="AE1331" s="2"/>
      <c r="AF1331" s="2"/>
      <c r="AG1331" s="2"/>
      <c r="AH1331" s="2"/>
      <c r="AK1331" t="s">
        <v>3594</v>
      </c>
      <c r="AL1331" s="2">
        <v>5900000</v>
      </c>
      <c r="AM1331" s="2">
        <v>0</v>
      </c>
      <c r="AN1331" s="2"/>
      <c r="AO1331" s="2">
        <v>0</v>
      </c>
      <c r="AP1331" s="2">
        <v>5900000</v>
      </c>
      <c r="AQ1331" s="2">
        <v>0</v>
      </c>
      <c r="AR1331" s="2">
        <v>0</v>
      </c>
      <c r="AS1331" s="2">
        <v>0</v>
      </c>
      <c r="AT1331" s="2">
        <v>0</v>
      </c>
      <c r="AU1331" s="2">
        <v>0</v>
      </c>
      <c r="AV1331" s="2">
        <v>0</v>
      </c>
      <c r="AW1331" s="4"/>
      <c r="AX1331" t="s">
        <v>75</v>
      </c>
      <c r="AZ1331" t="s">
        <v>307</v>
      </c>
      <c r="BA1331" t="s">
        <v>67</v>
      </c>
      <c r="BB1331" t="s">
        <v>308</v>
      </c>
      <c r="BC1331" t="s">
        <v>309</v>
      </c>
      <c r="BD1331" t="s">
        <v>79</v>
      </c>
      <c r="BE1331" t="s">
        <v>310</v>
      </c>
      <c r="BF1331" s="5">
        <v>46919</v>
      </c>
      <c r="BG1331" t="s">
        <v>67</v>
      </c>
      <c r="BH1331">
        <v>1</v>
      </c>
      <c r="BI1331" s="6">
        <v>6500000</v>
      </c>
      <c r="BJ1331" s="6">
        <v>0</v>
      </c>
      <c r="BK1331" s="6">
        <v>600000</v>
      </c>
      <c r="BL1331" s="6">
        <v>5900000</v>
      </c>
      <c r="BM1331" s="2">
        <v>5900000</v>
      </c>
      <c r="BN1331">
        <f>InvoiceTable[[#This Row],[Giảm giá]]*InvoiceTable[[#This Row],[Số lượng]]</f>
        <v>600000</v>
      </c>
    </row>
    <row r="1332" spans="1:66" x14ac:dyDescent="0.25">
      <c r="A1332" t="s">
        <v>65</v>
      </c>
      <c r="B1332" t="s">
        <v>3595</v>
      </c>
      <c r="F1332" s="2"/>
      <c r="G1332" s="3">
        <v>46002.583695601854</v>
      </c>
      <c r="H1332" s="3">
        <v>46002.583695914349</v>
      </c>
      <c r="I1332" s="4" t="s">
        <v>67</v>
      </c>
      <c r="J1332" t="s">
        <v>67</v>
      </c>
      <c r="K1332" t="s">
        <v>67</v>
      </c>
      <c r="L1332" t="s">
        <v>563</v>
      </c>
      <c r="M1332" t="s">
        <v>564</v>
      </c>
      <c r="N1332" t="s">
        <v>67</v>
      </c>
      <c r="Q1332" t="s">
        <v>67</v>
      </c>
      <c r="R1332" t="s">
        <v>67</v>
      </c>
      <c r="S1332" s="5"/>
      <c r="T1332" t="s">
        <v>72</v>
      </c>
      <c r="U1332" t="s">
        <v>87</v>
      </c>
      <c r="V1332" t="s">
        <v>74</v>
      </c>
      <c r="W1332" t="s">
        <v>87</v>
      </c>
      <c r="AE1332" s="2"/>
      <c r="AF1332" s="2"/>
      <c r="AG1332" s="2"/>
      <c r="AH1332" s="2"/>
      <c r="AL1332" s="2">
        <v>52129000</v>
      </c>
      <c r="AM1332" s="2">
        <v>0</v>
      </c>
      <c r="AN1332" s="2"/>
      <c r="AO1332" s="2">
        <v>0</v>
      </c>
      <c r="AP1332" s="2">
        <v>52129000</v>
      </c>
      <c r="AQ1332" s="2">
        <v>52129000</v>
      </c>
      <c r="AR1332" s="2">
        <v>52129000</v>
      </c>
      <c r="AS1332" s="2">
        <v>0</v>
      </c>
      <c r="AT1332" s="2">
        <v>0</v>
      </c>
      <c r="AU1332" s="2">
        <v>0</v>
      </c>
      <c r="AV1332" s="2">
        <v>0</v>
      </c>
      <c r="AW1332" s="4"/>
      <c r="AX1332" t="s">
        <v>75</v>
      </c>
      <c r="AZ1332" t="s">
        <v>1337</v>
      </c>
      <c r="BA1332" t="s">
        <v>67</v>
      </c>
      <c r="BB1332" t="s">
        <v>1338</v>
      </c>
      <c r="BC1332" t="s">
        <v>567</v>
      </c>
      <c r="BD1332" t="s">
        <v>79</v>
      </c>
      <c r="BE1332" t="s">
        <v>434</v>
      </c>
      <c r="BF1332" s="5">
        <v>46661</v>
      </c>
      <c r="BH1332">
        <v>20</v>
      </c>
      <c r="BI1332" s="6">
        <v>756000</v>
      </c>
      <c r="BJ1332" s="6">
        <v>0</v>
      </c>
      <c r="BK1332" s="6">
        <v>371000</v>
      </c>
      <c r="BL1332" s="6">
        <v>385000</v>
      </c>
      <c r="BM1332" s="2">
        <v>7700000</v>
      </c>
      <c r="BN1332">
        <f>InvoiceTable[[#This Row],[Giảm giá]]*InvoiceTable[[#This Row],[Số lượng]]</f>
        <v>7420000</v>
      </c>
    </row>
    <row r="1333" spans="1:66" x14ac:dyDescent="0.25">
      <c r="A1333" t="s">
        <v>65</v>
      </c>
      <c r="B1333" t="s">
        <v>3595</v>
      </c>
      <c r="F1333" s="2"/>
      <c r="G1333" s="3">
        <v>46002.583695601854</v>
      </c>
      <c r="H1333" s="3">
        <v>46002.583695914349</v>
      </c>
      <c r="I1333" s="4" t="s">
        <v>67</v>
      </c>
      <c r="J1333" t="s">
        <v>67</v>
      </c>
      <c r="K1333" t="s">
        <v>67</v>
      </c>
      <c r="L1333" t="s">
        <v>563</v>
      </c>
      <c r="M1333" t="s">
        <v>564</v>
      </c>
      <c r="N1333" t="s">
        <v>67</v>
      </c>
      <c r="Q1333" t="s">
        <v>67</v>
      </c>
      <c r="R1333" t="s">
        <v>67</v>
      </c>
      <c r="S1333" s="5"/>
      <c r="T1333" t="s">
        <v>72</v>
      </c>
      <c r="U1333" t="s">
        <v>87</v>
      </c>
      <c r="V1333" t="s">
        <v>74</v>
      </c>
      <c r="W1333" t="s">
        <v>87</v>
      </c>
      <c r="AE1333" s="2"/>
      <c r="AF1333" s="2"/>
      <c r="AG1333" s="2"/>
      <c r="AH1333" s="2"/>
      <c r="AL1333" s="2">
        <v>52129000</v>
      </c>
      <c r="AM1333" s="2">
        <v>0</v>
      </c>
      <c r="AN1333" s="2"/>
      <c r="AO1333" s="2">
        <v>0</v>
      </c>
      <c r="AP1333" s="2">
        <v>52129000</v>
      </c>
      <c r="AQ1333" s="2">
        <v>52129000</v>
      </c>
      <c r="AR1333" s="2">
        <v>52129000</v>
      </c>
      <c r="AS1333" s="2">
        <v>0</v>
      </c>
      <c r="AT1333" s="2">
        <v>0</v>
      </c>
      <c r="AU1333" s="2">
        <v>0</v>
      </c>
      <c r="AV1333" s="2">
        <v>0</v>
      </c>
      <c r="AW1333" s="4"/>
      <c r="AX1333" t="s">
        <v>75</v>
      </c>
      <c r="AZ1333" t="s">
        <v>565</v>
      </c>
      <c r="BA1333" t="s">
        <v>67</v>
      </c>
      <c r="BB1333" t="s">
        <v>566</v>
      </c>
      <c r="BC1333" t="s">
        <v>567</v>
      </c>
      <c r="BD1333" t="s">
        <v>79</v>
      </c>
      <c r="BE1333" t="s">
        <v>94</v>
      </c>
      <c r="BF1333" s="5">
        <v>46692</v>
      </c>
      <c r="BH1333">
        <v>144</v>
      </c>
      <c r="BI1333" s="6">
        <v>488000</v>
      </c>
      <c r="BJ1333" s="6">
        <v>0</v>
      </c>
      <c r="BK1333" s="6">
        <v>232250</v>
      </c>
      <c r="BL1333" s="6">
        <v>255750</v>
      </c>
      <c r="BM1333" s="2">
        <v>36828000</v>
      </c>
      <c r="BN1333">
        <f>InvoiceTable[[#This Row],[Giảm giá]]*InvoiceTable[[#This Row],[Số lượng]]</f>
        <v>33444000</v>
      </c>
    </row>
    <row r="1334" spans="1:66" x14ac:dyDescent="0.25">
      <c r="A1334" t="s">
        <v>65</v>
      </c>
      <c r="B1334" t="s">
        <v>3595</v>
      </c>
      <c r="F1334" s="2"/>
      <c r="G1334" s="3">
        <v>46002.583695601854</v>
      </c>
      <c r="H1334" s="3">
        <v>46002.583695914349</v>
      </c>
      <c r="I1334" s="4" t="s">
        <v>67</v>
      </c>
      <c r="J1334" t="s">
        <v>67</v>
      </c>
      <c r="K1334" t="s">
        <v>67</v>
      </c>
      <c r="L1334" t="s">
        <v>563</v>
      </c>
      <c r="M1334" t="s">
        <v>564</v>
      </c>
      <c r="N1334" t="s">
        <v>67</v>
      </c>
      <c r="Q1334" t="s">
        <v>67</v>
      </c>
      <c r="R1334" t="s">
        <v>67</v>
      </c>
      <c r="S1334" s="5"/>
      <c r="T1334" t="s">
        <v>72</v>
      </c>
      <c r="U1334" t="s">
        <v>87</v>
      </c>
      <c r="V1334" t="s">
        <v>74</v>
      </c>
      <c r="W1334" t="s">
        <v>87</v>
      </c>
      <c r="AE1334" s="2"/>
      <c r="AF1334" s="2"/>
      <c r="AG1334" s="2"/>
      <c r="AH1334" s="2"/>
      <c r="AL1334" s="2">
        <v>52129000</v>
      </c>
      <c r="AM1334" s="2">
        <v>0</v>
      </c>
      <c r="AN1334" s="2"/>
      <c r="AO1334" s="2">
        <v>0</v>
      </c>
      <c r="AP1334" s="2">
        <v>52129000</v>
      </c>
      <c r="AQ1334" s="2">
        <v>52129000</v>
      </c>
      <c r="AR1334" s="2">
        <v>52129000</v>
      </c>
      <c r="AS1334" s="2">
        <v>0</v>
      </c>
      <c r="AT1334" s="2">
        <v>0</v>
      </c>
      <c r="AU1334" s="2">
        <v>0</v>
      </c>
      <c r="AV1334" s="2">
        <v>0</v>
      </c>
      <c r="AW1334" s="4"/>
      <c r="AX1334" t="s">
        <v>75</v>
      </c>
      <c r="AZ1334" t="s">
        <v>1335</v>
      </c>
      <c r="BA1334" t="s">
        <v>67</v>
      </c>
      <c r="BB1334" t="s">
        <v>1336</v>
      </c>
      <c r="BC1334" t="s">
        <v>1067</v>
      </c>
      <c r="BD1334" t="s">
        <v>79</v>
      </c>
      <c r="BE1334" t="s">
        <v>201</v>
      </c>
      <c r="BF1334" s="5">
        <v>46966</v>
      </c>
      <c r="BH1334">
        <v>20</v>
      </c>
      <c r="BI1334" s="6">
        <v>726000</v>
      </c>
      <c r="BJ1334" s="6">
        <v>0</v>
      </c>
      <c r="BK1334" s="6">
        <v>345950</v>
      </c>
      <c r="BL1334" s="6">
        <v>380050</v>
      </c>
      <c r="BM1334" s="2">
        <v>7601000</v>
      </c>
      <c r="BN1334">
        <f>InvoiceTable[[#This Row],[Giảm giá]]*InvoiceTable[[#This Row],[Số lượng]]</f>
        <v>6919000</v>
      </c>
    </row>
    <row r="1335" spans="1:66" x14ac:dyDescent="0.25">
      <c r="A1335" t="s">
        <v>65</v>
      </c>
      <c r="B1335" t="s">
        <v>3596</v>
      </c>
      <c r="F1335" s="2"/>
      <c r="G1335" s="3">
        <v>46002.57545744213</v>
      </c>
      <c r="H1335" s="3">
        <v>46002.575538576391</v>
      </c>
      <c r="I1335" s="4" t="s">
        <v>1465</v>
      </c>
      <c r="J1335" t="s">
        <v>67</v>
      </c>
      <c r="K1335" t="s">
        <v>3597</v>
      </c>
      <c r="L1335" t="s">
        <v>3488</v>
      </c>
      <c r="M1335" t="s">
        <v>3489</v>
      </c>
      <c r="N1335" t="s">
        <v>67</v>
      </c>
      <c r="O1335" t="s">
        <v>3490</v>
      </c>
      <c r="P1335" t="s">
        <v>3491</v>
      </c>
      <c r="S1335" s="5"/>
      <c r="T1335" t="s">
        <v>72</v>
      </c>
      <c r="U1335" t="s">
        <v>87</v>
      </c>
      <c r="V1335" t="s">
        <v>74</v>
      </c>
      <c r="W1335" t="s">
        <v>87</v>
      </c>
      <c r="AE1335" s="2"/>
      <c r="AF1335" s="2"/>
      <c r="AG1335" s="2"/>
      <c r="AH1335" s="2"/>
      <c r="AK1335" t="s">
        <v>3598</v>
      </c>
      <c r="AL1335" s="2">
        <v>2234100</v>
      </c>
      <c r="AM1335" s="2">
        <v>0</v>
      </c>
      <c r="AN1335" s="2"/>
      <c r="AO1335" s="2">
        <v>0</v>
      </c>
      <c r="AP1335" s="2">
        <v>2234100</v>
      </c>
      <c r="AQ1335" s="2">
        <v>2234100</v>
      </c>
      <c r="AR1335" s="2">
        <v>0</v>
      </c>
      <c r="AS1335" s="2">
        <v>0</v>
      </c>
      <c r="AT1335" s="2">
        <v>0</v>
      </c>
      <c r="AU1335" s="2">
        <v>2234100</v>
      </c>
      <c r="AV1335" s="2">
        <v>0</v>
      </c>
      <c r="AW1335" s="4"/>
      <c r="AX1335" t="s">
        <v>75</v>
      </c>
      <c r="AZ1335" t="s">
        <v>3599</v>
      </c>
      <c r="BA1335" t="s">
        <v>67</v>
      </c>
      <c r="BB1335" t="s">
        <v>3600</v>
      </c>
      <c r="BC1335" t="s">
        <v>975</v>
      </c>
      <c r="BD1335" t="s">
        <v>79</v>
      </c>
      <c r="BE1335" t="s">
        <v>201</v>
      </c>
      <c r="BF1335" s="5">
        <v>46966</v>
      </c>
      <c r="BG1335" t="s">
        <v>67</v>
      </c>
      <c r="BH1335">
        <v>3</v>
      </c>
      <c r="BI1335" s="6">
        <v>385000</v>
      </c>
      <c r="BJ1335" s="6">
        <v>50</v>
      </c>
      <c r="BK1335" s="6">
        <v>192500</v>
      </c>
      <c r="BL1335" s="6">
        <v>192500</v>
      </c>
      <c r="BM1335" s="2">
        <v>577500</v>
      </c>
      <c r="BN1335">
        <f>InvoiceTable[[#This Row],[Giảm giá]]*InvoiceTable[[#This Row],[Số lượng]]</f>
        <v>577500</v>
      </c>
    </row>
    <row r="1336" spans="1:66" x14ac:dyDescent="0.25">
      <c r="A1336" t="s">
        <v>65</v>
      </c>
      <c r="B1336" t="s">
        <v>3596</v>
      </c>
      <c r="F1336" s="2"/>
      <c r="G1336" s="3">
        <v>46002.57545744213</v>
      </c>
      <c r="H1336" s="3">
        <v>46002.575538576391</v>
      </c>
      <c r="I1336" s="4" t="s">
        <v>1465</v>
      </c>
      <c r="J1336" t="s">
        <v>67</v>
      </c>
      <c r="K1336" t="s">
        <v>3597</v>
      </c>
      <c r="L1336" t="s">
        <v>3488</v>
      </c>
      <c r="M1336" t="s">
        <v>3489</v>
      </c>
      <c r="N1336" t="s">
        <v>67</v>
      </c>
      <c r="O1336" t="s">
        <v>3490</v>
      </c>
      <c r="P1336" t="s">
        <v>3491</v>
      </c>
      <c r="S1336" s="5"/>
      <c r="T1336" t="s">
        <v>72</v>
      </c>
      <c r="U1336" t="s">
        <v>87</v>
      </c>
      <c r="V1336" t="s">
        <v>74</v>
      </c>
      <c r="W1336" t="s">
        <v>87</v>
      </c>
      <c r="AE1336" s="2"/>
      <c r="AF1336" s="2"/>
      <c r="AG1336" s="2"/>
      <c r="AH1336" s="2"/>
      <c r="AK1336" t="s">
        <v>3598</v>
      </c>
      <c r="AL1336" s="2">
        <v>2234100</v>
      </c>
      <c r="AM1336" s="2">
        <v>0</v>
      </c>
      <c r="AN1336" s="2"/>
      <c r="AO1336" s="2">
        <v>0</v>
      </c>
      <c r="AP1336" s="2">
        <v>2234100</v>
      </c>
      <c r="AQ1336" s="2">
        <v>2234100</v>
      </c>
      <c r="AR1336" s="2">
        <v>0</v>
      </c>
      <c r="AS1336" s="2">
        <v>0</v>
      </c>
      <c r="AT1336" s="2">
        <v>0</v>
      </c>
      <c r="AU1336" s="2">
        <v>2234100</v>
      </c>
      <c r="AV1336" s="2">
        <v>0</v>
      </c>
      <c r="AW1336" s="4"/>
      <c r="AX1336" t="s">
        <v>75</v>
      </c>
      <c r="AZ1336" t="s">
        <v>3601</v>
      </c>
      <c r="BA1336" t="s">
        <v>67</v>
      </c>
      <c r="BB1336" t="s">
        <v>3602</v>
      </c>
      <c r="BC1336" t="s">
        <v>2604</v>
      </c>
      <c r="BD1336" t="s">
        <v>79</v>
      </c>
      <c r="BE1336" t="s">
        <v>293</v>
      </c>
      <c r="BF1336" s="5">
        <v>46722</v>
      </c>
      <c r="BG1336" t="s">
        <v>67</v>
      </c>
      <c r="BH1336">
        <v>3</v>
      </c>
      <c r="BI1336" s="6">
        <v>437000</v>
      </c>
      <c r="BJ1336" s="6">
        <v>45</v>
      </c>
      <c r="BK1336" s="6">
        <v>196650</v>
      </c>
      <c r="BL1336" s="6">
        <v>240350</v>
      </c>
      <c r="BM1336" s="2">
        <v>721050</v>
      </c>
      <c r="BN1336">
        <f>InvoiceTable[[#This Row],[Giảm giá]]*InvoiceTable[[#This Row],[Số lượng]]</f>
        <v>589950</v>
      </c>
    </row>
    <row r="1337" spans="1:66" x14ac:dyDescent="0.25">
      <c r="A1337" t="s">
        <v>65</v>
      </c>
      <c r="B1337" t="s">
        <v>3596</v>
      </c>
      <c r="F1337" s="2"/>
      <c r="G1337" s="3">
        <v>46002.57545744213</v>
      </c>
      <c r="H1337" s="3">
        <v>46002.575538576391</v>
      </c>
      <c r="I1337" s="4" t="s">
        <v>1465</v>
      </c>
      <c r="J1337" t="s">
        <v>67</v>
      </c>
      <c r="K1337" t="s">
        <v>3597</v>
      </c>
      <c r="L1337" t="s">
        <v>3488</v>
      </c>
      <c r="M1337" t="s">
        <v>3489</v>
      </c>
      <c r="N1337" t="s">
        <v>67</v>
      </c>
      <c r="O1337" t="s">
        <v>3490</v>
      </c>
      <c r="P1337" t="s">
        <v>3491</v>
      </c>
      <c r="S1337" s="5"/>
      <c r="T1337" t="s">
        <v>72</v>
      </c>
      <c r="U1337" t="s">
        <v>87</v>
      </c>
      <c r="V1337" t="s">
        <v>74</v>
      </c>
      <c r="W1337" t="s">
        <v>87</v>
      </c>
      <c r="AE1337" s="2"/>
      <c r="AF1337" s="2"/>
      <c r="AG1337" s="2"/>
      <c r="AH1337" s="2"/>
      <c r="AK1337" t="s">
        <v>3598</v>
      </c>
      <c r="AL1337" s="2">
        <v>2234100</v>
      </c>
      <c r="AM1337" s="2">
        <v>0</v>
      </c>
      <c r="AN1337" s="2"/>
      <c r="AO1337" s="2">
        <v>0</v>
      </c>
      <c r="AP1337" s="2">
        <v>2234100</v>
      </c>
      <c r="AQ1337" s="2">
        <v>2234100</v>
      </c>
      <c r="AR1337" s="2">
        <v>0</v>
      </c>
      <c r="AS1337" s="2">
        <v>0</v>
      </c>
      <c r="AT1337" s="2">
        <v>0</v>
      </c>
      <c r="AU1337" s="2">
        <v>2234100</v>
      </c>
      <c r="AV1337" s="2">
        <v>0</v>
      </c>
      <c r="AW1337" s="4"/>
      <c r="AX1337" t="s">
        <v>75</v>
      </c>
      <c r="AZ1337" t="s">
        <v>3603</v>
      </c>
      <c r="BA1337" t="s">
        <v>67</v>
      </c>
      <c r="BB1337" t="s">
        <v>3604</v>
      </c>
      <c r="BC1337" t="s">
        <v>204</v>
      </c>
      <c r="BD1337" t="s">
        <v>79</v>
      </c>
      <c r="BE1337" t="s">
        <v>810</v>
      </c>
      <c r="BF1337" s="5">
        <v>46539</v>
      </c>
      <c r="BH1337">
        <v>1</v>
      </c>
      <c r="BI1337" s="6">
        <v>580000</v>
      </c>
      <c r="BJ1337" s="6">
        <v>0</v>
      </c>
      <c r="BK1337" s="6">
        <v>580000</v>
      </c>
      <c r="BL1337" s="6">
        <v>0</v>
      </c>
      <c r="BM1337" s="2">
        <v>0</v>
      </c>
      <c r="BN1337">
        <f>InvoiceTable[[#This Row],[Giảm giá]]*InvoiceTable[[#This Row],[Số lượng]]</f>
        <v>580000</v>
      </c>
    </row>
    <row r="1338" spans="1:66" x14ac:dyDescent="0.25">
      <c r="A1338" t="s">
        <v>65</v>
      </c>
      <c r="B1338" t="s">
        <v>3596</v>
      </c>
      <c r="F1338" s="2"/>
      <c r="G1338" s="3">
        <v>46002.57545744213</v>
      </c>
      <c r="H1338" s="3">
        <v>46002.575538576391</v>
      </c>
      <c r="I1338" s="4" t="s">
        <v>1465</v>
      </c>
      <c r="J1338" t="s">
        <v>67</v>
      </c>
      <c r="K1338" t="s">
        <v>3597</v>
      </c>
      <c r="L1338" t="s">
        <v>3488</v>
      </c>
      <c r="M1338" t="s">
        <v>3489</v>
      </c>
      <c r="N1338" t="s">
        <v>67</v>
      </c>
      <c r="O1338" t="s">
        <v>3490</v>
      </c>
      <c r="P1338" t="s">
        <v>3491</v>
      </c>
      <c r="S1338" s="5"/>
      <c r="T1338" t="s">
        <v>72</v>
      </c>
      <c r="U1338" t="s">
        <v>87</v>
      </c>
      <c r="V1338" t="s">
        <v>74</v>
      </c>
      <c r="W1338" t="s">
        <v>87</v>
      </c>
      <c r="AE1338" s="2"/>
      <c r="AF1338" s="2"/>
      <c r="AG1338" s="2"/>
      <c r="AH1338" s="2"/>
      <c r="AK1338" t="s">
        <v>3598</v>
      </c>
      <c r="AL1338" s="2">
        <v>2234100</v>
      </c>
      <c r="AM1338" s="2">
        <v>0</v>
      </c>
      <c r="AN1338" s="2"/>
      <c r="AO1338" s="2">
        <v>0</v>
      </c>
      <c r="AP1338" s="2">
        <v>2234100</v>
      </c>
      <c r="AQ1338" s="2">
        <v>2234100</v>
      </c>
      <c r="AR1338" s="2">
        <v>0</v>
      </c>
      <c r="AS1338" s="2">
        <v>0</v>
      </c>
      <c r="AT1338" s="2">
        <v>0</v>
      </c>
      <c r="AU1338" s="2">
        <v>2234100</v>
      </c>
      <c r="AV1338" s="2">
        <v>0</v>
      </c>
      <c r="AW1338" s="4"/>
      <c r="AX1338" t="s">
        <v>75</v>
      </c>
      <c r="AZ1338" t="s">
        <v>241</v>
      </c>
      <c r="BA1338" t="s">
        <v>67</v>
      </c>
      <c r="BB1338" t="s">
        <v>242</v>
      </c>
      <c r="BC1338" t="s">
        <v>204</v>
      </c>
      <c r="BD1338" t="s">
        <v>79</v>
      </c>
      <c r="BE1338" t="s">
        <v>198</v>
      </c>
      <c r="BF1338" s="5">
        <v>46753</v>
      </c>
      <c r="BH1338">
        <v>3</v>
      </c>
      <c r="BI1338" s="6">
        <v>495000</v>
      </c>
      <c r="BJ1338" s="6">
        <v>37</v>
      </c>
      <c r="BK1338" s="6">
        <v>183150</v>
      </c>
      <c r="BL1338" s="6">
        <v>311850</v>
      </c>
      <c r="BM1338" s="2">
        <v>935550</v>
      </c>
      <c r="BN1338">
        <f>InvoiceTable[[#This Row],[Giảm giá]]*InvoiceTable[[#This Row],[Số lượng]]</f>
        <v>549450</v>
      </c>
    </row>
    <row r="1339" spans="1:66" x14ac:dyDescent="0.25">
      <c r="A1339" t="s">
        <v>65</v>
      </c>
      <c r="B1339" t="s">
        <v>3605</v>
      </c>
      <c r="F1339" s="2"/>
      <c r="G1339" s="3">
        <v>46002.558064895835</v>
      </c>
      <c r="H1339" s="3">
        <v>46002.558065011573</v>
      </c>
      <c r="I1339" s="4" t="s">
        <v>67</v>
      </c>
      <c r="J1339" t="s">
        <v>67</v>
      </c>
      <c r="K1339" t="s">
        <v>67</v>
      </c>
      <c r="L1339" t="s">
        <v>3606</v>
      </c>
      <c r="M1339" t="s">
        <v>3607</v>
      </c>
      <c r="N1339" t="s">
        <v>67</v>
      </c>
      <c r="O1339" t="s">
        <v>3608</v>
      </c>
      <c r="P1339" t="s">
        <v>3609</v>
      </c>
      <c r="Q1339" t="s">
        <v>459</v>
      </c>
      <c r="R1339" t="s">
        <v>3610</v>
      </c>
      <c r="S1339" s="5"/>
      <c r="T1339" t="s">
        <v>72</v>
      </c>
      <c r="U1339" t="s">
        <v>87</v>
      </c>
      <c r="V1339" t="s">
        <v>74</v>
      </c>
      <c r="W1339" t="s">
        <v>87</v>
      </c>
      <c r="AE1339" s="2"/>
      <c r="AF1339" s="2"/>
      <c r="AG1339" s="2"/>
      <c r="AH1339" s="2"/>
      <c r="AL1339" s="2">
        <v>1344000</v>
      </c>
      <c r="AM1339" s="2">
        <v>0</v>
      </c>
      <c r="AN1339" s="2"/>
      <c r="AO1339" s="2">
        <v>0</v>
      </c>
      <c r="AP1339" s="2">
        <v>1344000</v>
      </c>
      <c r="AQ1339" s="2">
        <v>0</v>
      </c>
      <c r="AR1339" s="2">
        <v>0</v>
      </c>
      <c r="AS1339" s="2">
        <v>0</v>
      </c>
      <c r="AT1339" s="2">
        <v>0</v>
      </c>
      <c r="AU1339" s="2">
        <v>0</v>
      </c>
      <c r="AV1339" s="2">
        <v>0</v>
      </c>
      <c r="AW1339" s="4"/>
      <c r="AX1339" t="s">
        <v>75</v>
      </c>
      <c r="AZ1339" t="s">
        <v>3611</v>
      </c>
      <c r="BA1339" t="s">
        <v>67</v>
      </c>
      <c r="BB1339" t="s">
        <v>3612</v>
      </c>
      <c r="BC1339" t="s">
        <v>223</v>
      </c>
      <c r="BD1339" t="s">
        <v>79</v>
      </c>
      <c r="BE1339" t="s">
        <v>1447</v>
      </c>
      <c r="BF1339" s="5">
        <v>46843</v>
      </c>
      <c r="BG1339" t="s">
        <v>67</v>
      </c>
      <c r="BH1339">
        <v>2</v>
      </c>
      <c r="BI1339" s="6">
        <v>1200000</v>
      </c>
      <c r="BJ1339" s="6">
        <v>44</v>
      </c>
      <c r="BK1339" s="6">
        <v>528000</v>
      </c>
      <c r="BL1339" s="6">
        <v>672000</v>
      </c>
      <c r="BM1339" s="2">
        <v>1344000</v>
      </c>
      <c r="BN1339">
        <f>InvoiceTable[[#This Row],[Giảm giá]]*InvoiceTable[[#This Row],[Số lượng]]</f>
        <v>1056000</v>
      </c>
    </row>
    <row r="1340" spans="1:66" x14ac:dyDescent="0.25">
      <c r="A1340" t="s">
        <v>65</v>
      </c>
      <c r="B1340" t="s">
        <v>3613</v>
      </c>
      <c r="F1340" s="2"/>
      <c r="G1340" s="3">
        <v>46002.554710682867</v>
      </c>
      <c r="H1340" s="3">
        <v>46002.554687615739</v>
      </c>
      <c r="I1340" s="4" t="s">
        <v>3298</v>
      </c>
      <c r="J1340" t="s">
        <v>67</v>
      </c>
      <c r="K1340" t="s">
        <v>67</v>
      </c>
      <c r="L1340" t="s">
        <v>3614</v>
      </c>
      <c r="M1340" t="s">
        <v>3615</v>
      </c>
      <c r="N1340" t="s">
        <v>67</v>
      </c>
      <c r="O1340" t="s">
        <v>3616</v>
      </c>
      <c r="P1340" t="s">
        <v>3617</v>
      </c>
      <c r="Q1340" t="s">
        <v>3618</v>
      </c>
      <c r="R1340" t="s">
        <v>3619</v>
      </c>
      <c r="S1340" s="5"/>
      <c r="T1340" t="s">
        <v>72</v>
      </c>
      <c r="U1340" t="s">
        <v>87</v>
      </c>
      <c r="V1340" t="s">
        <v>74</v>
      </c>
      <c r="W1340" t="s">
        <v>87</v>
      </c>
      <c r="AE1340" s="2"/>
      <c r="AF1340" s="2"/>
      <c r="AG1340" s="2"/>
      <c r="AH1340" s="2"/>
      <c r="AK1340" t="s">
        <v>258</v>
      </c>
      <c r="AL1340" s="2">
        <v>4200000</v>
      </c>
      <c r="AM1340" s="2">
        <v>0</v>
      </c>
      <c r="AN1340" s="2"/>
      <c r="AO1340" s="2">
        <v>0</v>
      </c>
      <c r="AP1340" s="2">
        <v>4200000</v>
      </c>
      <c r="AQ1340" s="2">
        <v>0</v>
      </c>
      <c r="AR1340" s="2">
        <v>0</v>
      </c>
      <c r="AS1340" s="2">
        <v>0</v>
      </c>
      <c r="AT1340" s="2">
        <v>0</v>
      </c>
      <c r="AU1340" s="2">
        <v>0</v>
      </c>
      <c r="AV1340" s="2">
        <v>0</v>
      </c>
      <c r="AW1340" s="4"/>
      <c r="AX1340" t="s">
        <v>75</v>
      </c>
      <c r="AZ1340" t="s">
        <v>581</v>
      </c>
      <c r="BA1340" t="s">
        <v>67</v>
      </c>
      <c r="BB1340" t="s">
        <v>582</v>
      </c>
      <c r="BC1340" t="s">
        <v>583</v>
      </c>
      <c r="BD1340" t="s">
        <v>79</v>
      </c>
      <c r="BE1340" t="s">
        <v>155</v>
      </c>
      <c r="BF1340" s="5">
        <v>46600</v>
      </c>
      <c r="BH1340">
        <v>2</v>
      </c>
      <c r="BI1340" s="6">
        <v>2600000</v>
      </c>
      <c r="BJ1340" s="6">
        <v>0</v>
      </c>
      <c r="BK1340" s="6">
        <v>500000</v>
      </c>
      <c r="BL1340" s="6">
        <v>2100000</v>
      </c>
      <c r="BM1340" s="2">
        <v>4200000</v>
      </c>
      <c r="BN1340">
        <f>InvoiceTable[[#This Row],[Giảm giá]]*InvoiceTable[[#This Row],[Số lượng]]</f>
        <v>1000000</v>
      </c>
    </row>
    <row r="1341" spans="1:66" x14ac:dyDescent="0.25">
      <c r="A1341" t="s">
        <v>65</v>
      </c>
      <c r="B1341" t="s">
        <v>3620</v>
      </c>
      <c r="F1341" s="2"/>
      <c r="G1341" s="3">
        <v>46002.549397951392</v>
      </c>
      <c r="H1341" s="3">
        <v>46002.549340196761</v>
      </c>
      <c r="I1341" s="4" t="s">
        <v>2803</v>
      </c>
      <c r="J1341" t="s">
        <v>67</v>
      </c>
      <c r="K1341" t="s">
        <v>67</v>
      </c>
      <c r="L1341" t="s">
        <v>1368</v>
      </c>
      <c r="M1341" t="s">
        <v>1369</v>
      </c>
      <c r="N1341" t="s">
        <v>67</v>
      </c>
      <c r="O1341" t="s">
        <v>1370</v>
      </c>
      <c r="Q1341" t="s">
        <v>67</v>
      </c>
      <c r="R1341" t="s">
        <v>67</v>
      </c>
      <c r="S1341" s="5"/>
      <c r="T1341" t="s">
        <v>72</v>
      </c>
      <c r="U1341" t="s">
        <v>87</v>
      </c>
      <c r="V1341" t="s">
        <v>74</v>
      </c>
      <c r="W1341" t="s">
        <v>87</v>
      </c>
      <c r="AE1341" s="2"/>
      <c r="AF1341" s="2"/>
      <c r="AG1341" s="2"/>
      <c r="AH1341" s="2"/>
      <c r="AL1341" s="2">
        <v>230000</v>
      </c>
      <c r="AM1341" s="2">
        <v>0</v>
      </c>
      <c r="AN1341" s="2"/>
      <c r="AO1341" s="2">
        <v>0</v>
      </c>
      <c r="AP1341" s="2">
        <v>230000</v>
      </c>
      <c r="AQ1341" s="2">
        <v>0</v>
      </c>
      <c r="AR1341" s="2">
        <v>0</v>
      </c>
      <c r="AS1341" s="2">
        <v>0</v>
      </c>
      <c r="AT1341" s="2">
        <v>0</v>
      </c>
      <c r="AU1341" s="2">
        <v>0</v>
      </c>
      <c r="AV1341" s="2">
        <v>0</v>
      </c>
      <c r="AW1341" s="4"/>
      <c r="AX1341" t="s">
        <v>75</v>
      </c>
      <c r="AZ1341" t="s">
        <v>2640</v>
      </c>
      <c r="BA1341" t="s">
        <v>67</v>
      </c>
      <c r="BB1341" t="s">
        <v>2641</v>
      </c>
      <c r="BC1341" t="s">
        <v>126</v>
      </c>
      <c r="BD1341" t="s">
        <v>79</v>
      </c>
      <c r="BE1341" t="s">
        <v>715</v>
      </c>
      <c r="BF1341" s="5">
        <v>46631</v>
      </c>
      <c r="BH1341">
        <v>2</v>
      </c>
      <c r="BI1341" s="6">
        <v>230000</v>
      </c>
      <c r="BJ1341" s="6">
        <v>0</v>
      </c>
      <c r="BK1341" s="6">
        <v>115000</v>
      </c>
      <c r="BL1341" s="6">
        <v>115000</v>
      </c>
      <c r="BM1341" s="2">
        <v>230000</v>
      </c>
      <c r="BN1341">
        <f>InvoiceTable[[#This Row],[Giảm giá]]*InvoiceTable[[#This Row],[Số lượng]]</f>
        <v>230000</v>
      </c>
    </row>
    <row r="1342" spans="1:66" x14ac:dyDescent="0.25">
      <c r="A1342" t="s">
        <v>65</v>
      </c>
      <c r="B1342" t="s">
        <v>3621</v>
      </c>
      <c r="F1342" s="2"/>
      <c r="G1342" s="3">
        <v>46002.548521261575</v>
      </c>
      <c r="H1342" s="3">
        <v>46002.548521377314</v>
      </c>
      <c r="I1342" s="4" t="s">
        <v>67</v>
      </c>
      <c r="J1342" t="s">
        <v>67</v>
      </c>
      <c r="K1342" t="s">
        <v>67</v>
      </c>
      <c r="L1342" t="s">
        <v>1368</v>
      </c>
      <c r="M1342" t="s">
        <v>1369</v>
      </c>
      <c r="N1342" t="s">
        <v>67</v>
      </c>
      <c r="O1342" t="s">
        <v>1370</v>
      </c>
      <c r="Q1342" t="s">
        <v>67</v>
      </c>
      <c r="R1342" t="s">
        <v>67</v>
      </c>
      <c r="S1342" s="5"/>
      <c r="T1342" t="s">
        <v>72</v>
      </c>
      <c r="U1342" t="s">
        <v>87</v>
      </c>
      <c r="V1342" t="s">
        <v>74</v>
      </c>
      <c r="W1342" t="s">
        <v>87</v>
      </c>
      <c r="AE1342" s="2"/>
      <c r="AF1342" s="2"/>
      <c r="AG1342" s="2"/>
      <c r="AH1342" s="2"/>
      <c r="AK1342" t="s">
        <v>3622</v>
      </c>
      <c r="AL1342" s="2">
        <v>2501584</v>
      </c>
      <c r="AM1342" s="2">
        <v>0</v>
      </c>
      <c r="AN1342" s="2"/>
      <c r="AO1342" s="2">
        <v>0</v>
      </c>
      <c r="AP1342" s="2">
        <v>2501584</v>
      </c>
      <c r="AQ1342" s="2">
        <v>0</v>
      </c>
      <c r="AR1342" s="2">
        <v>0</v>
      </c>
      <c r="AS1342" s="2">
        <v>0</v>
      </c>
      <c r="AT1342" s="2">
        <v>0</v>
      </c>
      <c r="AU1342" s="2">
        <v>0</v>
      </c>
      <c r="AV1342" s="2">
        <v>0</v>
      </c>
      <c r="AW1342" s="4"/>
      <c r="AX1342" t="s">
        <v>75</v>
      </c>
      <c r="AZ1342" t="s">
        <v>365</v>
      </c>
      <c r="BA1342" t="s">
        <v>67</v>
      </c>
      <c r="BB1342" t="s">
        <v>366</v>
      </c>
      <c r="BC1342" t="s">
        <v>367</v>
      </c>
      <c r="BD1342" t="s">
        <v>79</v>
      </c>
      <c r="BE1342" t="s">
        <v>94</v>
      </c>
      <c r="BF1342" s="5">
        <v>46692</v>
      </c>
      <c r="BH1342">
        <v>1</v>
      </c>
      <c r="BI1342" s="6">
        <v>380000</v>
      </c>
      <c r="BJ1342" s="6">
        <v>30</v>
      </c>
      <c r="BK1342" s="6">
        <v>114000</v>
      </c>
      <c r="BL1342" s="6">
        <v>266000</v>
      </c>
      <c r="BM1342" s="2">
        <v>266000</v>
      </c>
      <c r="BN1342">
        <f>InvoiceTable[[#This Row],[Giảm giá]]*InvoiceTable[[#This Row],[Số lượng]]</f>
        <v>114000</v>
      </c>
    </row>
    <row r="1343" spans="1:66" x14ac:dyDescent="0.25">
      <c r="A1343" t="s">
        <v>65</v>
      </c>
      <c r="B1343" t="s">
        <v>3621</v>
      </c>
      <c r="F1343" s="2"/>
      <c r="G1343" s="3">
        <v>46002.548521261575</v>
      </c>
      <c r="H1343" s="3">
        <v>46002.548521377314</v>
      </c>
      <c r="I1343" s="4" t="s">
        <v>67</v>
      </c>
      <c r="J1343" t="s">
        <v>67</v>
      </c>
      <c r="K1343" t="s">
        <v>67</v>
      </c>
      <c r="L1343" t="s">
        <v>1368</v>
      </c>
      <c r="M1343" t="s">
        <v>1369</v>
      </c>
      <c r="N1343" t="s">
        <v>67</v>
      </c>
      <c r="O1343" t="s">
        <v>1370</v>
      </c>
      <c r="Q1343" t="s">
        <v>67</v>
      </c>
      <c r="R1343" t="s">
        <v>67</v>
      </c>
      <c r="S1343" s="5"/>
      <c r="T1343" t="s">
        <v>72</v>
      </c>
      <c r="U1343" t="s">
        <v>87</v>
      </c>
      <c r="V1343" t="s">
        <v>74</v>
      </c>
      <c r="W1343" t="s">
        <v>87</v>
      </c>
      <c r="AE1343" s="2"/>
      <c r="AF1343" s="2"/>
      <c r="AG1343" s="2"/>
      <c r="AH1343" s="2"/>
      <c r="AK1343" t="s">
        <v>3622</v>
      </c>
      <c r="AL1343" s="2">
        <v>2501584</v>
      </c>
      <c r="AM1343" s="2">
        <v>0</v>
      </c>
      <c r="AN1343" s="2"/>
      <c r="AO1343" s="2">
        <v>0</v>
      </c>
      <c r="AP1343" s="2">
        <v>2501584</v>
      </c>
      <c r="AQ1343" s="2">
        <v>0</v>
      </c>
      <c r="AR1343" s="2">
        <v>0</v>
      </c>
      <c r="AS1343" s="2">
        <v>0</v>
      </c>
      <c r="AT1343" s="2">
        <v>0</v>
      </c>
      <c r="AU1343" s="2">
        <v>0</v>
      </c>
      <c r="AV1343" s="2">
        <v>0</v>
      </c>
      <c r="AW1343" s="4"/>
      <c r="AX1343" t="s">
        <v>75</v>
      </c>
      <c r="AZ1343" t="s">
        <v>3623</v>
      </c>
      <c r="BA1343" t="s">
        <v>67</v>
      </c>
      <c r="BB1343" t="s">
        <v>3624</v>
      </c>
      <c r="BC1343" t="s">
        <v>986</v>
      </c>
      <c r="BD1343" t="s">
        <v>79</v>
      </c>
      <c r="BE1343" t="s">
        <v>317</v>
      </c>
      <c r="BF1343" s="5">
        <v>46935</v>
      </c>
      <c r="BH1343">
        <v>2</v>
      </c>
      <c r="BI1343" s="6">
        <v>696600</v>
      </c>
      <c r="BJ1343" s="6">
        <v>38</v>
      </c>
      <c r="BK1343" s="6">
        <v>264708</v>
      </c>
      <c r="BL1343" s="6">
        <v>431892</v>
      </c>
      <c r="BM1343" s="2">
        <v>863784</v>
      </c>
      <c r="BN1343">
        <f>InvoiceTable[[#This Row],[Giảm giá]]*InvoiceTable[[#This Row],[Số lượng]]</f>
        <v>529416</v>
      </c>
    </row>
    <row r="1344" spans="1:66" x14ac:dyDescent="0.25">
      <c r="A1344" t="s">
        <v>65</v>
      </c>
      <c r="B1344" t="s">
        <v>3621</v>
      </c>
      <c r="F1344" s="2"/>
      <c r="G1344" s="3">
        <v>46002.548521261575</v>
      </c>
      <c r="H1344" s="3">
        <v>46002.548521377314</v>
      </c>
      <c r="I1344" s="4" t="s">
        <v>67</v>
      </c>
      <c r="J1344" t="s">
        <v>67</v>
      </c>
      <c r="K1344" t="s">
        <v>67</v>
      </c>
      <c r="L1344" t="s">
        <v>1368</v>
      </c>
      <c r="M1344" t="s">
        <v>1369</v>
      </c>
      <c r="N1344" t="s">
        <v>67</v>
      </c>
      <c r="O1344" t="s">
        <v>1370</v>
      </c>
      <c r="Q1344" t="s">
        <v>67</v>
      </c>
      <c r="R1344" t="s">
        <v>67</v>
      </c>
      <c r="S1344" s="5"/>
      <c r="T1344" t="s">
        <v>72</v>
      </c>
      <c r="U1344" t="s">
        <v>87</v>
      </c>
      <c r="V1344" t="s">
        <v>74</v>
      </c>
      <c r="W1344" t="s">
        <v>87</v>
      </c>
      <c r="AE1344" s="2"/>
      <c r="AF1344" s="2"/>
      <c r="AG1344" s="2"/>
      <c r="AH1344" s="2"/>
      <c r="AK1344" t="s">
        <v>3622</v>
      </c>
      <c r="AL1344" s="2">
        <v>2501584</v>
      </c>
      <c r="AM1344" s="2">
        <v>0</v>
      </c>
      <c r="AN1344" s="2"/>
      <c r="AO1344" s="2">
        <v>0</v>
      </c>
      <c r="AP1344" s="2">
        <v>2501584</v>
      </c>
      <c r="AQ1344" s="2">
        <v>0</v>
      </c>
      <c r="AR1344" s="2">
        <v>0</v>
      </c>
      <c r="AS1344" s="2">
        <v>0</v>
      </c>
      <c r="AT1344" s="2">
        <v>0</v>
      </c>
      <c r="AU1344" s="2">
        <v>0</v>
      </c>
      <c r="AV1344" s="2">
        <v>0</v>
      </c>
      <c r="AW1344" s="4"/>
      <c r="AX1344" t="s">
        <v>75</v>
      </c>
      <c r="AZ1344" t="s">
        <v>691</v>
      </c>
      <c r="BA1344" t="s">
        <v>67</v>
      </c>
      <c r="BB1344" t="s">
        <v>692</v>
      </c>
      <c r="BC1344" t="s">
        <v>215</v>
      </c>
      <c r="BD1344" t="s">
        <v>79</v>
      </c>
      <c r="BE1344" t="s">
        <v>216</v>
      </c>
      <c r="BF1344" s="5">
        <v>46784</v>
      </c>
      <c r="BH1344">
        <v>1</v>
      </c>
      <c r="BI1344" s="6">
        <v>760000</v>
      </c>
      <c r="BJ1344" s="6">
        <v>52</v>
      </c>
      <c r="BK1344" s="6">
        <v>395200</v>
      </c>
      <c r="BL1344" s="6">
        <v>364800</v>
      </c>
      <c r="BM1344" s="2">
        <v>364800</v>
      </c>
      <c r="BN1344">
        <f>InvoiceTable[[#This Row],[Giảm giá]]*InvoiceTable[[#This Row],[Số lượng]]</f>
        <v>395200</v>
      </c>
    </row>
    <row r="1345" spans="1:66" x14ac:dyDescent="0.25">
      <c r="A1345" t="s">
        <v>65</v>
      </c>
      <c r="B1345" t="s">
        <v>3621</v>
      </c>
      <c r="F1345" s="2"/>
      <c r="G1345" s="3">
        <v>46002.548521261575</v>
      </c>
      <c r="H1345" s="3">
        <v>46002.548521377314</v>
      </c>
      <c r="I1345" s="4" t="s">
        <v>67</v>
      </c>
      <c r="J1345" t="s">
        <v>67</v>
      </c>
      <c r="K1345" t="s">
        <v>67</v>
      </c>
      <c r="L1345" t="s">
        <v>1368</v>
      </c>
      <c r="M1345" t="s">
        <v>1369</v>
      </c>
      <c r="N1345" t="s">
        <v>67</v>
      </c>
      <c r="O1345" t="s">
        <v>1370</v>
      </c>
      <c r="Q1345" t="s">
        <v>67</v>
      </c>
      <c r="R1345" t="s">
        <v>67</v>
      </c>
      <c r="S1345" s="5"/>
      <c r="T1345" t="s">
        <v>72</v>
      </c>
      <c r="U1345" t="s">
        <v>87</v>
      </c>
      <c r="V1345" t="s">
        <v>74</v>
      </c>
      <c r="W1345" t="s">
        <v>87</v>
      </c>
      <c r="AE1345" s="2"/>
      <c r="AF1345" s="2"/>
      <c r="AG1345" s="2"/>
      <c r="AH1345" s="2"/>
      <c r="AK1345" t="s">
        <v>3622</v>
      </c>
      <c r="AL1345" s="2">
        <v>2501584</v>
      </c>
      <c r="AM1345" s="2">
        <v>0</v>
      </c>
      <c r="AN1345" s="2"/>
      <c r="AO1345" s="2">
        <v>0</v>
      </c>
      <c r="AP1345" s="2">
        <v>2501584</v>
      </c>
      <c r="AQ1345" s="2">
        <v>0</v>
      </c>
      <c r="AR1345" s="2">
        <v>0</v>
      </c>
      <c r="AS1345" s="2">
        <v>0</v>
      </c>
      <c r="AT1345" s="2">
        <v>0</v>
      </c>
      <c r="AU1345" s="2">
        <v>0</v>
      </c>
      <c r="AV1345" s="2">
        <v>0</v>
      </c>
      <c r="AW1345" s="4"/>
      <c r="AX1345" t="s">
        <v>75</v>
      </c>
      <c r="AZ1345" t="s">
        <v>1897</v>
      </c>
      <c r="BA1345" t="s">
        <v>67</v>
      </c>
      <c r="BB1345" t="s">
        <v>1898</v>
      </c>
      <c r="BC1345" t="s">
        <v>703</v>
      </c>
      <c r="BD1345" t="s">
        <v>79</v>
      </c>
      <c r="BE1345" t="s">
        <v>1899</v>
      </c>
      <c r="BF1345" s="5">
        <v>47150</v>
      </c>
      <c r="BH1345">
        <v>1</v>
      </c>
      <c r="BI1345" s="6">
        <v>650000</v>
      </c>
      <c r="BJ1345" s="6">
        <v>47</v>
      </c>
      <c r="BK1345" s="6">
        <v>305500</v>
      </c>
      <c r="BL1345" s="6">
        <v>344500</v>
      </c>
      <c r="BM1345" s="2">
        <v>344500</v>
      </c>
      <c r="BN1345">
        <f>InvoiceTable[[#This Row],[Giảm giá]]*InvoiceTable[[#This Row],[Số lượng]]</f>
        <v>305500</v>
      </c>
    </row>
    <row r="1346" spans="1:66" x14ac:dyDescent="0.25">
      <c r="A1346" t="s">
        <v>65</v>
      </c>
      <c r="B1346" t="s">
        <v>3621</v>
      </c>
      <c r="F1346" s="2"/>
      <c r="G1346" s="3">
        <v>46002.548521261575</v>
      </c>
      <c r="H1346" s="3">
        <v>46002.548521377314</v>
      </c>
      <c r="I1346" s="4" t="s">
        <v>67</v>
      </c>
      <c r="J1346" t="s">
        <v>67</v>
      </c>
      <c r="K1346" t="s">
        <v>67</v>
      </c>
      <c r="L1346" t="s">
        <v>1368</v>
      </c>
      <c r="M1346" t="s">
        <v>1369</v>
      </c>
      <c r="N1346" t="s">
        <v>67</v>
      </c>
      <c r="O1346" t="s">
        <v>1370</v>
      </c>
      <c r="Q1346" t="s">
        <v>67</v>
      </c>
      <c r="R1346" t="s">
        <v>67</v>
      </c>
      <c r="S1346" s="5"/>
      <c r="T1346" t="s">
        <v>72</v>
      </c>
      <c r="U1346" t="s">
        <v>87</v>
      </c>
      <c r="V1346" t="s">
        <v>74</v>
      </c>
      <c r="W1346" t="s">
        <v>87</v>
      </c>
      <c r="AE1346" s="2"/>
      <c r="AF1346" s="2"/>
      <c r="AG1346" s="2"/>
      <c r="AH1346" s="2"/>
      <c r="AK1346" t="s">
        <v>3622</v>
      </c>
      <c r="AL1346" s="2">
        <v>2501584</v>
      </c>
      <c r="AM1346" s="2">
        <v>0</v>
      </c>
      <c r="AN1346" s="2"/>
      <c r="AO1346" s="2">
        <v>0</v>
      </c>
      <c r="AP1346" s="2">
        <v>2501584</v>
      </c>
      <c r="AQ1346" s="2">
        <v>0</v>
      </c>
      <c r="AR1346" s="2">
        <v>0</v>
      </c>
      <c r="AS1346" s="2">
        <v>0</v>
      </c>
      <c r="AT1346" s="2">
        <v>0</v>
      </c>
      <c r="AU1346" s="2">
        <v>0</v>
      </c>
      <c r="AV1346" s="2">
        <v>0</v>
      </c>
      <c r="AW1346" s="4"/>
      <c r="AX1346" t="s">
        <v>75</v>
      </c>
      <c r="AZ1346" t="s">
        <v>659</v>
      </c>
      <c r="BA1346" t="s">
        <v>67</v>
      </c>
      <c r="BB1346" t="s">
        <v>660</v>
      </c>
      <c r="BC1346" t="s">
        <v>223</v>
      </c>
      <c r="BD1346" t="s">
        <v>79</v>
      </c>
      <c r="BE1346" t="s">
        <v>661</v>
      </c>
      <c r="BF1346" s="5">
        <v>47025</v>
      </c>
      <c r="BH1346">
        <v>1</v>
      </c>
      <c r="BI1346" s="6">
        <v>1250000</v>
      </c>
      <c r="BJ1346" s="6">
        <v>47</v>
      </c>
      <c r="BK1346" s="6">
        <v>587500</v>
      </c>
      <c r="BL1346" s="6">
        <v>662500</v>
      </c>
      <c r="BM1346" s="2">
        <v>662500</v>
      </c>
      <c r="BN1346">
        <f>InvoiceTable[[#This Row],[Giảm giá]]*InvoiceTable[[#This Row],[Số lượng]]</f>
        <v>587500</v>
      </c>
    </row>
    <row r="1347" spans="1:66" x14ac:dyDescent="0.25">
      <c r="A1347" t="s">
        <v>65</v>
      </c>
      <c r="B1347" t="s">
        <v>3625</v>
      </c>
      <c r="F1347" s="2"/>
      <c r="G1347" s="3">
        <v>46002.542627627314</v>
      </c>
      <c r="H1347" s="3">
        <v>46002.542627743052</v>
      </c>
      <c r="I1347" s="4" t="s">
        <v>67</v>
      </c>
      <c r="J1347" t="s">
        <v>3626</v>
      </c>
      <c r="K1347" t="s">
        <v>67</v>
      </c>
      <c r="L1347" t="s">
        <v>464</v>
      </c>
      <c r="M1347" t="s">
        <v>465</v>
      </c>
      <c r="N1347" t="s">
        <v>466</v>
      </c>
      <c r="O1347" t="s">
        <v>467</v>
      </c>
      <c r="P1347" t="s">
        <v>468</v>
      </c>
      <c r="S1347" s="5"/>
      <c r="T1347" t="s">
        <v>72</v>
      </c>
      <c r="U1347" t="s">
        <v>73</v>
      </c>
      <c r="V1347" t="s">
        <v>74</v>
      </c>
      <c r="W1347" t="s">
        <v>87</v>
      </c>
      <c r="AE1347" s="2"/>
      <c r="AF1347" s="2"/>
      <c r="AG1347" s="2"/>
      <c r="AH1347" s="2"/>
      <c r="AL1347" s="2">
        <v>3230000</v>
      </c>
      <c r="AM1347" s="2">
        <v>0</v>
      </c>
      <c r="AN1347" s="2"/>
      <c r="AO1347" s="2">
        <v>0</v>
      </c>
      <c r="AP1347" s="2">
        <v>3230000</v>
      </c>
      <c r="AQ1347" s="2">
        <v>3230000</v>
      </c>
      <c r="AR1347" s="2">
        <v>3230000</v>
      </c>
      <c r="AS1347" s="2">
        <v>0</v>
      </c>
      <c r="AT1347" s="2">
        <v>0</v>
      </c>
      <c r="AU1347" s="2">
        <v>0</v>
      </c>
      <c r="AV1347" s="2">
        <v>0</v>
      </c>
      <c r="AW1347" s="4"/>
      <c r="AX1347" t="s">
        <v>75</v>
      </c>
      <c r="AZ1347" t="s">
        <v>365</v>
      </c>
      <c r="BA1347" t="s">
        <v>67</v>
      </c>
      <c r="BB1347" t="s">
        <v>366</v>
      </c>
      <c r="BC1347" t="s">
        <v>367</v>
      </c>
      <c r="BD1347" t="s">
        <v>79</v>
      </c>
      <c r="BE1347" t="s">
        <v>94</v>
      </c>
      <c r="BF1347" s="5">
        <v>46692</v>
      </c>
      <c r="BH1347">
        <v>5</v>
      </c>
      <c r="BI1347" s="6">
        <v>380000</v>
      </c>
      <c r="BJ1347" s="6">
        <v>30</v>
      </c>
      <c r="BK1347" s="6">
        <v>114000</v>
      </c>
      <c r="BL1347" s="6">
        <v>266000</v>
      </c>
      <c r="BM1347" s="2">
        <v>1330000</v>
      </c>
      <c r="BN1347">
        <f>InvoiceTable[[#This Row],[Giảm giá]]*InvoiceTable[[#This Row],[Số lượng]]</f>
        <v>570000</v>
      </c>
    </row>
    <row r="1348" spans="1:66" x14ac:dyDescent="0.25">
      <c r="A1348" t="s">
        <v>65</v>
      </c>
      <c r="B1348" t="s">
        <v>3625</v>
      </c>
      <c r="F1348" s="2"/>
      <c r="G1348" s="3">
        <v>46002.542627627314</v>
      </c>
      <c r="H1348" s="3">
        <v>46002.542627743052</v>
      </c>
      <c r="I1348" s="4" t="s">
        <v>67</v>
      </c>
      <c r="J1348" t="s">
        <v>3626</v>
      </c>
      <c r="K1348" t="s">
        <v>67</v>
      </c>
      <c r="L1348" t="s">
        <v>464</v>
      </c>
      <c r="M1348" t="s">
        <v>465</v>
      </c>
      <c r="N1348" t="s">
        <v>466</v>
      </c>
      <c r="O1348" t="s">
        <v>467</v>
      </c>
      <c r="P1348" t="s">
        <v>468</v>
      </c>
      <c r="S1348" s="5"/>
      <c r="T1348" t="s">
        <v>72</v>
      </c>
      <c r="U1348" t="s">
        <v>73</v>
      </c>
      <c r="V1348" t="s">
        <v>74</v>
      </c>
      <c r="W1348" t="s">
        <v>87</v>
      </c>
      <c r="AE1348" s="2"/>
      <c r="AF1348" s="2"/>
      <c r="AG1348" s="2"/>
      <c r="AH1348" s="2"/>
      <c r="AL1348" s="2">
        <v>3230000</v>
      </c>
      <c r="AM1348" s="2">
        <v>0</v>
      </c>
      <c r="AN1348" s="2"/>
      <c r="AO1348" s="2">
        <v>0</v>
      </c>
      <c r="AP1348" s="2">
        <v>3230000</v>
      </c>
      <c r="AQ1348" s="2">
        <v>3230000</v>
      </c>
      <c r="AR1348" s="2">
        <v>3230000</v>
      </c>
      <c r="AS1348" s="2">
        <v>0</v>
      </c>
      <c r="AT1348" s="2">
        <v>0</v>
      </c>
      <c r="AU1348" s="2">
        <v>0</v>
      </c>
      <c r="AV1348" s="2">
        <v>0</v>
      </c>
      <c r="AW1348" s="4"/>
      <c r="AX1348" t="s">
        <v>75</v>
      </c>
      <c r="AZ1348" t="s">
        <v>213</v>
      </c>
      <c r="BA1348" t="s">
        <v>67</v>
      </c>
      <c r="BB1348" t="s">
        <v>214</v>
      </c>
      <c r="BC1348" t="s">
        <v>215</v>
      </c>
      <c r="BD1348" t="s">
        <v>79</v>
      </c>
      <c r="BE1348" t="s">
        <v>216</v>
      </c>
      <c r="BF1348" s="5">
        <v>46784</v>
      </c>
      <c r="BH1348">
        <v>5</v>
      </c>
      <c r="BI1348" s="6">
        <v>760000</v>
      </c>
      <c r="BJ1348" s="6">
        <v>50</v>
      </c>
      <c r="BK1348" s="6">
        <v>380000</v>
      </c>
      <c r="BL1348" s="6">
        <v>380000</v>
      </c>
      <c r="BM1348" s="2">
        <v>1900000</v>
      </c>
      <c r="BN1348">
        <f>InvoiceTable[[#This Row],[Giảm giá]]*InvoiceTable[[#This Row],[Số lượng]]</f>
        <v>1900000</v>
      </c>
    </row>
    <row r="1349" spans="1:66" x14ac:dyDescent="0.25">
      <c r="A1349" t="s">
        <v>65</v>
      </c>
      <c r="B1349" t="s">
        <v>3627</v>
      </c>
      <c r="F1349" s="2"/>
      <c r="G1349" s="3">
        <v>46002.542464583334</v>
      </c>
      <c r="H1349" s="3">
        <v>46002.542464699072</v>
      </c>
      <c r="I1349" s="4" t="s">
        <v>67</v>
      </c>
      <c r="J1349" t="s">
        <v>3628</v>
      </c>
      <c r="K1349" t="s">
        <v>67</v>
      </c>
      <c r="L1349" t="s">
        <v>3629</v>
      </c>
      <c r="M1349" t="s">
        <v>3630</v>
      </c>
      <c r="N1349" t="s">
        <v>67</v>
      </c>
      <c r="O1349" t="s">
        <v>3631</v>
      </c>
      <c r="P1349" t="s">
        <v>3632</v>
      </c>
      <c r="Q1349" t="s">
        <v>3633</v>
      </c>
      <c r="R1349" t="s">
        <v>3634</v>
      </c>
      <c r="S1349" s="5"/>
      <c r="T1349" t="s">
        <v>72</v>
      </c>
      <c r="U1349" t="s">
        <v>73</v>
      </c>
      <c r="V1349" t="s">
        <v>74</v>
      </c>
      <c r="W1349" t="s">
        <v>87</v>
      </c>
      <c r="AE1349" s="2"/>
      <c r="AF1349" s="2"/>
      <c r="AG1349" s="2"/>
      <c r="AH1349" s="2"/>
      <c r="AK1349" t="s">
        <v>3635</v>
      </c>
      <c r="AL1349" s="2">
        <v>5510000</v>
      </c>
      <c r="AM1349" s="2">
        <v>0</v>
      </c>
      <c r="AN1349" s="2"/>
      <c r="AO1349" s="2">
        <v>0</v>
      </c>
      <c r="AP1349" s="2">
        <v>5510000</v>
      </c>
      <c r="AQ1349" s="2">
        <v>0</v>
      </c>
      <c r="AR1349" s="2">
        <v>0</v>
      </c>
      <c r="AS1349" s="2">
        <v>0</v>
      </c>
      <c r="AT1349" s="2">
        <v>0</v>
      </c>
      <c r="AU1349" s="2">
        <v>0</v>
      </c>
      <c r="AV1349" s="2">
        <v>0</v>
      </c>
      <c r="AW1349" s="4"/>
      <c r="AX1349" t="s">
        <v>75</v>
      </c>
      <c r="AZ1349" t="s">
        <v>3636</v>
      </c>
      <c r="BA1349" t="s">
        <v>67</v>
      </c>
      <c r="BB1349" t="s">
        <v>3637</v>
      </c>
      <c r="BC1349" t="s">
        <v>344</v>
      </c>
      <c r="BD1349" t="s">
        <v>79</v>
      </c>
      <c r="BE1349" t="s">
        <v>3638</v>
      </c>
      <c r="BF1349" s="5">
        <v>47052</v>
      </c>
      <c r="BG1349" t="s">
        <v>67</v>
      </c>
      <c r="BH1349">
        <v>10</v>
      </c>
      <c r="BI1349" s="6">
        <v>950000</v>
      </c>
      <c r="BJ1349" s="6">
        <v>42</v>
      </c>
      <c r="BK1349" s="6">
        <v>399000</v>
      </c>
      <c r="BL1349" s="6">
        <v>551000</v>
      </c>
      <c r="BM1349" s="2">
        <v>5510000</v>
      </c>
      <c r="BN1349">
        <f>InvoiceTable[[#This Row],[Giảm giá]]*InvoiceTable[[#This Row],[Số lượng]]</f>
        <v>3990000</v>
      </c>
    </row>
    <row r="1350" spans="1:66" x14ac:dyDescent="0.25">
      <c r="A1350" t="s">
        <v>65</v>
      </c>
      <c r="B1350" t="s">
        <v>3627</v>
      </c>
      <c r="F1350" s="2"/>
      <c r="G1350" s="3">
        <v>46002.542464583334</v>
      </c>
      <c r="H1350" s="3">
        <v>46002.542464699072</v>
      </c>
      <c r="I1350" s="4" t="s">
        <v>67</v>
      </c>
      <c r="J1350" t="s">
        <v>3628</v>
      </c>
      <c r="K1350" t="s">
        <v>67</v>
      </c>
      <c r="L1350" t="s">
        <v>3629</v>
      </c>
      <c r="M1350" t="s">
        <v>3630</v>
      </c>
      <c r="N1350" t="s">
        <v>67</v>
      </c>
      <c r="O1350" t="s">
        <v>3631</v>
      </c>
      <c r="P1350" t="s">
        <v>3632</v>
      </c>
      <c r="Q1350" t="s">
        <v>3633</v>
      </c>
      <c r="R1350" t="s">
        <v>3634</v>
      </c>
      <c r="S1350" s="5"/>
      <c r="T1350" t="s">
        <v>72</v>
      </c>
      <c r="U1350" t="s">
        <v>73</v>
      </c>
      <c r="V1350" t="s">
        <v>74</v>
      </c>
      <c r="W1350" t="s">
        <v>87</v>
      </c>
      <c r="AE1350" s="2"/>
      <c r="AF1350" s="2"/>
      <c r="AG1350" s="2"/>
      <c r="AH1350" s="2"/>
      <c r="AK1350" t="s">
        <v>3635</v>
      </c>
      <c r="AL1350" s="2">
        <v>5510000</v>
      </c>
      <c r="AM1350" s="2">
        <v>0</v>
      </c>
      <c r="AN1350" s="2"/>
      <c r="AO1350" s="2">
        <v>0</v>
      </c>
      <c r="AP1350" s="2">
        <v>5510000</v>
      </c>
      <c r="AQ1350" s="2">
        <v>0</v>
      </c>
      <c r="AR1350" s="2">
        <v>0</v>
      </c>
      <c r="AS1350" s="2">
        <v>0</v>
      </c>
      <c r="AT1350" s="2">
        <v>0</v>
      </c>
      <c r="AU1350" s="2">
        <v>0</v>
      </c>
      <c r="AV1350" s="2">
        <v>0</v>
      </c>
      <c r="AW1350" s="4"/>
      <c r="AX1350" t="s">
        <v>75</v>
      </c>
      <c r="AZ1350" t="s">
        <v>3636</v>
      </c>
      <c r="BA1350" t="s">
        <v>67</v>
      </c>
      <c r="BB1350" t="s">
        <v>3637</v>
      </c>
      <c r="BC1350" t="s">
        <v>344</v>
      </c>
      <c r="BD1350" t="s">
        <v>79</v>
      </c>
      <c r="BE1350" t="s">
        <v>3638</v>
      </c>
      <c r="BF1350" s="5">
        <v>47052</v>
      </c>
      <c r="BG1350" t="s">
        <v>67</v>
      </c>
      <c r="BH1350">
        <v>1</v>
      </c>
      <c r="BI1350" s="6">
        <v>950000</v>
      </c>
      <c r="BJ1350" s="6">
        <v>0</v>
      </c>
      <c r="BK1350" s="6">
        <v>950000</v>
      </c>
      <c r="BL1350" s="6">
        <v>0</v>
      </c>
      <c r="BM1350" s="2">
        <v>0</v>
      </c>
      <c r="BN1350">
        <f>InvoiceTable[[#This Row],[Giảm giá]]*InvoiceTable[[#This Row],[Số lượng]]</f>
        <v>950000</v>
      </c>
    </row>
    <row r="1351" spans="1:66" x14ac:dyDescent="0.25">
      <c r="A1351" t="s">
        <v>65</v>
      </c>
      <c r="B1351" t="s">
        <v>3639</v>
      </c>
      <c r="F1351" s="2"/>
      <c r="G1351" s="3">
        <v>46002.542130636575</v>
      </c>
      <c r="H1351" s="3">
        <v>46002.542130752314</v>
      </c>
      <c r="I1351" s="4" t="s">
        <v>67</v>
      </c>
      <c r="J1351" t="s">
        <v>67</v>
      </c>
      <c r="K1351" t="s">
        <v>67</v>
      </c>
      <c r="L1351" t="s">
        <v>630</v>
      </c>
      <c r="M1351" t="s">
        <v>631</v>
      </c>
      <c r="N1351" t="s">
        <v>632</v>
      </c>
      <c r="O1351" t="s">
        <v>633</v>
      </c>
      <c r="P1351" t="s">
        <v>634</v>
      </c>
      <c r="S1351" s="5"/>
      <c r="T1351" t="s">
        <v>72</v>
      </c>
      <c r="U1351" t="s">
        <v>87</v>
      </c>
      <c r="V1351" t="s">
        <v>74</v>
      </c>
      <c r="W1351" t="s">
        <v>87</v>
      </c>
      <c r="AE1351" s="2"/>
      <c r="AF1351" s="2"/>
      <c r="AG1351" s="2"/>
      <c r="AH1351" s="2"/>
      <c r="AL1351" s="2">
        <v>4697310</v>
      </c>
      <c r="AM1351" s="2">
        <v>0</v>
      </c>
      <c r="AN1351" s="2"/>
      <c r="AO1351" s="2">
        <v>0</v>
      </c>
      <c r="AP1351" s="2">
        <v>4697310</v>
      </c>
      <c r="AQ1351" s="2">
        <v>0</v>
      </c>
      <c r="AR1351" s="2">
        <v>0</v>
      </c>
      <c r="AS1351" s="2">
        <v>0</v>
      </c>
      <c r="AT1351" s="2">
        <v>0</v>
      </c>
      <c r="AU1351" s="2">
        <v>0</v>
      </c>
      <c r="AV1351" s="2">
        <v>0</v>
      </c>
      <c r="AW1351" s="4"/>
      <c r="AX1351" t="s">
        <v>75</v>
      </c>
      <c r="AZ1351" t="s">
        <v>3640</v>
      </c>
      <c r="BA1351" t="s">
        <v>67</v>
      </c>
      <c r="BB1351" t="s">
        <v>3641</v>
      </c>
      <c r="BC1351" t="s">
        <v>706</v>
      </c>
      <c r="BD1351" t="s">
        <v>79</v>
      </c>
      <c r="BE1351" t="s">
        <v>142</v>
      </c>
      <c r="BF1351" s="5">
        <v>46844</v>
      </c>
      <c r="BH1351">
        <v>3</v>
      </c>
      <c r="BI1351" s="6">
        <v>1200000</v>
      </c>
      <c r="BJ1351" s="6">
        <v>45</v>
      </c>
      <c r="BK1351" s="6">
        <v>540000</v>
      </c>
      <c r="BL1351" s="6">
        <v>660000</v>
      </c>
      <c r="BM1351" s="2">
        <v>1980000</v>
      </c>
      <c r="BN1351">
        <f>InvoiceTable[[#This Row],[Giảm giá]]*InvoiceTable[[#This Row],[Số lượng]]</f>
        <v>1620000</v>
      </c>
    </row>
    <row r="1352" spans="1:66" x14ac:dyDescent="0.25">
      <c r="A1352" t="s">
        <v>65</v>
      </c>
      <c r="B1352" t="s">
        <v>3639</v>
      </c>
      <c r="F1352" s="2"/>
      <c r="G1352" s="3">
        <v>46002.542130636575</v>
      </c>
      <c r="H1352" s="3">
        <v>46002.542130752314</v>
      </c>
      <c r="I1352" s="4" t="s">
        <v>67</v>
      </c>
      <c r="J1352" t="s">
        <v>67</v>
      </c>
      <c r="K1352" t="s">
        <v>67</v>
      </c>
      <c r="L1352" t="s">
        <v>630</v>
      </c>
      <c r="M1352" t="s">
        <v>631</v>
      </c>
      <c r="N1352" t="s">
        <v>632</v>
      </c>
      <c r="O1352" t="s">
        <v>633</v>
      </c>
      <c r="P1352" t="s">
        <v>634</v>
      </c>
      <c r="S1352" s="5"/>
      <c r="T1352" t="s">
        <v>72</v>
      </c>
      <c r="U1352" t="s">
        <v>87</v>
      </c>
      <c r="V1352" t="s">
        <v>74</v>
      </c>
      <c r="W1352" t="s">
        <v>87</v>
      </c>
      <c r="AE1352" s="2"/>
      <c r="AF1352" s="2"/>
      <c r="AG1352" s="2"/>
      <c r="AH1352" s="2"/>
      <c r="AL1352" s="2">
        <v>4697310</v>
      </c>
      <c r="AM1352" s="2">
        <v>0</v>
      </c>
      <c r="AN1352" s="2"/>
      <c r="AO1352" s="2">
        <v>0</v>
      </c>
      <c r="AP1352" s="2">
        <v>4697310</v>
      </c>
      <c r="AQ1352" s="2">
        <v>0</v>
      </c>
      <c r="AR1352" s="2">
        <v>0</v>
      </c>
      <c r="AS1352" s="2">
        <v>0</v>
      </c>
      <c r="AT1352" s="2">
        <v>0</v>
      </c>
      <c r="AU1352" s="2">
        <v>0</v>
      </c>
      <c r="AV1352" s="2">
        <v>0</v>
      </c>
      <c r="AW1352" s="4"/>
      <c r="AX1352" t="s">
        <v>75</v>
      </c>
      <c r="AZ1352" t="s">
        <v>2849</v>
      </c>
      <c r="BB1352" t="s">
        <v>2850</v>
      </c>
      <c r="BC1352" t="s">
        <v>212</v>
      </c>
      <c r="BD1352" t="s">
        <v>79</v>
      </c>
      <c r="BE1352" t="s">
        <v>145</v>
      </c>
      <c r="BF1352" s="5">
        <v>46508</v>
      </c>
      <c r="BH1352">
        <v>1</v>
      </c>
      <c r="BI1352" s="6">
        <v>415000</v>
      </c>
      <c r="BJ1352" s="6">
        <v>35</v>
      </c>
      <c r="BK1352" s="6">
        <v>145250</v>
      </c>
      <c r="BL1352" s="6">
        <v>269750</v>
      </c>
      <c r="BM1352" s="2">
        <v>269750</v>
      </c>
      <c r="BN1352">
        <f>InvoiceTable[[#This Row],[Giảm giá]]*InvoiceTable[[#This Row],[Số lượng]]</f>
        <v>145250</v>
      </c>
    </row>
    <row r="1353" spans="1:66" x14ac:dyDescent="0.25">
      <c r="A1353" t="s">
        <v>65</v>
      </c>
      <c r="B1353" t="s">
        <v>3639</v>
      </c>
      <c r="F1353" s="2"/>
      <c r="G1353" s="3">
        <v>46002.542130636575</v>
      </c>
      <c r="H1353" s="3">
        <v>46002.542130752314</v>
      </c>
      <c r="I1353" s="4" t="s">
        <v>67</v>
      </c>
      <c r="J1353" t="s">
        <v>67</v>
      </c>
      <c r="K1353" t="s">
        <v>67</v>
      </c>
      <c r="L1353" t="s">
        <v>630</v>
      </c>
      <c r="M1353" t="s">
        <v>631</v>
      </c>
      <c r="N1353" t="s">
        <v>632</v>
      </c>
      <c r="O1353" t="s">
        <v>633</v>
      </c>
      <c r="P1353" t="s">
        <v>634</v>
      </c>
      <c r="S1353" s="5"/>
      <c r="T1353" t="s">
        <v>72</v>
      </c>
      <c r="U1353" t="s">
        <v>87</v>
      </c>
      <c r="V1353" t="s">
        <v>74</v>
      </c>
      <c r="W1353" t="s">
        <v>87</v>
      </c>
      <c r="AE1353" s="2"/>
      <c r="AF1353" s="2"/>
      <c r="AG1353" s="2"/>
      <c r="AH1353" s="2"/>
      <c r="AL1353" s="2">
        <v>4697310</v>
      </c>
      <c r="AM1353" s="2">
        <v>0</v>
      </c>
      <c r="AN1353" s="2"/>
      <c r="AO1353" s="2">
        <v>0</v>
      </c>
      <c r="AP1353" s="2">
        <v>4697310</v>
      </c>
      <c r="AQ1353" s="2">
        <v>0</v>
      </c>
      <c r="AR1353" s="2">
        <v>0</v>
      </c>
      <c r="AS1353" s="2">
        <v>0</v>
      </c>
      <c r="AT1353" s="2">
        <v>0</v>
      </c>
      <c r="AU1353" s="2">
        <v>0</v>
      </c>
      <c r="AV1353" s="2">
        <v>0</v>
      </c>
      <c r="AW1353" s="4"/>
      <c r="AX1353" t="s">
        <v>75</v>
      </c>
      <c r="AZ1353" t="s">
        <v>565</v>
      </c>
      <c r="BA1353" t="s">
        <v>67</v>
      </c>
      <c r="BB1353" t="s">
        <v>566</v>
      </c>
      <c r="BC1353" t="s">
        <v>567</v>
      </c>
      <c r="BD1353" t="s">
        <v>79</v>
      </c>
      <c r="BE1353" t="s">
        <v>94</v>
      </c>
      <c r="BF1353" s="5">
        <v>46692</v>
      </c>
      <c r="BH1353">
        <v>1</v>
      </c>
      <c r="BI1353" s="6">
        <v>488000</v>
      </c>
      <c r="BJ1353" s="6">
        <v>38</v>
      </c>
      <c r="BK1353" s="6">
        <v>185440</v>
      </c>
      <c r="BL1353" s="6">
        <v>302560</v>
      </c>
      <c r="BM1353" s="2">
        <v>302560</v>
      </c>
      <c r="BN1353">
        <f>InvoiceTable[[#This Row],[Giảm giá]]*InvoiceTable[[#This Row],[Số lượng]]</f>
        <v>185440</v>
      </c>
    </row>
    <row r="1354" spans="1:66" x14ac:dyDescent="0.25">
      <c r="A1354" t="s">
        <v>65</v>
      </c>
      <c r="B1354" t="s">
        <v>3639</v>
      </c>
      <c r="F1354" s="2"/>
      <c r="G1354" s="3">
        <v>46002.542130636575</v>
      </c>
      <c r="H1354" s="3">
        <v>46002.542130752314</v>
      </c>
      <c r="I1354" s="4" t="s">
        <v>67</v>
      </c>
      <c r="J1354" t="s">
        <v>67</v>
      </c>
      <c r="K1354" t="s">
        <v>67</v>
      </c>
      <c r="L1354" t="s">
        <v>630</v>
      </c>
      <c r="M1354" t="s">
        <v>631</v>
      </c>
      <c r="N1354" t="s">
        <v>632</v>
      </c>
      <c r="O1354" t="s">
        <v>633</v>
      </c>
      <c r="P1354" t="s">
        <v>634</v>
      </c>
      <c r="S1354" s="5"/>
      <c r="T1354" t="s">
        <v>72</v>
      </c>
      <c r="U1354" t="s">
        <v>87</v>
      </c>
      <c r="V1354" t="s">
        <v>74</v>
      </c>
      <c r="W1354" t="s">
        <v>87</v>
      </c>
      <c r="AE1354" s="2"/>
      <c r="AF1354" s="2"/>
      <c r="AG1354" s="2"/>
      <c r="AH1354" s="2"/>
      <c r="AL1354" s="2">
        <v>4697310</v>
      </c>
      <c r="AM1354" s="2">
        <v>0</v>
      </c>
      <c r="AN1354" s="2"/>
      <c r="AO1354" s="2">
        <v>0</v>
      </c>
      <c r="AP1354" s="2">
        <v>4697310</v>
      </c>
      <c r="AQ1354" s="2">
        <v>0</v>
      </c>
      <c r="AR1354" s="2">
        <v>0</v>
      </c>
      <c r="AS1354" s="2">
        <v>0</v>
      </c>
      <c r="AT1354" s="2">
        <v>0</v>
      </c>
      <c r="AU1354" s="2">
        <v>0</v>
      </c>
      <c r="AV1354" s="2">
        <v>0</v>
      </c>
      <c r="AW1354" s="4"/>
      <c r="AX1354" t="s">
        <v>75</v>
      </c>
      <c r="AZ1354" t="s">
        <v>2456</v>
      </c>
      <c r="BA1354" t="s">
        <v>67</v>
      </c>
      <c r="BB1354" t="s">
        <v>2457</v>
      </c>
      <c r="BC1354" t="s">
        <v>980</v>
      </c>
      <c r="BD1354" t="s">
        <v>79</v>
      </c>
      <c r="BE1354" t="s">
        <v>188</v>
      </c>
      <c r="BF1354" s="5">
        <v>46905</v>
      </c>
      <c r="BG1354" t="s">
        <v>67</v>
      </c>
      <c r="BH1354">
        <v>1</v>
      </c>
      <c r="BI1354" s="6">
        <v>3900000</v>
      </c>
      <c r="BJ1354" s="6">
        <v>45</v>
      </c>
      <c r="BK1354" s="6">
        <v>1755000</v>
      </c>
      <c r="BL1354" s="6">
        <v>2145000</v>
      </c>
      <c r="BM1354" s="2">
        <v>2145000</v>
      </c>
      <c r="BN1354">
        <f>InvoiceTable[[#This Row],[Giảm giá]]*InvoiceTable[[#This Row],[Số lượng]]</f>
        <v>1755000</v>
      </c>
    </row>
    <row r="1355" spans="1:66" x14ac:dyDescent="0.25">
      <c r="A1355" t="s">
        <v>65</v>
      </c>
      <c r="B1355" t="s">
        <v>3642</v>
      </c>
      <c r="F1355" s="2"/>
      <c r="G1355" s="3">
        <v>46002.540555439817</v>
      </c>
      <c r="H1355" s="3">
        <v>46002.540509409722</v>
      </c>
      <c r="I1355" s="4" t="s">
        <v>3066</v>
      </c>
      <c r="J1355" t="s">
        <v>3643</v>
      </c>
      <c r="K1355" t="s">
        <v>67</v>
      </c>
      <c r="L1355" t="s">
        <v>3644</v>
      </c>
      <c r="M1355" t="s">
        <v>3645</v>
      </c>
      <c r="N1355" t="s">
        <v>3646</v>
      </c>
      <c r="O1355" t="s">
        <v>3647</v>
      </c>
      <c r="P1355" t="s">
        <v>3648</v>
      </c>
      <c r="S1355" s="5"/>
      <c r="T1355" t="s">
        <v>72</v>
      </c>
      <c r="U1355" t="s">
        <v>73</v>
      </c>
      <c r="V1355" t="s">
        <v>74</v>
      </c>
      <c r="W1355" t="s">
        <v>87</v>
      </c>
      <c r="AE1355" s="2"/>
      <c r="AF1355" s="2"/>
      <c r="AG1355" s="2"/>
      <c r="AH1355" s="2"/>
      <c r="AK1355" t="s">
        <v>3649</v>
      </c>
      <c r="AL1355" s="2">
        <v>375000</v>
      </c>
      <c r="AM1355" s="2">
        <v>0</v>
      </c>
      <c r="AN1355" s="2"/>
      <c r="AO1355" s="2">
        <v>0</v>
      </c>
      <c r="AP1355" s="2">
        <v>375000</v>
      </c>
      <c r="AQ1355" s="2">
        <v>375000</v>
      </c>
      <c r="AR1355" s="2">
        <v>375000</v>
      </c>
      <c r="AS1355" s="2">
        <v>0</v>
      </c>
      <c r="AT1355" s="2">
        <v>0</v>
      </c>
      <c r="AU1355" s="2">
        <v>0</v>
      </c>
      <c r="AV1355" s="2">
        <v>0</v>
      </c>
      <c r="AW1355" s="4"/>
      <c r="AX1355" t="s">
        <v>75</v>
      </c>
      <c r="AZ1355" t="s">
        <v>495</v>
      </c>
      <c r="BA1355" t="s">
        <v>67</v>
      </c>
      <c r="BB1355" t="s">
        <v>496</v>
      </c>
      <c r="BC1355" t="s">
        <v>497</v>
      </c>
      <c r="BD1355" t="s">
        <v>79</v>
      </c>
      <c r="BE1355" t="s">
        <v>117</v>
      </c>
      <c r="BF1355" s="5">
        <v>46569</v>
      </c>
      <c r="BG1355" t="s">
        <v>67</v>
      </c>
      <c r="BH1355">
        <v>5</v>
      </c>
      <c r="BI1355" s="6">
        <v>250000</v>
      </c>
      <c r="BJ1355" s="6">
        <v>0</v>
      </c>
      <c r="BK1355" s="6">
        <v>175000</v>
      </c>
      <c r="BL1355" s="6">
        <v>75000</v>
      </c>
      <c r="BM1355" s="2">
        <v>375000</v>
      </c>
      <c r="BN1355">
        <f>InvoiceTable[[#This Row],[Giảm giá]]*InvoiceTable[[#This Row],[Số lượng]]</f>
        <v>875000</v>
      </c>
    </row>
    <row r="1356" spans="1:66" x14ac:dyDescent="0.25">
      <c r="A1356" t="s">
        <v>65</v>
      </c>
      <c r="B1356" t="s">
        <v>3650</v>
      </c>
      <c r="F1356" s="2"/>
      <c r="G1356" s="3">
        <v>46002.540249305559</v>
      </c>
      <c r="H1356" s="3">
        <v>46002.540237847221</v>
      </c>
      <c r="I1356" s="4" t="s">
        <v>3493</v>
      </c>
      <c r="J1356" t="s">
        <v>3651</v>
      </c>
      <c r="K1356" t="s">
        <v>67</v>
      </c>
      <c r="L1356" t="s">
        <v>630</v>
      </c>
      <c r="M1356" t="s">
        <v>631</v>
      </c>
      <c r="N1356" t="s">
        <v>632</v>
      </c>
      <c r="O1356" t="s">
        <v>633</v>
      </c>
      <c r="P1356" t="s">
        <v>634</v>
      </c>
      <c r="S1356" s="5"/>
      <c r="T1356" t="s">
        <v>72</v>
      </c>
      <c r="U1356" t="s">
        <v>87</v>
      </c>
      <c r="V1356" t="s">
        <v>74</v>
      </c>
      <c r="W1356" t="s">
        <v>87</v>
      </c>
      <c r="AE1356" s="2"/>
      <c r="AF1356" s="2"/>
      <c r="AG1356" s="2"/>
      <c r="AH1356" s="2"/>
      <c r="AK1356" t="s">
        <v>1390</v>
      </c>
      <c r="AL1356" s="2">
        <v>1100000</v>
      </c>
      <c r="AM1356" s="2">
        <v>0</v>
      </c>
      <c r="AN1356" s="2"/>
      <c r="AO1356" s="2">
        <v>0</v>
      </c>
      <c r="AP1356" s="2">
        <v>1100000</v>
      </c>
      <c r="AQ1356" s="2">
        <v>0</v>
      </c>
      <c r="AR1356" s="2">
        <v>0</v>
      </c>
      <c r="AS1356" s="2">
        <v>0</v>
      </c>
      <c r="AT1356" s="2">
        <v>0</v>
      </c>
      <c r="AU1356" s="2">
        <v>0</v>
      </c>
      <c r="AV1356" s="2">
        <v>0</v>
      </c>
      <c r="AW1356" s="4"/>
      <c r="AX1356" t="s">
        <v>75</v>
      </c>
      <c r="AZ1356" t="s">
        <v>604</v>
      </c>
      <c r="BA1356" t="s">
        <v>67</v>
      </c>
      <c r="BB1356" t="s">
        <v>605</v>
      </c>
      <c r="BC1356" t="s">
        <v>606</v>
      </c>
      <c r="BD1356" t="s">
        <v>79</v>
      </c>
      <c r="BE1356" t="s">
        <v>168</v>
      </c>
      <c r="BF1356" s="5">
        <v>46388</v>
      </c>
      <c r="BH1356">
        <v>2</v>
      </c>
      <c r="BI1356" s="6">
        <v>1100000</v>
      </c>
      <c r="BJ1356" s="6">
        <v>50</v>
      </c>
      <c r="BK1356" s="6">
        <v>550000</v>
      </c>
      <c r="BL1356" s="6">
        <v>550000</v>
      </c>
      <c r="BM1356" s="2">
        <v>1100000</v>
      </c>
      <c r="BN1356">
        <f>InvoiceTable[[#This Row],[Giảm giá]]*InvoiceTable[[#This Row],[Số lượng]]</f>
        <v>1100000</v>
      </c>
    </row>
    <row r="1357" spans="1:66" x14ac:dyDescent="0.25">
      <c r="A1357" t="s">
        <v>65</v>
      </c>
      <c r="B1357" t="s">
        <v>3652</v>
      </c>
      <c r="F1357" s="2"/>
      <c r="G1357" s="3">
        <v>46002.516735648147</v>
      </c>
      <c r="H1357" s="3">
        <v>46002.516724224537</v>
      </c>
      <c r="I1357" s="4" t="s">
        <v>3493</v>
      </c>
      <c r="J1357" t="s">
        <v>67</v>
      </c>
      <c r="K1357" t="s">
        <v>67</v>
      </c>
      <c r="L1357" t="s">
        <v>3653</v>
      </c>
      <c r="M1357" t="s">
        <v>3654</v>
      </c>
      <c r="N1357" t="s">
        <v>67</v>
      </c>
      <c r="O1357" t="s">
        <v>3655</v>
      </c>
      <c r="P1357" t="s">
        <v>3656</v>
      </c>
      <c r="S1357" s="5"/>
      <c r="T1357" t="s">
        <v>72</v>
      </c>
      <c r="U1357" t="s">
        <v>102</v>
      </c>
      <c r="V1357" t="s">
        <v>74</v>
      </c>
      <c r="W1357" t="s">
        <v>102</v>
      </c>
      <c r="AE1357" s="2"/>
      <c r="AF1357" s="2"/>
      <c r="AG1357" s="2"/>
      <c r="AH1357" s="2"/>
      <c r="AK1357" t="s">
        <v>67</v>
      </c>
      <c r="AL1357" s="2">
        <v>3150000</v>
      </c>
      <c r="AM1357" s="2">
        <v>0</v>
      </c>
      <c r="AN1357" s="2"/>
      <c r="AO1357" s="2">
        <v>0</v>
      </c>
      <c r="AP1357" s="2">
        <v>3150000</v>
      </c>
      <c r="AQ1357" s="2">
        <v>0</v>
      </c>
      <c r="AR1357" s="2">
        <v>0</v>
      </c>
      <c r="AS1357" s="2">
        <v>0</v>
      </c>
      <c r="AT1357" s="2">
        <v>0</v>
      </c>
      <c r="AU1357" s="2">
        <v>0</v>
      </c>
      <c r="AV1357" s="2">
        <v>0</v>
      </c>
      <c r="AW1357" s="4"/>
      <c r="AX1357" t="s">
        <v>75</v>
      </c>
      <c r="AZ1357" t="s">
        <v>124</v>
      </c>
      <c r="BA1357" t="s">
        <v>67</v>
      </c>
      <c r="BB1357" t="s">
        <v>125</v>
      </c>
      <c r="BC1357" t="s">
        <v>126</v>
      </c>
      <c r="BD1357" t="s">
        <v>79</v>
      </c>
      <c r="BE1357" t="s">
        <v>3255</v>
      </c>
      <c r="BF1357" s="5">
        <v>46722</v>
      </c>
      <c r="BG1357" t="s">
        <v>67</v>
      </c>
      <c r="BH1357">
        <v>5</v>
      </c>
      <c r="BI1357" s="6">
        <v>1200000</v>
      </c>
      <c r="BJ1357" s="6">
        <v>0</v>
      </c>
      <c r="BK1357" s="6">
        <v>570000</v>
      </c>
      <c r="BL1357" s="6">
        <v>630000</v>
      </c>
      <c r="BM1357" s="2">
        <v>3150000</v>
      </c>
      <c r="BN1357">
        <f>InvoiceTable[[#This Row],[Giảm giá]]*InvoiceTable[[#This Row],[Số lượng]]</f>
        <v>2850000</v>
      </c>
    </row>
    <row r="1358" spans="1:66" x14ac:dyDescent="0.25">
      <c r="A1358" t="s">
        <v>65</v>
      </c>
      <c r="B1358" t="s">
        <v>3657</v>
      </c>
      <c r="F1358" s="2"/>
      <c r="G1358" s="3">
        <v>46002.456514780089</v>
      </c>
      <c r="H1358" s="3">
        <v>46002.456492129633</v>
      </c>
      <c r="I1358" s="4" t="s">
        <v>3298</v>
      </c>
      <c r="J1358" t="s">
        <v>3658</v>
      </c>
      <c r="K1358" t="s">
        <v>67</v>
      </c>
      <c r="L1358" t="s">
        <v>398</v>
      </c>
      <c r="M1358" t="s">
        <v>399</v>
      </c>
      <c r="N1358" t="s">
        <v>400</v>
      </c>
      <c r="O1358" t="s">
        <v>401</v>
      </c>
      <c r="P1358" t="s">
        <v>402</v>
      </c>
      <c r="S1358" s="5"/>
      <c r="T1358" t="s">
        <v>72</v>
      </c>
      <c r="U1358" t="s">
        <v>102</v>
      </c>
      <c r="V1358" t="s">
        <v>74</v>
      </c>
      <c r="W1358" t="s">
        <v>87</v>
      </c>
      <c r="AE1358" s="2"/>
      <c r="AF1358" s="2"/>
      <c r="AG1358" s="2"/>
      <c r="AH1358" s="2"/>
      <c r="AK1358" t="s">
        <v>3659</v>
      </c>
      <c r="AL1358" s="2">
        <v>547200</v>
      </c>
      <c r="AM1358" s="2">
        <v>0</v>
      </c>
      <c r="AN1358" s="2"/>
      <c r="AO1358" s="2">
        <v>0</v>
      </c>
      <c r="AP1358" s="2">
        <v>547200</v>
      </c>
      <c r="AQ1358" s="2">
        <v>0</v>
      </c>
      <c r="AR1358" s="2">
        <v>0</v>
      </c>
      <c r="AS1358" s="2">
        <v>0</v>
      </c>
      <c r="AT1358" s="2">
        <v>0</v>
      </c>
      <c r="AU1358" s="2">
        <v>0</v>
      </c>
      <c r="AV1358" s="2">
        <v>0</v>
      </c>
      <c r="AW1358" s="4"/>
      <c r="AX1358" t="s">
        <v>75</v>
      </c>
      <c r="AZ1358" t="s">
        <v>286</v>
      </c>
      <c r="BA1358" t="s">
        <v>67</v>
      </c>
      <c r="BB1358" t="s">
        <v>287</v>
      </c>
      <c r="BC1358" t="s">
        <v>285</v>
      </c>
      <c r="BD1358" t="s">
        <v>79</v>
      </c>
      <c r="BE1358" t="s">
        <v>288</v>
      </c>
      <c r="BF1358" s="5">
        <v>46588</v>
      </c>
      <c r="BH1358">
        <v>1</v>
      </c>
      <c r="BI1358" s="6">
        <v>960000</v>
      </c>
      <c r="BJ1358" s="6">
        <v>43</v>
      </c>
      <c r="BK1358" s="6">
        <v>412800</v>
      </c>
      <c r="BL1358" s="6">
        <v>547200</v>
      </c>
      <c r="BM1358" s="2">
        <v>547200</v>
      </c>
      <c r="BN1358">
        <f>InvoiceTable[[#This Row],[Giảm giá]]*InvoiceTable[[#This Row],[Số lượng]]</f>
        <v>412800</v>
      </c>
    </row>
    <row r="1359" spans="1:66" x14ac:dyDescent="0.25">
      <c r="A1359" t="s">
        <v>65</v>
      </c>
      <c r="B1359" t="s">
        <v>3660</v>
      </c>
      <c r="F1359" s="2"/>
      <c r="G1359" s="3">
        <v>46002.456367164355</v>
      </c>
      <c r="H1359" s="3">
        <v>46002.456344131948</v>
      </c>
      <c r="I1359" s="4" t="s">
        <v>3298</v>
      </c>
      <c r="J1359" t="s">
        <v>3661</v>
      </c>
      <c r="K1359" t="s">
        <v>67</v>
      </c>
      <c r="L1359" t="s">
        <v>2013</v>
      </c>
      <c r="M1359" t="s">
        <v>2014</v>
      </c>
      <c r="N1359" t="s">
        <v>67</v>
      </c>
      <c r="O1359" t="s">
        <v>2015</v>
      </c>
      <c r="P1359" t="s">
        <v>2016</v>
      </c>
      <c r="Q1359" t="s">
        <v>67</v>
      </c>
      <c r="R1359" t="s">
        <v>67</v>
      </c>
      <c r="S1359" s="5"/>
      <c r="T1359" t="s">
        <v>72</v>
      </c>
      <c r="U1359" t="s">
        <v>102</v>
      </c>
      <c r="V1359" t="s">
        <v>74</v>
      </c>
      <c r="W1359" t="s">
        <v>87</v>
      </c>
      <c r="AE1359" s="2"/>
      <c r="AF1359" s="2"/>
      <c r="AG1359" s="2"/>
      <c r="AH1359" s="2"/>
      <c r="AK1359" t="s">
        <v>3662</v>
      </c>
      <c r="AL1359" s="2">
        <v>975000</v>
      </c>
      <c r="AM1359" s="2">
        <v>0</v>
      </c>
      <c r="AN1359" s="2"/>
      <c r="AO1359" s="2">
        <v>0</v>
      </c>
      <c r="AP1359" s="2">
        <v>975000</v>
      </c>
      <c r="AQ1359" s="2">
        <v>0</v>
      </c>
      <c r="AR1359" s="2">
        <v>0</v>
      </c>
      <c r="AS1359" s="2">
        <v>0</v>
      </c>
      <c r="AT1359" s="2">
        <v>0</v>
      </c>
      <c r="AU1359" s="2">
        <v>0</v>
      </c>
      <c r="AV1359" s="2">
        <v>0</v>
      </c>
      <c r="AW1359" s="4"/>
      <c r="AX1359" t="s">
        <v>75</v>
      </c>
      <c r="AZ1359" t="s">
        <v>1397</v>
      </c>
      <c r="BA1359" t="s">
        <v>67</v>
      </c>
      <c r="BB1359" t="s">
        <v>1398</v>
      </c>
      <c r="BC1359" t="s">
        <v>126</v>
      </c>
      <c r="BD1359" t="s">
        <v>79</v>
      </c>
      <c r="BE1359" t="s">
        <v>131</v>
      </c>
      <c r="BF1359" s="5">
        <v>46874</v>
      </c>
      <c r="BG1359" t="s">
        <v>67</v>
      </c>
      <c r="BH1359">
        <v>5</v>
      </c>
      <c r="BI1359" s="6">
        <v>350000</v>
      </c>
      <c r="BJ1359" s="6">
        <v>0</v>
      </c>
      <c r="BK1359" s="6">
        <v>220000</v>
      </c>
      <c r="BL1359" s="6">
        <v>130000</v>
      </c>
      <c r="BM1359" s="2">
        <v>650000</v>
      </c>
      <c r="BN1359">
        <f>InvoiceTable[[#This Row],[Giảm giá]]*InvoiceTable[[#This Row],[Số lượng]]</f>
        <v>1100000</v>
      </c>
    </row>
    <row r="1360" spans="1:66" x14ac:dyDescent="0.25">
      <c r="A1360" t="s">
        <v>65</v>
      </c>
      <c r="B1360" t="s">
        <v>3660</v>
      </c>
      <c r="F1360" s="2"/>
      <c r="G1360" s="3">
        <v>46002.456367164355</v>
      </c>
      <c r="H1360" s="3">
        <v>46002.456344131948</v>
      </c>
      <c r="I1360" s="4" t="s">
        <v>3298</v>
      </c>
      <c r="J1360" t="s">
        <v>3661</v>
      </c>
      <c r="K1360" t="s">
        <v>67</v>
      </c>
      <c r="L1360" t="s">
        <v>2013</v>
      </c>
      <c r="M1360" t="s">
        <v>2014</v>
      </c>
      <c r="N1360" t="s">
        <v>67</v>
      </c>
      <c r="O1360" t="s">
        <v>2015</v>
      </c>
      <c r="P1360" t="s">
        <v>2016</v>
      </c>
      <c r="Q1360" t="s">
        <v>67</v>
      </c>
      <c r="R1360" t="s">
        <v>67</v>
      </c>
      <c r="S1360" s="5"/>
      <c r="T1360" t="s">
        <v>72</v>
      </c>
      <c r="U1360" t="s">
        <v>102</v>
      </c>
      <c r="V1360" t="s">
        <v>74</v>
      </c>
      <c r="W1360" t="s">
        <v>87</v>
      </c>
      <c r="AE1360" s="2"/>
      <c r="AF1360" s="2"/>
      <c r="AG1360" s="2"/>
      <c r="AH1360" s="2"/>
      <c r="AK1360" t="s">
        <v>3662</v>
      </c>
      <c r="AL1360" s="2">
        <v>975000</v>
      </c>
      <c r="AM1360" s="2">
        <v>0</v>
      </c>
      <c r="AN1360" s="2"/>
      <c r="AO1360" s="2">
        <v>0</v>
      </c>
      <c r="AP1360" s="2">
        <v>975000</v>
      </c>
      <c r="AQ1360" s="2">
        <v>0</v>
      </c>
      <c r="AR1360" s="2">
        <v>0</v>
      </c>
      <c r="AS1360" s="2">
        <v>0</v>
      </c>
      <c r="AT1360" s="2">
        <v>0</v>
      </c>
      <c r="AU1360" s="2">
        <v>0</v>
      </c>
      <c r="AV1360" s="2">
        <v>0</v>
      </c>
      <c r="AW1360" s="4"/>
      <c r="AX1360" t="s">
        <v>75</v>
      </c>
      <c r="AZ1360" t="s">
        <v>1251</v>
      </c>
      <c r="BA1360" t="s">
        <v>67</v>
      </c>
      <c r="BB1360" t="s">
        <v>1252</v>
      </c>
      <c r="BC1360" t="s">
        <v>126</v>
      </c>
      <c r="BD1360" t="s">
        <v>79</v>
      </c>
      <c r="BE1360" t="s">
        <v>155</v>
      </c>
      <c r="BF1360" s="5">
        <v>46600</v>
      </c>
      <c r="BH1360">
        <v>5</v>
      </c>
      <c r="BI1360" s="6">
        <v>270000</v>
      </c>
      <c r="BJ1360" s="6">
        <v>0</v>
      </c>
      <c r="BK1360" s="6">
        <v>205000</v>
      </c>
      <c r="BL1360" s="6">
        <v>65000</v>
      </c>
      <c r="BM1360" s="2">
        <v>325000</v>
      </c>
      <c r="BN1360">
        <f>InvoiceTable[[#This Row],[Giảm giá]]*InvoiceTable[[#This Row],[Số lượng]]</f>
        <v>1025000</v>
      </c>
    </row>
    <row r="1361" spans="1:66" x14ac:dyDescent="0.25">
      <c r="A1361" t="s">
        <v>65</v>
      </c>
      <c r="B1361" t="s">
        <v>3663</v>
      </c>
      <c r="F1361" s="2"/>
      <c r="G1361" s="3">
        <v>46002.455906828705</v>
      </c>
      <c r="H1361" s="3">
        <v>46002.455860682872</v>
      </c>
      <c r="I1361" s="4" t="s">
        <v>3437</v>
      </c>
      <c r="J1361" t="s">
        <v>67</v>
      </c>
      <c r="K1361" t="s">
        <v>67</v>
      </c>
      <c r="L1361" t="s">
        <v>2376</v>
      </c>
      <c r="M1361" t="s">
        <v>2377</v>
      </c>
      <c r="N1361" t="s">
        <v>67</v>
      </c>
      <c r="O1361" t="s">
        <v>2378</v>
      </c>
      <c r="P1361" t="s">
        <v>2379</v>
      </c>
      <c r="Q1361" t="s">
        <v>67</v>
      </c>
      <c r="R1361" t="s">
        <v>67</v>
      </c>
      <c r="S1361" s="5"/>
      <c r="T1361" t="s">
        <v>72</v>
      </c>
      <c r="U1361" t="s">
        <v>87</v>
      </c>
      <c r="V1361" t="s">
        <v>74</v>
      </c>
      <c r="W1361" t="s">
        <v>87</v>
      </c>
      <c r="AE1361" s="2"/>
      <c r="AF1361" s="2"/>
      <c r="AG1361" s="2"/>
      <c r="AH1361" s="2"/>
      <c r="AL1361" s="2">
        <v>2150000</v>
      </c>
      <c r="AM1361" s="2">
        <v>0</v>
      </c>
      <c r="AN1361" s="2"/>
      <c r="AO1361" s="2">
        <v>0</v>
      </c>
      <c r="AP1361" s="2">
        <v>2150000</v>
      </c>
      <c r="AQ1361" s="2">
        <v>0</v>
      </c>
      <c r="AR1361" s="2">
        <v>0</v>
      </c>
      <c r="AS1361" s="2">
        <v>0</v>
      </c>
      <c r="AT1361" s="2">
        <v>0</v>
      </c>
      <c r="AU1361" s="2">
        <v>0</v>
      </c>
      <c r="AV1361" s="2">
        <v>0</v>
      </c>
      <c r="AW1361" s="4"/>
      <c r="AX1361" t="s">
        <v>75</v>
      </c>
      <c r="AZ1361" t="s">
        <v>1562</v>
      </c>
      <c r="BB1361" t="s">
        <v>1563</v>
      </c>
      <c r="BC1361" t="s">
        <v>590</v>
      </c>
      <c r="BD1361" t="s">
        <v>79</v>
      </c>
      <c r="BE1361" t="s">
        <v>1564</v>
      </c>
      <c r="BF1361" s="5">
        <v>46598</v>
      </c>
      <c r="BH1361">
        <v>1</v>
      </c>
      <c r="BI1361" s="6">
        <v>2590000</v>
      </c>
      <c r="BJ1361" s="6">
        <v>0</v>
      </c>
      <c r="BK1361" s="6">
        <v>440000</v>
      </c>
      <c r="BL1361" s="6">
        <v>2150000</v>
      </c>
      <c r="BM1361" s="2">
        <v>2150000</v>
      </c>
      <c r="BN1361">
        <f>InvoiceTable[[#This Row],[Giảm giá]]*InvoiceTable[[#This Row],[Số lượng]]</f>
        <v>440000</v>
      </c>
    </row>
    <row r="1362" spans="1:66" x14ac:dyDescent="0.25">
      <c r="A1362" t="s">
        <v>65</v>
      </c>
      <c r="B1362" t="s">
        <v>3664</v>
      </c>
      <c r="F1362" s="2"/>
      <c r="G1362" s="3">
        <v>46002.455650729164</v>
      </c>
      <c r="H1362" s="3">
        <v>46002.455639432868</v>
      </c>
      <c r="I1362" s="4" t="s">
        <v>3493</v>
      </c>
      <c r="J1362" t="s">
        <v>3665</v>
      </c>
      <c r="K1362" t="s">
        <v>67</v>
      </c>
      <c r="L1362" t="s">
        <v>539</v>
      </c>
      <c r="M1362" t="s">
        <v>540</v>
      </c>
      <c r="N1362" t="s">
        <v>67</v>
      </c>
      <c r="O1362" t="s">
        <v>541</v>
      </c>
      <c r="P1362" t="s">
        <v>542</v>
      </c>
      <c r="S1362" s="5"/>
      <c r="T1362" t="s">
        <v>72</v>
      </c>
      <c r="U1362" t="s">
        <v>102</v>
      </c>
      <c r="V1362" t="s">
        <v>74</v>
      </c>
      <c r="W1362" t="s">
        <v>87</v>
      </c>
      <c r="AE1362" s="2"/>
      <c r="AF1362" s="2"/>
      <c r="AG1362" s="2"/>
      <c r="AH1362" s="2"/>
      <c r="AK1362" t="s">
        <v>2970</v>
      </c>
      <c r="AL1362" s="2">
        <v>2800000</v>
      </c>
      <c r="AM1362" s="2">
        <v>0</v>
      </c>
      <c r="AN1362" s="2"/>
      <c r="AO1362" s="2">
        <v>0</v>
      </c>
      <c r="AP1362" s="2">
        <v>2800000</v>
      </c>
      <c r="AQ1362" s="2">
        <v>0</v>
      </c>
      <c r="AR1362" s="2">
        <v>0</v>
      </c>
      <c r="AS1362" s="2">
        <v>0</v>
      </c>
      <c r="AT1362" s="2">
        <v>0</v>
      </c>
      <c r="AU1362" s="2">
        <v>0</v>
      </c>
      <c r="AV1362" s="2">
        <v>0</v>
      </c>
      <c r="AW1362" s="4"/>
      <c r="AX1362" t="s">
        <v>75</v>
      </c>
      <c r="AZ1362" t="s">
        <v>543</v>
      </c>
      <c r="BA1362" t="s">
        <v>67</v>
      </c>
      <c r="BB1362" t="s">
        <v>544</v>
      </c>
      <c r="BC1362" t="s">
        <v>437</v>
      </c>
      <c r="BD1362" t="s">
        <v>79</v>
      </c>
      <c r="BE1362" t="s">
        <v>545</v>
      </c>
      <c r="BF1362" s="5">
        <v>47177</v>
      </c>
      <c r="BG1362" t="s">
        <v>67</v>
      </c>
      <c r="BH1362">
        <v>1</v>
      </c>
      <c r="BI1362" s="6">
        <v>4500000</v>
      </c>
      <c r="BJ1362" s="6">
        <v>0</v>
      </c>
      <c r="BK1362" s="6">
        <v>1700000</v>
      </c>
      <c r="BL1362" s="6">
        <v>2800000</v>
      </c>
      <c r="BM1362" s="2">
        <v>2800000</v>
      </c>
      <c r="BN1362">
        <f>InvoiceTable[[#This Row],[Giảm giá]]*InvoiceTable[[#This Row],[Số lượng]]</f>
        <v>1700000</v>
      </c>
    </row>
    <row r="1363" spans="1:66" x14ac:dyDescent="0.25">
      <c r="A1363" t="s">
        <v>65</v>
      </c>
      <c r="B1363" t="s">
        <v>3666</v>
      </c>
      <c r="F1363" s="2"/>
      <c r="G1363" s="3">
        <v>46002.455271956016</v>
      </c>
      <c r="H1363" s="3">
        <v>46002.455098460647</v>
      </c>
      <c r="I1363" s="4" t="s">
        <v>96</v>
      </c>
      <c r="J1363" t="s">
        <v>67</v>
      </c>
      <c r="K1363" t="s">
        <v>67</v>
      </c>
      <c r="L1363" t="s">
        <v>2346</v>
      </c>
      <c r="M1363" t="s">
        <v>2347</v>
      </c>
      <c r="N1363" t="s">
        <v>2348</v>
      </c>
      <c r="O1363" t="s">
        <v>2349</v>
      </c>
      <c r="P1363" t="s">
        <v>2350</v>
      </c>
      <c r="S1363" s="5"/>
      <c r="T1363" t="s">
        <v>72</v>
      </c>
      <c r="U1363" t="s">
        <v>87</v>
      </c>
      <c r="V1363" t="s">
        <v>74</v>
      </c>
      <c r="W1363" t="s">
        <v>87</v>
      </c>
      <c r="AE1363" s="2"/>
      <c r="AF1363" s="2"/>
      <c r="AG1363" s="2"/>
      <c r="AH1363" s="2"/>
      <c r="AL1363" s="2">
        <v>2328734</v>
      </c>
      <c r="AM1363" s="2">
        <v>0</v>
      </c>
      <c r="AN1363" s="2"/>
      <c r="AO1363" s="2">
        <v>0</v>
      </c>
      <c r="AP1363" s="2">
        <v>2328734</v>
      </c>
      <c r="AQ1363" s="2">
        <v>2328734</v>
      </c>
      <c r="AR1363" s="2">
        <v>0</v>
      </c>
      <c r="AS1363" s="2">
        <v>0</v>
      </c>
      <c r="AT1363" s="2">
        <v>0</v>
      </c>
      <c r="AU1363" s="2">
        <v>2328734</v>
      </c>
      <c r="AV1363" s="2">
        <v>0</v>
      </c>
      <c r="AW1363" s="4"/>
      <c r="AX1363" t="s">
        <v>75</v>
      </c>
      <c r="AZ1363" t="s">
        <v>3667</v>
      </c>
      <c r="BA1363" t="s">
        <v>67</v>
      </c>
      <c r="BB1363" t="s">
        <v>3668</v>
      </c>
      <c r="BC1363" t="s">
        <v>1851</v>
      </c>
      <c r="BD1363" t="s">
        <v>79</v>
      </c>
      <c r="BE1363" t="s">
        <v>145</v>
      </c>
      <c r="BF1363" s="5">
        <v>46508</v>
      </c>
      <c r="BH1363">
        <v>1</v>
      </c>
      <c r="BI1363" s="6">
        <v>1366200</v>
      </c>
      <c r="BJ1363" s="6">
        <v>43</v>
      </c>
      <c r="BK1363" s="6">
        <v>587466</v>
      </c>
      <c r="BL1363" s="6">
        <v>778734</v>
      </c>
      <c r="BM1363" s="2">
        <v>778734</v>
      </c>
      <c r="BN1363">
        <f>InvoiceTable[[#This Row],[Giảm giá]]*InvoiceTable[[#This Row],[Số lượng]]</f>
        <v>587466</v>
      </c>
    </row>
    <row r="1364" spans="1:66" x14ac:dyDescent="0.25">
      <c r="A1364" t="s">
        <v>65</v>
      </c>
      <c r="B1364" t="s">
        <v>3666</v>
      </c>
      <c r="F1364" s="2"/>
      <c r="G1364" s="3">
        <v>46002.455271956016</v>
      </c>
      <c r="H1364" s="3">
        <v>46002.455098460647</v>
      </c>
      <c r="I1364" s="4" t="s">
        <v>96</v>
      </c>
      <c r="J1364" t="s">
        <v>67</v>
      </c>
      <c r="K1364" t="s">
        <v>67</v>
      </c>
      <c r="L1364" t="s">
        <v>2346</v>
      </c>
      <c r="M1364" t="s">
        <v>2347</v>
      </c>
      <c r="N1364" t="s">
        <v>2348</v>
      </c>
      <c r="O1364" t="s">
        <v>2349</v>
      </c>
      <c r="P1364" t="s">
        <v>2350</v>
      </c>
      <c r="S1364" s="5"/>
      <c r="T1364" t="s">
        <v>72</v>
      </c>
      <c r="U1364" t="s">
        <v>87</v>
      </c>
      <c r="V1364" t="s">
        <v>74</v>
      </c>
      <c r="W1364" t="s">
        <v>87</v>
      </c>
      <c r="AE1364" s="2"/>
      <c r="AF1364" s="2"/>
      <c r="AG1364" s="2"/>
      <c r="AH1364" s="2"/>
      <c r="AL1364" s="2">
        <v>2328734</v>
      </c>
      <c r="AM1364" s="2">
        <v>0</v>
      </c>
      <c r="AN1364" s="2"/>
      <c r="AO1364" s="2">
        <v>0</v>
      </c>
      <c r="AP1364" s="2">
        <v>2328734</v>
      </c>
      <c r="AQ1364" s="2">
        <v>2328734</v>
      </c>
      <c r="AR1364" s="2">
        <v>0</v>
      </c>
      <c r="AS1364" s="2">
        <v>0</v>
      </c>
      <c r="AT1364" s="2">
        <v>0</v>
      </c>
      <c r="AU1364" s="2">
        <v>2328734</v>
      </c>
      <c r="AV1364" s="2">
        <v>0</v>
      </c>
      <c r="AW1364" s="4"/>
      <c r="AX1364" t="s">
        <v>75</v>
      </c>
      <c r="AZ1364" t="s">
        <v>1476</v>
      </c>
      <c r="BB1364" t="s">
        <v>1477</v>
      </c>
      <c r="BC1364" t="s">
        <v>126</v>
      </c>
      <c r="BD1364" t="s">
        <v>79</v>
      </c>
      <c r="BE1364" t="s">
        <v>139</v>
      </c>
      <c r="BF1364" s="5">
        <v>46447</v>
      </c>
      <c r="BG1364" t="s">
        <v>67</v>
      </c>
      <c r="BH1364">
        <v>1</v>
      </c>
      <c r="BI1364" s="6">
        <v>2500000</v>
      </c>
      <c r="BJ1364" s="6">
        <v>0</v>
      </c>
      <c r="BK1364" s="6">
        <v>950000</v>
      </c>
      <c r="BL1364" s="6">
        <v>1550000</v>
      </c>
      <c r="BM1364" s="2">
        <v>1550000</v>
      </c>
      <c r="BN1364">
        <f>InvoiceTable[[#This Row],[Giảm giá]]*InvoiceTable[[#This Row],[Số lượng]]</f>
        <v>950000</v>
      </c>
    </row>
    <row r="1365" spans="1:66" x14ac:dyDescent="0.25">
      <c r="A1365" t="s">
        <v>65</v>
      </c>
      <c r="B1365" t="s">
        <v>3669</v>
      </c>
      <c r="F1365" s="2"/>
      <c r="G1365" s="3">
        <v>46002.453422106482</v>
      </c>
      <c r="H1365" s="3">
        <v>46002.453422106482</v>
      </c>
      <c r="I1365" s="4" t="s">
        <v>67</v>
      </c>
      <c r="J1365" t="s">
        <v>67</v>
      </c>
      <c r="K1365" t="s">
        <v>67</v>
      </c>
      <c r="L1365" t="s">
        <v>3670</v>
      </c>
      <c r="M1365" t="s">
        <v>3671</v>
      </c>
      <c r="N1365" t="s">
        <v>67</v>
      </c>
      <c r="O1365" t="s">
        <v>3672</v>
      </c>
      <c r="P1365" t="s">
        <v>3673</v>
      </c>
      <c r="Q1365" t="s">
        <v>67</v>
      </c>
      <c r="R1365" t="s">
        <v>67</v>
      </c>
      <c r="S1365" s="5"/>
      <c r="T1365" t="s">
        <v>72</v>
      </c>
      <c r="U1365" t="s">
        <v>87</v>
      </c>
      <c r="V1365" t="s">
        <v>74</v>
      </c>
      <c r="W1365" t="s">
        <v>87</v>
      </c>
      <c r="AE1365" s="2"/>
      <c r="AF1365" s="2"/>
      <c r="AG1365" s="2"/>
      <c r="AH1365" s="2"/>
      <c r="AL1365" s="2">
        <v>5899883</v>
      </c>
      <c r="AM1365" s="2">
        <v>0</v>
      </c>
      <c r="AN1365" s="2"/>
      <c r="AO1365" s="2">
        <v>0</v>
      </c>
      <c r="AP1365" s="2">
        <v>5899883</v>
      </c>
      <c r="AQ1365" s="2">
        <v>0</v>
      </c>
      <c r="AR1365" s="2">
        <v>0</v>
      </c>
      <c r="AS1365" s="2">
        <v>0</v>
      </c>
      <c r="AT1365" s="2">
        <v>0</v>
      </c>
      <c r="AU1365" s="2">
        <v>0</v>
      </c>
      <c r="AV1365" s="2">
        <v>0</v>
      </c>
      <c r="AW1365" s="4"/>
      <c r="AX1365" t="s">
        <v>75</v>
      </c>
      <c r="AZ1365" t="s">
        <v>3674</v>
      </c>
      <c r="BA1365" t="s">
        <v>67</v>
      </c>
      <c r="BB1365" t="s">
        <v>3675</v>
      </c>
      <c r="BC1365" t="s">
        <v>822</v>
      </c>
      <c r="BD1365" t="s">
        <v>79</v>
      </c>
      <c r="BE1365" t="s">
        <v>506</v>
      </c>
      <c r="BF1365" s="5">
        <v>47604</v>
      </c>
      <c r="BG1365" t="s">
        <v>67</v>
      </c>
      <c r="BH1365">
        <v>1</v>
      </c>
      <c r="BI1365" s="6">
        <v>5927236</v>
      </c>
      <c r="BJ1365" s="6">
        <v>47</v>
      </c>
      <c r="BK1365" s="6">
        <v>2785800.92</v>
      </c>
      <c r="BL1365" s="6">
        <v>3141435.08</v>
      </c>
      <c r="BM1365" s="2">
        <v>3141435</v>
      </c>
      <c r="BN1365">
        <f>InvoiceTable[[#This Row],[Giảm giá]]*InvoiceTable[[#This Row],[Số lượng]]</f>
        <v>2785800.92</v>
      </c>
    </row>
    <row r="1366" spans="1:66" x14ac:dyDescent="0.25">
      <c r="A1366" t="s">
        <v>65</v>
      </c>
      <c r="B1366" t="s">
        <v>3669</v>
      </c>
      <c r="F1366" s="2"/>
      <c r="G1366" s="3">
        <v>46002.453422106482</v>
      </c>
      <c r="H1366" s="3">
        <v>46002.453422106482</v>
      </c>
      <c r="I1366" s="4" t="s">
        <v>67</v>
      </c>
      <c r="J1366" t="s">
        <v>67</v>
      </c>
      <c r="K1366" t="s">
        <v>67</v>
      </c>
      <c r="L1366" t="s">
        <v>3670</v>
      </c>
      <c r="M1366" t="s">
        <v>3671</v>
      </c>
      <c r="N1366" t="s">
        <v>67</v>
      </c>
      <c r="O1366" t="s">
        <v>3672</v>
      </c>
      <c r="P1366" t="s">
        <v>3673</v>
      </c>
      <c r="Q1366" t="s">
        <v>67</v>
      </c>
      <c r="R1366" t="s">
        <v>67</v>
      </c>
      <c r="S1366" s="5"/>
      <c r="T1366" t="s">
        <v>72</v>
      </c>
      <c r="U1366" t="s">
        <v>87</v>
      </c>
      <c r="V1366" t="s">
        <v>74</v>
      </c>
      <c r="W1366" t="s">
        <v>87</v>
      </c>
      <c r="AE1366" s="2"/>
      <c r="AF1366" s="2"/>
      <c r="AG1366" s="2"/>
      <c r="AH1366" s="2"/>
      <c r="AL1366" s="2">
        <v>5899883</v>
      </c>
      <c r="AM1366" s="2">
        <v>0</v>
      </c>
      <c r="AN1366" s="2"/>
      <c r="AO1366" s="2">
        <v>0</v>
      </c>
      <c r="AP1366" s="2">
        <v>5899883</v>
      </c>
      <c r="AQ1366" s="2">
        <v>0</v>
      </c>
      <c r="AR1366" s="2">
        <v>0</v>
      </c>
      <c r="AS1366" s="2">
        <v>0</v>
      </c>
      <c r="AT1366" s="2">
        <v>0</v>
      </c>
      <c r="AU1366" s="2">
        <v>0</v>
      </c>
      <c r="AV1366" s="2">
        <v>0</v>
      </c>
      <c r="AW1366" s="4"/>
      <c r="AX1366" t="s">
        <v>75</v>
      </c>
      <c r="AZ1366" t="s">
        <v>3676</v>
      </c>
      <c r="BA1366" t="s">
        <v>67</v>
      </c>
      <c r="BB1366" t="s">
        <v>3677</v>
      </c>
      <c r="BC1366" t="s">
        <v>822</v>
      </c>
      <c r="BD1366" t="s">
        <v>79</v>
      </c>
      <c r="BE1366" t="s">
        <v>339</v>
      </c>
      <c r="BF1366" s="5">
        <v>47270</v>
      </c>
      <c r="BG1366" t="s">
        <v>67</v>
      </c>
      <c r="BH1366">
        <v>1</v>
      </c>
      <c r="BI1366" s="6">
        <v>5204618</v>
      </c>
      <c r="BJ1366" s="6">
        <v>47</v>
      </c>
      <c r="BK1366" s="6">
        <v>2446170.46</v>
      </c>
      <c r="BL1366" s="6">
        <v>2758447.54</v>
      </c>
      <c r="BM1366" s="2">
        <v>2758448</v>
      </c>
      <c r="BN1366">
        <f>InvoiceTable[[#This Row],[Giảm giá]]*InvoiceTable[[#This Row],[Số lượng]]</f>
        <v>2446170.46</v>
      </c>
    </row>
    <row r="1367" spans="1:66" x14ac:dyDescent="0.25">
      <c r="A1367" t="s">
        <v>65</v>
      </c>
      <c r="B1367" t="s">
        <v>3678</v>
      </c>
      <c r="F1367" s="2"/>
      <c r="G1367" s="3">
        <v>46002.45103773148</v>
      </c>
      <c r="H1367" s="3">
        <v>46002.451037847219</v>
      </c>
      <c r="I1367" s="4" t="s">
        <v>67</v>
      </c>
      <c r="J1367" t="s">
        <v>67</v>
      </c>
      <c r="K1367" t="s">
        <v>67</v>
      </c>
      <c r="L1367" t="s">
        <v>1128</v>
      </c>
      <c r="M1367" t="s">
        <v>1129</v>
      </c>
      <c r="N1367" t="s">
        <v>67</v>
      </c>
      <c r="O1367" t="s">
        <v>1130</v>
      </c>
      <c r="P1367" t="s">
        <v>1131</v>
      </c>
      <c r="S1367" s="5"/>
      <c r="T1367" t="s">
        <v>72</v>
      </c>
      <c r="U1367" t="s">
        <v>87</v>
      </c>
      <c r="V1367" t="s">
        <v>74</v>
      </c>
      <c r="W1367" t="s">
        <v>87</v>
      </c>
      <c r="AE1367" s="2"/>
      <c r="AF1367" s="2"/>
      <c r="AG1367" s="2"/>
      <c r="AH1367" s="2"/>
      <c r="AL1367" s="2">
        <v>0</v>
      </c>
      <c r="AM1367" s="2">
        <v>0</v>
      </c>
      <c r="AN1367" s="2"/>
      <c r="AO1367" s="2">
        <v>0</v>
      </c>
      <c r="AP1367" s="2">
        <v>0</v>
      </c>
      <c r="AQ1367" s="2">
        <v>0</v>
      </c>
      <c r="AR1367" s="2">
        <v>0</v>
      </c>
      <c r="AS1367" s="2">
        <v>0</v>
      </c>
      <c r="AT1367" s="2">
        <v>0</v>
      </c>
      <c r="AU1367" s="2">
        <v>0</v>
      </c>
      <c r="AV1367" s="2">
        <v>0</v>
      </c>
      <c r="AW1367" s="4"/>
      <c r="AX1367" t="s">
        <v>75</v>
      </c>
      <c r="AZ1367" t="s">
        <v>3679</v>
      </c>
      <c r="BA1367" t="s">
        <v>67</v>
      </c>
      <c r="BB1367" t="s">
        <v>3680</v>
      </c>
      <c r="BC1367" t="s">
        <v>212</v>
      </c>
      <c r="BD1367" t="s">
        <v>79</v>
      </c>
      <c r="BE1367" t="s">
        <v>142</v>
      </c>
      <c r="BF1367" s="5">
        <v>46844</v>
      </c>
      <c r="BH1367">
        <v>2</v>
      </c>
      <c r="BI1367" s="6">
        <v>103750</v>
      </c>
      <c r="BJ1367" s="6">
        <v>100</v>
      </c>
      <c r="BK1367" s="6">
        <v>103750</v>
      </c>
      <c r="BL1367" s="6">
        <v>0</v>
      </c>
      <c r="BM1367" s="2">
        <v>0</v>
      </c>
      <c r="BN1367">
        <f>InvoiceTable[[#This Row],[Giảm giá]]*InvoiceTable[[#This Row],[Số lượng]]</f>
        <v>207500</v>
      </c>
    </row>
    <row r="1368" spans="1:66" x14ac:dyDescent="0.25">
      <c r="A1368" t="s">
        <v>65</v>
      </c>
      <c r="B1368" t="s">
        <v>3681</v>
      </c>
      <c r="F1368" s="2"/>
      <c r="G1368" s="3">
        <v>46002.4472340625</v>
      </c>
      <c r="H1368" s="3">
        <v>46002.447567905096</v>
      </c>
      <c r="I1368" s="4" t="s">
        <v>67</v>
      </c>
      <c r="J1368" t="s">
        <v>67</v>
      </c>
      <c r="K1368" t="s">
        <v>67</v>
      </c>
      <c r="L1368" t="s">
        <v>2361</v>
      </c>
      <c r="M1368" t="s">
        <v>2362</v>
      </c>
      <c r="N1368" t="s">
        <v>67</v>
      </c>
      <c r="O1368" t="s">
        <v>2363</v>
      </c>
      <c r="P1368" t="s">
        <v>2364</v>
      </c>
      <c r="Q1368" t="s">
        <v>67</v>
      </c>
      <c r="R1368" t="s">
        <v>67</v>
      </c>
      <c r="S1368" s="5"/>
      <c r="T1368" t="s">
        <v>72</v>
      </c>
      <c r="U1368" t="s">
        <v>87</v>
      </c>
      <c r="V1368" t="s">
        <v>74</v>
      </c>
      <c r="W1368" t="s">
        <v>87</v>
      </c>
      <c r="AE1368" s="2"/>
      <c r="AF1368" s="2"/>
      <c r="AG1368" s="2"/>
      <c r="AH1368" s="2"/>
      <c r="AL1368" s="2">
        <v>17852600</v>
      </c>
      <c r="AM1368" s="2">
        <v>0</v>
      </c>
      <c r="AN1368" s="2"/>
      <c r="AO1368" s="2">
        <v>0</v>
      </c>
      <c r="AP1368" s="2">
        <v>17852600</v>
      </c>
      <c r="AQ1368" s="2">
        <v>0</v>
      </c>
      <c r="AR1368" s="2">
        <v>0</v>
      </c>
      <c r="AS1368" s="2">
        <v>0</v>
      </c>
      <c r="AT1368" s="2">
        <v>0</v>
      </c>
      <c r="AU1368" s="2">
        <v>0</v>
      </c>
      <c r="AV1368" s="2">
        <v>0</v>
      </c>
      <c r="AW1368" s="4"/>
      <c r="AX1368" t="s">
        <v>75</v>
      </c>
      <c r="AZ1368" t="s">
        <v>3682</v>
      </c>
      <c r="BA1368" t="s">
        <v>67</v>
      </c>
      <c r="BB1368" t="s">
        <v>3683</v>
      </c>
      <c r="BC1368" t="s">
        <v>770</v>
      </c>
      <c r="BD1368" t="s">
        <v>79</v>
      </c>
      <c r="BE1368" t="s">
        <v>3684</v>
      </c>
      <c r="BF1368" s="5">
        <v>47514</v>
      </c>
      <c r="BG1368" t="s">
        <v>67</v>
      </c>
      <c r="BH1368">
        <v>1</v>
      </c>
      <c r="BI1368" s="6">
        <v>535000</v>
      </c>
      <c r="BJ1368" s="6">
        <v>0</v>
      </c>
      <c r="BK1368" s="6">
        <v>170000</v>
      </c>
      <c r="BL1368" s="6">
        <v>365000</v>
      </c>
      <c r="BM1368" s="2">
        <v>365000</v>
      </c>
      <c r="BN1368">
        <f>InvoiceTable[[#This Row],[Giảm giá]]*InvoiceTable[[#This Row],[Số lượng]]</f>
        <v>170000</v>
      </c>
    </row>
    <row r="1369" spans="1:66" x14ac:dyDescent="0.25">
      <c r="A1369" t="s">
        <v>65</v>
      </c>
      <c r="B1369" t="s">
        <v>3681</v>
      </c>
      <c r="F1369" s="2"/>
      <c r="G1369" s="3">
        <v>46002.4472340625</v>
      </c>
      <c r="H1369" s="3">
        <v>46002.447567905096</v>
      </c>
      <c r="I1369" s="4" t="s">
        <v>67</v>
      </c>
      <c r="J1369" t="s">
        <v>67</v>
      </c>
      <c r="K1369" t="s">
        <v>67</v>
      </c>
      <c r="L1369" t="s">
        <v>2361</v>
      </c>
      <c r="M1369" t="s">
        <v>2362</v>
      </c>
      <c r="N1369" t="s">
        <v>67</v>
      </c>
      <c r="O1369" t="s">
        <v>2363</v>
      </c>
      <c r="P1369" t="s">
        <v>2364</v>
      </c>
      <c r="Q1369" t="s">
        <v>67</v>
      </c>
      <c r="R1369" t="s">
        <v>67</v>
      </c>
      <c r="S1369" s="5"/>
      <c r="T1369" t="s">
        <v>72</v>
      </c>
      <c r="U1369" t="s">
        <v>87</v>
      </c>
      <c r="V1369" t="s">
        <v>74</v>
      </c>
      <c r="W1369" t="s">
        <v>87</v>
      </c>
      <c r="AE1369" s="2"/>
      <c r="AF1369" s="2"/>
      <c r="AG1369" s="2"/>
      <c r="AH1369" s="2"/>
      <c r="AL1369" s="2">
        <v>17852600</v>
      </c>
      <c r="AM1369" s="2">
        <v>0</v>
      </c>
      <c r="AN1369" s="2"/>
      <c r="AO1369" s="2">
        <v>0</v>
      </c>
      <c r="AP1369" s="2">
        <v>17852600</v>
      </c>
      <c r="AQ1369" s="2">
        <v>0</v>
      </c>
      <c r="AR1369" s="2">
        <v>0</v>
      </c>
      <c r="AS1369" s="2">
        <v>0</v>
      </c>
      <c r="AT1369" s="2">
        <v>0</v>
      </c>
      <c r="AU1369" s="2">
        <v>0</v>
      </c>
      <c r="AV1369" s="2">
        <v>0</v>
      </c>
      <c r="AW1369" s="4"/>
      <c r="AX1369" t="s">
        <v>75</v>
      </c>
      <c r="AZ1369" t="s">
        <v>771</v>
      </c>
      <c r="BA1369" t="s">
        <v>67</v>
      </c>
      <c r="BB1369" t="s">
        <v>772</v>
      </c>
      <c r="BC1369" t="s">
        <v>770</v>
      </c>
      <c r="BD1369" t="s">
        <v>79</v>
      </c>
      <c r="BE1369" t="s">
        <v>201</v>
      </c>
      <c r="BF1369" s="5">
        <v>46966</v>
      </c>
      <c r="BH1369">
        <v>50</v>
      </c>
      <c r="BI1369" s="6">
        <v>399000</v>
      </c>
      <c r="BJ1369" s="6">
        <v>48</v>
      </c>
      <c r="BK1369" s="6">
        <v>191520</v>
      </c>
      <c r="BL1369" s="6">
        <v>207480</v>
      </c>
      <c r="BM1369" s="2">
        <v>10374000</v>
      </c>
      <c r="BN1369">
        <f>InvoiceTable[[#This Row],[Giảm giá]]*InvoiceTable[[#This Row],[Số lượng]]</f>
        <v>9576000</v>
      </c>
    </row>
    <row r="1370" spans="1:66" x14ac:dyDescent="0.25">
      <c r="A1370" t="s">
        <v>65</v>
      </c>
      <c r="B1370" t="s">
        <v>3681</v>
      </c>
      <c r="F1370" s="2"/>
      <c r="G1370" s="3">
        <v>46002.4472340625</v>
      </c>
      <c r="H1370" s="3">
        <v>46002.447567905096</v>
      </c>
      <c r="I1370" s="4" t="s">
        <v>67</v>
      </c>
      <c r="J1370" t="s">
        <v>67</v>
      </c>
      <c r="K1370" t="s">
        <v>67</v>
      </c>
      <c r="L1370" t="s">
        <v>2361</v>
      </c>
      <c r="M1370" t="s">
        <v>2362</v>
      </c>
      <c r="N1370" t="s">
        <v>67</v>
      </c>
      <c r="O1370" t="s">
        <v>2363</v>
      </c>
      <c r="P1370" t="s">
        <v>2364</v>
      </c>
      <c r="Q1370" t="s">
        <v>67</v>
      </c>
      <c r="R1370" t="s">
        <v>67</v>
      </c>
      <c r="S1370" s="5"/>
      <c r="T1370" t="s">
        <v>72</v>
      </c>
      <c r="U1370" t="s">
        <v>87</v>
      </c>
      <c r="V1370" t="s">
        <v>74</v>
      </c>
      <c r="W1370" t="s">
        <v>87</v>
      </c>
      <c r="AE1370" s="2"/>
      <c r="AF1370" s="2"/>
      <c r="AG1370" s="2"/>
      <c r="AH1370" s="2"/>
      <c r="AL1370" s="2">
        <v>17852600</v>
      </c>
      <c r="AM1370" s="2">
        <v>0</v>
      </c>
      <c r="AN1370" s="2"/>
      <c r="AO1370" s="2">
        <v>0</v>
      </c>
      <c r="AP1370" s="2">
        <v>17852600</v>
      </c>
      <c r="AQ1370" s="2">
        <v>0</v>
      </c>
      <c r="AR1370" s="2">
        <v>0</v>
      </c>
      <c r="AS1370" s="2">
        <v>0</v>
      </c>
      <c r="AT1370" s="2">
        <v>0</v>
      </c>
      <c r="AU1370" s="2">
        <v>0</v>
      </c>
      <c r="AV1370" s="2">
        <v>0</v>
      </c>
      <c r="AW1370" s="4"/>
      <c r="AX1370" t="s">
        <v>75</v>
      </c>
      <c r="AZ1370" t="s">
        <v>1212</v>
      </c>
      <c r="BA1370" t="s">
        <v>67</v>
      </c>
      <c r="BB1370" t="s">
        <v>1213</v>
      </c>
      <c r="BC1370" t="s">
        <v>770</v>
      </c>
      <c r="BD1370" t="s">
        <v>79</v>
      </c>
      <c r="BE1370" t="s">
        <v>1214</v>
      </c>
      <c r="BF1370" s="5">
        <v>47696</v>
      </c>
      <c r="BH1370">
        <v>10</v>
      </c>
      <c r="BI1370" s="6">
        <v>320000</v>
      </c>
      <c r="BJ1370" s="6">
        <v>35</v>
      </c>
      <c r="BK1370" s="6">
        <v>112000</v>
      </c>
      <c r="BL1370" s="6">
        <v>208000</v>
      </c>
      <c r="BM1370" s="2">
        <v>2080000</v>
      </c>
      <c r="BN1370">
        <f>InvoiceTable[[#This Row],[Giảm giá]]*InvoiceTable[[#This Row],[Số lượng]]</f>
        <v>1120000</v>
      </c>
    </row>
    <row r="1371" spans="1:66" x14ac:dyDescent="0.25">
      <c r="A1371" t="s">
        <v>65</v>
      </c>
      <c r="B1371" t="s">
        <v>3681</v>
      </c>
      <c r="F1371" s="2"/>
      <c r="G1371" s="3">
        <v>46002.4472340625</v>
      </c>
      <c r="H1371" s="3">
        <v>46002.447567905096</v>
      </c>
      <c r="I1371" s="4" t="s">
        <v>67</v>
      </c>
      <c r="J1371" t="s">
        <v>67</v>
      </c>
      <c r="K1371" t="s">
        <v>67</v>
      </c>
      <c r="L1371" t="s">
        <v>2361</v>
      </c>
      <c r="M1371" t="s">
        <v>2362</v>
      </c>
      <c r="N1371" t="s">
        <v>67</v>
      </c>
      <c r="O1371" t="s">
        <v>2363</v>
      </c>
      <c r="P1371" t="s">
        <v>2364</v>
      </c>
      <c r="Q1371" t="s">
        <v>67</v>
      </c>
      <c r="R1371" t="s">
        <v>67</v>
      </c>
      <c r="S1371" s="5"/>
      <c r="T1371" t="s">
        <v>72</v>
      </c>
      <c r="U1371" t="s">
        <v>87</v>
      </c>
      <c r="V1371" t="s">
        <v>74</v>
      </c>
      <c r="W1371" t="s">
        <v>87</v>
      </c>
      <c r="AE1371" s="2"/>
      <c r="AF1371" s="2"/>
      <c r="AG1371" s="2"/>
      <c r="AH1371" s="2"/>
      <c r="AL1371" s="2">
        <v>17852600</v>
      </c>
      <c r="AM1371" s="2">
        <v>0</v>
      </c>
      <c r="AN1371" s="2"/>
      <c r="AO1371" s="2">
        <v>0</v>
      </c>
      <c r="AP1371" s="2">
        <v>17852600</v>
      </c>
      <c r="AQ1371" s="2">
        <v>0</v>
      </c>
      <c r="AR1371" s="2">
        <v>0</v>
      </c>
      <c r="AS1371" s="2">
        <v>0</v>
      </c>
      <c r="AT1371" s="2">
        <v>0</v>
      </c>
      <c r="AU1371" s="2">
        <v>0</v>
      </c>
      <c r="AV1371" s="2">
        <v>0</v>
      </c>
      <c r="AW1371" s="4"/>
      <c r="AX1371" t="s">
        <v>75</v>
      </c>
      <c r="AZ1371" t="s">
        <v>1215</v>
      </c>
      <c r="BA1371" t="s">
        <v>67</v>
      </c>
      <c r="BB1371" t="s">
        <v>1216</v>
      </c>
      <c r="BC1371" t="s">
        <v>770</v>
      </c>
      <c r="BD1371" t="s">
        <v>79</v>
      </c>
      <c r="BE1371" t="s">
        <v>201</v>
      </c>
      <c r="BF1371" s="5">
        <v>46966</v>
      </c>
      <c r="BH1371">
        <v>25</v>
      </c>
      <c r="BI1371" s="6">
        <v>250000</v>
      </c>
      <c r="BJ1371" s="6">
        <v>48</v>
      </c>
      <c r="BK1371" s="6">
        <v>120000</v>
      </c>
      <c r="BL1371" s="6">
        <v>130000</v>
      </c>
      <c r="BM1371" s="2">
        <v>3250000</v>
      </c>
      <c r="BN1371">
        <f>InvoiceTable[[#This Row],[Giảm giá]]*InvoiceTable[[#This Row],[Số lượng]]</f>
        <v>3000000</v>
      </c>
    </row>
    <row r="1372" spans="1:66" x14ac:dyDescent="0.25">
      <c r="A1372" t="s">
        <v>65</v>
      </c>
      <c r="B1372" t="s">
        <v>3681</v>
      </c>
      <c r="F1372" s="2"/>
      <c r="G1372" s="3">
        <v>46002.4472340625</v>
      </c>
      <c r="H1372" s="3">
        <v>46002.447567905096</v>
      </c>
      <c r="I1372" s="4" t="s">
        <v>67</v>
      </c>
      <c r="J1372" t="s">
        <v>67</v>
      </c>
      <c r="K1372" t="s">
        <v>67</v>
      </c>
      <c r="L1372" t="s">
        <v>2361</v>
      </c>
      <c r="M1372" t="s">
        <v>2362</v>
      </c>
      <c r="N1372" t="s">
        <v>67</v>
      </c>
      <c r="O1372" t="s">
        <v>2363</v>
      </c>
      <c r="P1372" t="s">
        <v>2364</v>
      </c>
      <c r="Q1372" t="s">
        <v>67</v>
      </c>
      <c r="R1372" t="s">
        <v>67</v>
      </c>
      <c r="S1372" s="5"/>
      <c r="T1372" t="s">
        <v>72</v>
      </c>
      <c r="U1372" t="s">
        <v>87</v>
      </c>
      <c r="V1372" t="s">
        <v>74</v>
      </c>
      <c r="W1372" t="s">
        <v>87</v>
      </c>
      <c r="AE1372" s="2"/>
      <c r="AF1372" s="2"/>
      <c r="AG1372" s="2"/>
      <c r="AH1372" s="2"/>
      <c r="AL1372" s="2">
        <v>17852600</v>
      </c>
      <c r="AM1372" s="2">
        <v>0</v>
      </c>
      <c r="AN1372" s="2"/>
      <c r="AO1372" s="2">
        <v>0</v>
      </c>
      <c r="AP1372" s="2">
        <v>17852600</v>
      </c>
      <c r="AQ1372" s="2">
        <v>0</v>
      </c>
      <c r="AR1372" s="2">
        <v>0</v>
      </c>
      <c r="AS1372" s="2">
        <v>0</v>
      </c>
      <c r="AT1372" s="2">
        <v>0</v>
      </c>
      <c r="AU1372" s="2">
        <v>0</v>
      </c>
      <c r="AV1372" s="2">
        <v>0</v>
      </c>
      <c r="AW1372" s="4"/>
      <c r="AX1372" t="s">
        <v>75</v>
      </c>
      <c r="AZ1372" t="s">
        <v>1266</v>
      </c>
      <c r="BA1372" t="s">
        <v>67</v>
      </c>
      <c r="BB1372" t="s">
        <v>1267</v>
      </c>
      <c r="BC1372" t="s">
        <v>770</v>
      </c>
      <c r="BD1372" t="s">
        <v>79</v>
      </c>
      <c r="BE1372" t="s">
        <v>177</v>
      </c>
      <c r="BF1372" s="5">
        <v>47027</v>
      </c>
      <c r="BH1372">
        <v>5</v>
      </c>
      <c r="BI1372" s="6">
        <v>686000</v>
      </c>
      <c r="BJ1372" s="6">
        <v>48</v>
      </c>
      <c r="BK1372" s="6">
        <v>329280</v>
      </c>
      <c r="BL1372" s="6">
        <v>356720</v>
      </c>
      <c r="BM1372" s="2">
        <v>1783600</v>
      </c>
      <c r="BN1372">
        <f>InvoiceTable[[#This Row],[Giảm giá]]*InvoiceTable[[#This Row],[Số lượng]]</f>
        <v>1646400</v>
      </c>
    </row>
    <row r="1373" spans="1:66" x14ac:dyDescent="0.25">
      <c r="A1373" t="s">
        <v>65</v>
      </c>
      <c r="B1373" t="s">
        <v>3685</v>
      </c>
      <c r="F1373" s="2"/>
      <c r="G1373" s="3">
        <v>46002.444934756946</v>
      </c>
      <c r="H1373" s="3">
        <v>46002.444934953703</v>
      </c>
      <c r="I1373" s="4" t="s">
        <v>67</v>
      </c>
      <c r="J1373" t="s">
        <v>67</v>
      </c>
      <c r="K1373" t="s">
        <v>67</v>
      </c>
      <c r="L1373" t="s">
        <v>2346</v>
      </c>
      <c r="M1373" t="s">
        <v>2347</v>
      </c>
      <c r="N1373" t="s">
        <v>2348</v>
      </c>
      <c r="O1373" t="s">
        <v>2349</v>
      </c>
      <c r="P1373" t="s">
        <v>2350</v>
      </c>
      <c r="S1373" s="5"/>
      <c r="T1373" t="s">
        <v>72</v>
      </c>
      <c r="U1373" t="s">
        <v>87</v>
      </c>
      <c r="V1373" t="s">
        <v>74</v>
      </c>
      <c r="W1373" t="s">
        <v>87</v>
      </c>
      <c r="AE1373" s="2"/>
      <c r="AF1373" s="2"/>
      <c r="AG1373" s="2"/>
      <c r="AH1373" s="2"/>
      <c r="AL1373" s="2">
        <v>2679920</v>
      </c>
      <c r="AM1373" s="2">
        <v>0</v>
      </c>
      <c r="AN1373" s="2"/>
      <c r="AO1373" s="2">
        <v>0</v>
      </c>
      <c r="AP1373" s="2">
        <v>2679920</v>
      </c>
      <c r="AQ1373" s="2">
        <v>2679920</v>
      </c>
      <c r="AR1373" s="2">
        <v>0</v>
      </c>
      <c r="AS1373" s="2">
        <v>0</v>
      </c>
      <c r="AT1373" s="2">
        <v>0</v>
      </c>
      <c r="AU1373" s="2">
        <v>2679920</v>
      </c>
      <c r="AV1373" s="2">
        <v>0</v>
      </c>
      <c r="AW1373" s="4"/>
      <c r="AX1373" t="s">
        <v>75</v>
      </c>
      <c r="AZ1373" t="s">
        <v>88</v>
      </c>
      <c r="BB1373" t="s">
        <v>89</v>
      </c>
      <c r="BC1373" t="s">
        <v>90</v>
      </c>
      <c r="BF1373" s="5"/>
      <c r="BG1373" t="s">
        <v>67</v>
      </c>
      <c r="BH1373">
        <v>1</v>
      </c>
      <c r="BI1373" s="6">
        <v>35000</v>
      </c>
      <c r="BJ1373" s="6">
        <v>0</v>
      </c>
      <c r="BK1373" s="6">
        <v>0</v>
      </c>
      <c r="BL1373" s="6">
        <v>35000</v>
      </c>
      <c r="BM1373" s="2">
        <v>35000</v>
      </c>
      <c r="BN1373">
        <f>InvoiceTable[[#This Row],[Giảm giá]]*InvoiceTable[[#This Row],[Số lượng]]</f>
        <v>0</v>
      </c>
    </row>
    <row r="1374" spans="1:66" x14ac:dyDescent="0.25">
      <c r="A1374" t="s">
        <v>65</v>
      </c>
      <c r="B1374" t="s">
        <v>3685</v>
      </c>
      <c r="F1374" s="2"/>
      <c r="G1374" s="3">
        <v>46002.444934756946</v>
      </c>
      <c r="H1374" s="3">
        <v>46002.444934953703</v>
      </c>
      <c r="I1374" s="4" t="s">
        <v>67</v>
      </c>
      <c r="J1374" t="s">
        <v>67</v>
      </c>
      <c r="K1374" t="s">
        <v>67</v>
      </c>
      <c r="L1374" t="s">
        <v>2346</v>
      </c>
      <c r="M1374" t="s">
        <v>2347</v>
      </c>
      <c r="N1374" t="s">
        <v>2348</v>
      </c>
      <c r="O1374" t="s">
        <v>2349</v>
      </c>
      <c r="P1374" t="s">
        <v>2350</v>
      </c>
      <c r="S1374" s="5"/>
      <c r="T1374" t="s">
        <v>72</v>
      </c>
      <c r="U1374" t="s">
        <v>87</v>
      </c>
      <c r="V1374" t="s">
        <v>74</v>
      </c>
      <c r="W1374" t="s">
        <v>87</v>
      </c>
      <c r="AE1374" s="2"/>
      <c r="AF1374" s="2"/>
      <c r="AG1374" s="2"/>
      <c r="AH1374" s="2"/>
      <c r="AL1374" s="2">
        <v>2679920</v>
      </c>
      <c r="AM1374" s="2">
        <v>0</v>
      </c>
      <c r="AN1374" s="2"/>
      <c r="AO1374" s="2">
        <v>0</v>
      </c>
      <c r="AP1374" s="2">
        <v>2679920</v>
      </c>
      <c r="AQ1374" s="2">
        <v>2679920</v>
      </c>
      <c r="AR1374" s="2">
        <v>0</v>
      </c>
      <c r="AS1374" s="2">
        <v>0</v>
      </c>
      <c r="AT1374" s="2">
        <v>0</v>
      </c>
      <c r="AU1374" s="2">
        <v>2679920</v>
      </c>
      <c r="AV1374" s="2">
        <v>0</v>
      </c>
      <c r="AW1374" s="4"/>
      <c r="AX1374" t="s">
        <v>75</v>
      </c>
      <c r="AZ1374" t="s">
        <v>3686</v>
      </c>
      <c r="BA1374" t="s">
        <v>67</v>
      </c>
      <c r="BB1374" t="s">
        <v>3687</v>
      </c>
      <c r="BC1374" t="s">
        <v>986</v>
      </c>
      <c r="BD1374" t="s">
        <v>79</v>
      </c>
      <c r="BE1374" t="s">
        <v>188</v>
      </c>
      <c r="BF1374" s="5">
        <v>46905</v>
      </c>
      <c r="BH1374">
        <v>1</v>
      </c>
      <c r="BI1374" s="6">
        <v>1782000</v>
      </c>
      <c r="BJ1374" s="6">
        <v>38</v>
      </c>
      <c r="BK1374" s="6">
        <v>677160</v>
      </c>
      <c r="BL1374" s="6">
        <v>1104840</v>
      </c>
      <c r="BM1374" s="2">
        <v>1104840</v>
      </c>
      <c r="BN1374">
        <f>InvoiceTable[[#This Row],[Giảm giá]]*InvoiceTable[[#This Row],[Số lượng]]</f>
        <v>677160</v>
      </c>
    </row>
    <row r="1375" spans="1:66" x14ac:dyDescent="0.25">
      <c r="A1375" t="s">
        <v>65</v>
      </c>
      <c r="B1375" t="s">
        <v>3685</v>
      </c>
      <c r="F1375" s="2"/>
      <c r="G1375" s="3">
        <v>46002.444934756946</v>
      </c>
      <c r="H1375" s="3">
        <v>46002.444934953703</v>
      </c>
      <c r="I1375" s="4" t="s">
        <v>67</v>
      </c>
      <c r="J1375" t="s">
        <v>67</v>
      </c>
      <c r="K1375" t="s">
        <v>67</v>
      </c>
      <c r="L1375" t="s">
        <v>2346</v>
      </c>
      <c r="M1375" t="s">
        <v>2347</v>
      </c>
      <c r="N1375" t="s">
        <v>2348</v>
      </c>
      <c r="O1375" t="s">
        <v>2349</v>
      </c>
      <c r="P1375" t="s">
        <v>2350</v>
      </c>
      <c r="S1375" s="5"/>
      <c r="T1375" t="s">
        <v>72</v>
      </c>
      <c r="U1375" t="s">
        <v>87</v>
      </c>
      <c r="V1375" t="s">
        <v>74</v>
      </c>
      <c r="W1375" t="s">
        <v>87</v>
      </c>
      <c r="AE1375" s="2"/>
      <c r="AF1375" s="2"/>
      <c r="AG1375" s="2"/>
      <c r="AH1375" s="2"/>
      <c r="AL1375" s="2">
        <v>2679920</v>
      </c>
      <c r="AM1375" s="2">
        <v>0</v>
      </c>
      <c r="AN1375" s="2"/>
      <c r="AO1375" s="2">
        <v>0</v>
      </c>
      <c r="AP1375" s="2">
        <v>2679920</v>
      </c>
      <c r="AQ1375" s="2">
        <v>2679920</v>
      </c>
      <c r="AR1375" s="2">
        <v>0</v>
      </c>
      <c r="AS1375" s="2">
        <v>0</v>
      </c>
      <c r="AT1375" s="2">
        <v>0</v>
      </c>
      <c r="AU1375" s="2">
        <v>2679920</v>
      </c>
      <c r="AV1375" s="2">
        <v>0</v>
      </c>
      <c r="AW1375" s="4"/>
      <c r="AX1375" t="s">
        <v>75</v>
      </c>
      <c r="AZ1375" t="s">
        <v>984</v>
      </c>
      <c r="BB1375" t="s">
        <v>985</v>
      </c>
      <c r="BC1375" t="s">
        <v>986</v>
      </c>
      <c r="BD1375" t="s">
        <v>79</v>
      </c>
      <c r="BE1375" t="s">
        <v>188</v>
      </c>
      <c r="BF1375" s="5">
        <v>46905</v>
      </c>
      <c r="BH1375">
        <v>1</v>
      </c>
      <c r="BI1375" s="6">
        <v>2484000</v>
      </c>
      <c r="BJ1375" s="6">
        <v>38</v>
      </c>
      <c r="BK1375" s="6">
        <v>943920</v>
      </c>
      <c r="BL1375" s="6">
        <v>1540080</v>
      </c>
      <c r="BM1375" s="2">
        <v>1540080</v>
      </c>
      <c r="BN1375">
        <f>InvoiceTable[[#This Row],[Giảm giá]]*InvoiceTable[[#This Row],[Số lượng]]</f>
        <v>943920</v>
      </c>
    </row>
    <row r="1376" spans="1:66" x14ac:dyDescent="0.25">
      <c r="A1376" t="s">
        <v>65</v>
      </c>
      <c r="B1376" t="s">
        <v>3688</v>
      </c>
      <c r="F1376" s="2"/>
      <c r="G1376" s="3">
        <v>46002.444040821756</v>
      </c>
      <c r="H1376" s="3">
        <v>46002.444040891205</v>
      </c>
      <c r="I1376" s="4" t="s">
        <v>67</v>
      </c>
      <c r="J1376" t="s">
        <v>67</v>
      </c>
      <c r="K1376" t="s">
        <v>67</v>
      </c>
      <c r="L1376" t="s">
        <v>1647</v>
      </c>
      <c r="M1376" t="s">
        <v>1648</v>
      </c>
      <c r="N1376" t="s">
        <v>1649</v>
      </c>
      <c r="O1376" t="s">
        <v>1650</v>
      </c>
      <c r="P1376" t="s">
        <v>1651</v>
      </c>
      <c r="S1376" s="5"/>
      <c r="T1376" t="s">
        <v>72</v>
      </c>
      <c r="U1376" t="s">
        <v>87</v>
      </c>
      <c r="V1376" t="s">
        <v>74</v>
      </c>
      <c r="W1376" t="s">
        <v>87</v>
      </c>
      <c r="AE1376" s="2"/>
      <c r="AF1376" s="2"/>
      <c r="AG1376" s="2"/>
      <c r="AH1376" s="2"/>
      <c r="AL1376" s="2">
        <v>280000</v>
      </c>
      <c r="AM1376" s="2">
        <v>0</v>
      </c>
      <c r="AN1376" s="2"/>
      <c r="AO1376" s="2">
        <v>0</v>
      </c>
      <c r="AP1376" s="2">
        <v>280000</v>
      </c>
      <c r="AQ1376" s="2">
        <v>280000</v>
      </c>
      <c r="AR1376" s="2">
        <v>0</v>
      </c>
      <c r="AS1376" s="2">
        <v>0</v>
      </c>
      <c r="AT1376" s="2">
        <v>0</v>
      </c>
      <c r="AU1376" s="2">
        <v>280000</v>
      </c>
      <c r="AV1376" s="2">
        <v>0</v>
      </c>
      <c r="AW1376" s="4"/>
      <c r="AX1376" t="s">
        <v>75</v>
      </c>
      <c r="AZ1376" t="s">
        <v>1215</v>
      </c>
      <c r="BA1376" t="s">
        <v>67</v>
      </c>
      <c r="BB1376" t="s">
        <v>1216</v>
      </c>
      <c r="BC1376" t="s">
        <v>770</v>
      </c>
      <c r="BD1376" t="s">
        <v>79</v>
      </c>
      <c r="BE1376" t="s">
        <v>201</v>
      </c>
      <c r="BF1376" s="5">
        <v>46966</v>
      </c>
      <c r="BH1376">
        <v>2</v>
      </c>
      <c r="BI1376" s="6">
        <v>250000</v>
      </c>
      <c r="BJ1376" s="6">
        <v>44</v>
      </c>
      <c r="BK1376" s="6">
        <v>110000</v>
      </c>
      <c r="BL1376" s="6">
        <v>140000</v>
      </c>
      <c r="BM1376" s="2">
        <v>280000</v>
      </c>
      <c r="BN1376">
        <f>InvoiceTable[[#This Row],[Giảm giá]]*InvoiceTable[[#This Row],[Số lượng]]</f>
        <v>220000</v>
      </c>
    </row>
    <row r="1377" spans="1:66" x14ac:dyDescent="0.25">
      <c r="A1377" t="s">
        <v>65</v>
      </c>
      <c r="B1377" t="s">
        <v>3689</v>
      </c>
      <c r="F1377" s="2"/>
      <c r="G1377" s="3">
        <v>46002.441791898149</v>
      </c>
      <c r="H1377" s="3">
        <v>46002.441792013888</v>
      </c>
      <c r="I1377" s="4" t="s">
        <v>67</v>
      </c>
      <c r="J1377" t="s">
        <v>3690</v>
      </c>
      <c r="K1377" t="s">
        <v>67</v>
      </c>
      <c r="L1377" t="s">
        <v>3242</v>
      </c>
      <c r="M1377" t="s">
        <v>3243</v>
      </c>
      <c r="N1377" t="s">
        <v>67</v>
      </c>
      <c r="O1377" t="s">
        <v>3244</v>
      </c>
      <c r="Q1377" t="s">
        <v>67</v>
      </c>
      <c r="R1377" t="s">
        <v>67</v>
      </c>
      <c r="S1377" s="5"/>
      <c r="T1377" t="s">
        <v>72</v>
      </c>
      <c r="U1377" t="s">
        <v>102</v>
      </c>
      <c r="V1377" t="s">
        <v>74</v>
      </c>
      <c r="W1377" t="s">
        <v>87</v>
      </c>
      <c r="AE1377" s="2"/>
      <c r="AF1377" s="2"/>
      <c r="AG1377" s="2"/>
      <c r="AH1377" s="2"/>
      <c r="AK1377" t="s">
        <v>3691</v>
      </c>
      <c r="AL1377" s="2">
        <v>7074000</v>
      </c>
      <c r="AM1377" s="2">
        <v>0</v>
      </c>
      <c r="AN1377" s="2"/>
      <c r="AO1377" s="2">
        <v>0</v>
      </c>
      <c r="AP1377" s="2">
        <v>7074000</v>
      </c>
      <c r="AQ1377" s="2">
        <v>0</v>
      </c>
      <c r="AR1377" s="2">
        <v>0</v>
      </c>
      <c r="AS1377" s="2">
        <v>0</v>
      </c>
      <c r="AT1377" s="2">
        <v>0</v>
      </c>
      <c r="AU1377" s="2">
        <v>0</v>
      </c>
      <c r="AV1377" s="2">
        <v>0</v>
      </c>
      <c r="AW1377" s="4"/>
      <c r="AX1377" t="s">
        <v>75</v>
      </c>
      <c r="AZ1377" t="s">
        <v>3692</v>
      </c>
      <c r="BA1377" t="s">
        <v>67</v>
      </c>
      <c r="BB1377" t="s">
        <v>3693</v>
      </c>
      <c r="BC1377" t="s">
        <v>223</v>
      </c>
      <c r="BD1377" t="s">
        <v>79</v>
      </c>
      <c r="BE1377" t="s">
        <v>3694</v>
      </c>
      <c r="BF1377" s="5">
        <v>46654</v>
      </c>
      <c r="BG1377" t="s">
        <v>67</v>
      </c>
      <c r="BH1377">
        <v>1</v>
      </c>
      <c r="BI1377" s="6">
        <v>3200000</v>
      </c>
      <c r="BJ1377" s="6">
        <v>50</v>
      </c>
      <c r="BK1377" s="6">
        <v>1600000</v>
      </c>
      <c r="BL1377" s="6">
        <v>1600000</v>
      </c>
      <c r="BM1377" s="2">
        <v>1600000</v>
      </c>
      <c r="BN1377">
        <f>InvoiceTable[[#This Row],[Giảm giá]]*InvoiceTable[[#This Row],[Số lượng]]</f>
        <v>1600000</v>
      </c>
    </row>
    <row r="1378" spans="1:66" x14ac:dyDescent="0.25">
      <c r="A1378" t="s">
        <v>65</v>
      </c>
      <c r="B1378" t="s">
        <v>3689</v>
      </c>
      <c r="F1378" s="2"/>
      <c r="G1378" s="3">
        <v>46002.441791898149</v>
      </c>
      <c r="H1378" s="3">
        <v>46002.441792013888</v>
      </c>
      <c r="I1378" s="4" t="s">
        <v>67</v>
      </c>
      <c r="J1378" t="s">
        <v>3690</v>
      </c>
      <c r="K1378" t="s">
        <v>67</v>
      </c>
      <c r="L1378" t="s">
        <v>3242</v>
      </c>
      <c r="M1378" t="s">
        <v>3243</v>
      </c>
      <c r="N1378" t="s">
        <v>67</v>
      </c>
      <c r="O1378" t="s">
        <v>3244</v>
      </c>
      <c r="Q1378" t="s">
        <v>67</v>
      </c>
      <c r="R1378" t="s">
        <v>67</v>
      </c>
      <c r="S1378" s="5"/>
      <c r="T1378" t="s">
        <v>72</v>
      </c>
      <c r="U1378" t="s">
        <v>102</v>
      </c>
      <c r="V1378" t="s">
        <v>74</v>
      </c>
      <c r="W1378" t="s">
        <v>87</v>
      </c>
      <c r="AE1378" s="2"/>
      <c r="AF1378" s="2"/>
      <c r="AG1378" s="2"/>
      <c r="AH1378" s="2"/>
      <c r="AK1378" t="s">
        <v>3691</v>
      </c>
      <c r="AL1378" s="2">
        <v>7074000</v>
      </c>
      <c r="AM1378" s="2">
        <v>0</v>
      </c>
      <c r="AN1378" s="2"/>
      <c r="AO1378" s="2">
        <v>0</v>
      </c>
      <c r="AP1378" s="2">
        <v>7074000</v>
      </c>
      <c r="AQ1378" s="2">
        <v>0</v>
      </c>
      <c r="AR1378" s="2">
        <v>0</v>
      </c>
      <c r="AS1378" s="2">
        <v>0</v>
      </c>
      <c r="AT1378" s="2">
        <v>0</v>
      </c>
      <c r="AU1378" s="2">
        <v>0</v>
      </c>
      <c r="AV1378" s="2">
        <v>0</v>
      </c>
      <c r="AW1378" s="4"/>
      <c r="AX1378" t="s">
        <v>75</v>
      </c>
      <c r="AZ1378" t="s">
        <v>3695</v>
      </c>
      <c r="BB1378" t="s">
        <v>3696</v>
      </c>
      <c r="BC1378" t="s">
        <v>681</v>
      </c>
      <c r="BD1378" t="s">
        <v>79</v>
      </c>
      <c r="BE1378" t="s">
        <v>155</v>
      </c>
      <c r="BF1378" s="5">
        <v>46600</v>
      </c>
      <c r="BG1378" t="s">
        <v>67</v>
      </c>
      <c r="BH1378">
        <v>1</v>
      </c>
      <c r="BI1378" s="6">
        <v>4100000</v>
      </c>
      <c r="BJ1378" s="6">
        <v>32</v>
      </c>
      <c r="BK1378" s="6">
        <v>1312000</v>
      </c>
      <c r="BL1378" s="6">
        <v>2788000</v>
      </c>
      <c r="BM1378" s="2">
        <v>2788000</v>
      </c>
      <c r="BN1378">
        <f>InvoiceTable[[#This Row],[Giảm giá]]*InvoiceTable[[#This Row],[Số lượng]]</f>
        <v>1312000</v>
      </c>
    </row>
    <row r="1379" spans="1:66" x14ac:dyDescent="0.25">
      <c r="A1379" t="s">
        <v>65</v>
      </c>
      <c r="B1379" t="s">
        <v>3689</v>
      </c>
      <c r="F1379" s="2"/>
      <c r="G1379" s="3">
        <v>46002.441791898149</v>
      </c>
      <c r="H1379" s="3">
        <v>46002.441792013888</v>
      </c>
      <c r="I1379" s="4" t="s">
        <v>67</v>
      </c>
      <c r="J1379" t="s">
        <v>3690</v>
      </c>
      <c r="K1379" t="s">
        <v>67</v>
      </c>
      <c r="L1379" t="s">
        <v>3242</v>
      </c>
      <c r="M1379" t="s">
        <v>3243</v>
      </c>
      <c r="N1379" t="s">
        <v>67</v>
      </c>
      <c r="O1379" t="s">
        <v>3244</v>
      </c>
      <c r="Q1379" t="s">
        <v>67</v>
      </c>
      <c r="R1379" t="s">
        <v>67</v>
      </c>
      <c r="S1379" s="5"/>
      <c r="T1379" t="s">
        <v>72</v>
      </c>
      <c r="U1379" t="s">
        <v>102</v>
      </c>
      <c r="V1379" t="s">
        <v>74</v>
      </c>
      <c r="W1379" t="s">
        <v>87</v>
      </c>
      <c r="AE1379" s="2"/>
      <c r="AF1379" s="2"/>
      <c r="AG1379" s="2"/>
      <c r="AH1379" s="2"/>
      <c r="AK1379" t="s">
        <v>3691</v>
      </c>
      <c r="AL1379" s="2">
        <v>7074000</v>
      </c>
      <c r="AM1379" s="2">
        <v>0</v>
      </c>
      <c r="AN1379" s="2"/>
      <c r="AO1379" s="2">
        <v>0</v>
      </c>
      <c r="AP1379" s="2">
        <v>7074000</v>
      </c>
      <c r="AQ1379" s="2">
        <v>0</v>
      </c>
      <c r="AR1379" s="2">
        <v>0</v>
      </c>
      <c r="AS1379" s="2">
        <v>0</v>
      </c>
      <c r="AT1379" s="2">
        <v>0</v>
      </c>
      <c r="AU1379" s="2">
        <v>0</v>
      </c>
      <c r="AV1379" s="2">
        <v>0</v>
      </c>
      <c r="AW1379" s="4"/>
      <c r="AX1379" t="s">
        <v>75</v>
      </c>
      <c r="AZ1379" t="s">
        <v>1658</v>
      </c>
      <c r="BA1379" t="s">
        <v>67</v>
      </c>
      <c r="BB1379" t="s">
        <v>1659</v>
      </c>
      <c r="BC1379" t="s">
        <v>681</v>
      </c>
      <c r="BD1379" t="s">
        <v>79</v>
      </c>
      <c r="BE1379" t="s">
        <v>168</v>
      </c>
      <c r="BF1379" s="5">
        <v>46388</v>
      </c>
      <c r="BG1379" t="s">
        <v>67</v>
      </c>
      <c r="BH1379">
        <v>1</v>
      </c>
      <c r="BI1379" s="6">
        <v>3950000</v>
      </c>
      <c r="BJ1379" s="6">
        <v>32</v>
      </c>
      <c r="BK1379" s="6">
        <v>1264000</v>
      </c>
      <c r="BL1379" s="6">
        <v>2686000</v>
      </c>
      <c r="BM1379" s="2">
        <v>2686000</v>
      </c>
      <c r="BN1379">
        <f>InvoiceTable[[#This Row],[Giảm giá]]*InvoiceTable[[#This Row],[Số lượng]]</f>
        <v>1264000</v>
      </c>
    </row>
    <row r="1380" spans="1:66" x14ac:dyDescent="0.25">
      <c r="A1380" t="s">
        <v>65</v>
      </c>
      <c r="B1380" t="s">
        <v>3697</v>
      </c>
      <c r="F1380" s="2"/>
      <c r="G1380" s="3">
        <v>46002.441426122685</v>
      </c>
      <c r="H1380" s="3">
        <v>46002.441426273152</v>
      </c>
      <c r="I1380" s="4" t="s">
        <v>67</v>
      </c>
      <c r="J1380" t="s">
        <v>3698</v>
      </c>
      <c r="K1380" t="s">
        <v>67</v>
      </c>
      <c r="L1380" t="s">
        <v>2013</v>
      </c>
      <c r="M1380" t="s">
        <v>2014</v>
      </c>
      <c r="N1380" t="s">
        <v>67</v>
      </c>
      <c r="O1380" t="s">
        <v>2015</v>
      </c>
      <c r="P1380" t="s">
        <v>2016</v>
      </c>
      <c r="Q1380" t="s">
        <v>67</v>
      </c>
      <c r="R1380" t="s">
        <v>67</v>
      </c>
      <c r="S1380" s="5"/>
      <c r="T1380" t="s">
        <v>72</v>
      </c>
      <c r="U1380" t="s">
        <v>102</v>
      </c>
      <c r="V1380" t="s">
        <v>74</v>
      </c>
      <c r="W1380" t="s">
        <v>87</v>
      </c>
      <c r="AE1380" s="2"/>
      <c r="AF1380" s="2"/>
      <c r="AG1380" s="2"/>
      <c r="AH1380" s="2"/>
      <c r="AL1380" s="2">
        <v>2691500</v>
      </c>
      <c r="AM1380" s="2">
        <v>0</v>
      </c>
      <c r="AN1380" s="2"/>
      <c r="AO1380" s="2">
        <v>0</v>
      </c>
      <c r="AP1380" s="2">
        <v>2691500</v>
      </c>
      <c r="AQ1380" s="2">
        <v>0</v>
      </c>
      <c r="AR1380" s="2">
        <v>0</v>
      </c>
      <c r="AS1380" s="2">
        <v>0</v>
      </c>
      <c r="AT1380" s="2">
        <v>0</v>
      </c>
      <c r="AU1380" s="2">
        <v>0</v>
      </c>
      <c r="AV1380" s="2">
        <v>0</v>
      </c>
      <c r="AW1380" s="4"/>
      <c r="AX1380" t="s">
        <v>75</v>
      </c>
      <c r="AZ1380" t="s">
        <v>3699</v>
      </c>
      <c r="BA1380" t="s">
        <v>67</v>
      </c>
      <c r="BB1380" t="s">
        <v>3700</v>
      </c>
      <c r="BC1380" t="s">
        <v>804</v>
      </c>
      <c r="BD1380" t="s">
        <v>79</v>
      </c>
      <c r="BE1380" t="s">
        <v>198</v>
      </c>
      <c r="BF1380" s="5">
        <v>46753</v>
      </c>
      <c r="BH1380">
        <v>5</v>
      </c>
      <c r="BI1380" s="6">
        <v>769000</v>
      </c>
      <c r="BJ1380" s="6">
        <v>30</v>
      </c>
      <c r="BK1380" s="6">
        <v>230700</v>
      </c>
      <c r="BL1380" s="6">
        <v>538300</v>
      </c>
      <c r="BM1380" s="2">
        <v>2691500</v>
      </c>
      <c r="BN1380">
        <f>InvoiceTable[[#This Row],[Giảm giá]]*InvoiceTable[[#This Row],[Số lượng]]</f>
        <v>1153500</v>
      </c>
    </row>
    <row r="1381" spans="1:66" x14ac:dyDescent="0.25">
      <c r="A1381" t="s">
        <v>65</v>
      </c>
      <c r="B1381" t="s">
        <v>3701</v>
      </c>
      <c r="F1381" s="2"/>
      <c r="G1381" s="3">
        <v>46002.441257604165</v>
      </c>
      <c r="H1381" s="3">
        <v>46002.441258368053</v>
      </c>
      <c r="I1381" s="4" t="s">
        <v>67</v>
      </c>
      <c r="J1381" t="s">
        <v>3702</v>
      </c>
      <c r="K1381" t="s">
        <v>67</v>
      </c>
      <c r="L1381" t="s">
        <v>3703</v>
      </c>
      <c r="M1381" t="s">
        <v>3704</v>
      </c>
      <c r="N1381" t="s">
        <v>67</v>
      </c>
      <c r="O1381" t="s">
        <v>3705</v>
      </c>
      <c r="P1381" t="s">
        <v>3706</v>
      </c>
      <c r="S1381" s="5"/>
      <c r="T1381" t="s">
        <v>72</v>
      </c>
      <c r="U1381" t="s">
        <v>102</v>
      </c>
      <c r="V1381" t="s">
        <v>74</v>
      </c>
      <c r="W1381" t="s">
        <v>87</v>
      </c>
      <c r="AE1381" s="2"/>
      <c r="AF1381" s="2"/>
      <c r="AG1381" s="2"/>
      <c r="AH1381" s="2"/>
      <c r="AK1381" t="s">
        <v>3707</v>
      </c>
      <c r="AL1381" s="2">
        <v>340200</v>
      </c>
      <c r="AM1381" s="2">
        <v>0</v>
      </c>
      <c r="AN1381" s="2"/>
      <c r="AO1381" s="2">
        <v>0</v>
      </c>
      <c r="AP1381" s="2">
        <v>340200</v>
      </c>
      <c r="AQ1381" s="2">
        <v>0</v>
      </c>
      <c r="AR1381" s="2">
        <v>0</v>
      </c>
      <c r="AS1381" s="2">
        <v>0</v>
      </c>
      <c r="AT1381" s="2">
        <v>0</v>
      </c>
      <c r="AU1381" s="2">
        <v>0</v>
      </c>
      <c r="AV1381" s="2">
        <v>0</v>
      </c>
      <c r="AW1381" s="4"/>
      <c r="AX1381" t="s">
        <v>75</v>
      </c>
      <c r="AZ1381" t="s">
        <v>420</v>
      </c>
      <c r="BA1381" t="s">
        <v>67</v>
      </c>
      <c r="BB1381" t="s">
        <v>421</v>
      </c>
      <c r="BC1381" t="s">
        <v>422</v>
      </c>
      <c r="BD1381" t="s">
        <v>79</v>
      </c>
      <c r="BE1381" t="s">
        <v>423</v>
      </c>
      <c r="BF1381" s="5">
        <v>47543</v>
      </c>
      <c r="BH1381">
        <v>1</v>
      </c>
      <c r="BI1381" s="6">
        <v>567000</v>
      </c>
      <c r="BJ1381" s="6">
        <v>40</v>
      </c>
      <c r="BK1381" s="6">
        <v>226800</v>
      </c>
      <c r="BL1381" s="6">
        <v>340200</v>
      </c>
      <c r="BM1381" s="2">
        <v>340200</v>
      </c>
      <c r="BN1381">
        <f>InvoiceTable[[#This Row],[Giảm giá]]*InvoiceTable[[#This Row],[Số lượng]]</f>
        <v>226800</v>
      </c>
    </row>
    <row r="1382" spans="1:66" x14ac:dyDescent="0.25">
      <c r="A1382" t="s">
        <v>65</v>
      </c>
      <c r="B1382" t="s">
        <v>3708</v>
      </c>
      <c r="F1382" s="2"/>
      <c r="G1382" s="3">
        <v>46002.440362071757</v>
      </c>
      <c r="H1382" s="3">
        <v>46002.440363043985</v>
      </c>
      <c r="I1382" s="4" t="s">
        <v>67</v>
      </c>
      <c r="J1382" t="s">
        <v>3709</v>
      </c>
      <c r="K1382" t="s">
        <v>67</v>
      </c>
      <c r="L1382" t="s">
        <v>398</v>
      </c>
      <c r="M1382" t="s">
        <v>399</v>
      </c>
      <c r="N1382" t="s">
        <v>400</v>
      </c>
      <c r="O1382" t="s">
        <v>401</v>
      </c>
      <c r="P1382" t="s">
        <v>402</v>
      </c>
      <c r="S1382" s="5"/>
      <c r="T1382" t="s">
        <v>72</v>
      </c>
      <c r="U1382" t="s">
        <v>102</v>
      </c>
      <c r="V1382" t="s">
        <v>74</v>
      </c>
      <c r="W1382" t="s">
        <v>87</v>
      </c>
      <c r="AE1382" s="2"/>
      <c r="AF1382" s="2"/>
      <c r="AG1382" s="2"/>
      <c r="AH1382" s="2"/>
      <c r="AL1382" s="2">
        <v>532350</v>
      </c>
      <c r="AM1382" s="2">
        <v>0</v>
      </c>
      <c r="AN1382" s="2"/>
      <c r="AO1382" s="2">
        <v>0</v>
      </c>
      <c r="AP1382" s="2">
        <v>532350</v>
      </c>
      <c r="AQ1382" s="2">
        <v>0</v>
      </c>
      <c r="AR1382" s="2">
        <v>0</v>
      </c>
      <c r="AS1382" s="2">
        <v>0</v>
      </c>
      <c r="AT1382" s="2">
        <v>0</v>
      </c>
      <c r="AU1382" s="2">
        <v>0</v>
      </c>
      <c r="AV1382" s="2">
        <v>0</v>
      </c>
      <c r="AW1382" s="4"/>
      <c r="AX1382" t="s">
        <v>75</v>
      </c>
      <c r="AZ1382" t="s">
        <v>1105</v>
      </c>
      <c r="BA1382" t="s">
        <v>67</v>
      </c>
      <c r="BB1382" t="s">
        <v>1106</v>
      </c>
      <c r="BC1382" t="s">
        <v>939</v>
      </c>
      <c r="BD1382" t="s">
        <v>79</v>
      </c>
      <c r="BE1382" t="s">
        <v>378</v>
      </c>
      <c r="BF1382" s="5">
        <v>46997</v>
      </c>
      <c r="BH1382">
        <v>1</v>
      </c>
      <c r="BI1382" s="6">
        <v>845000</v>
      </c>
      <c r="BJ1382" s="6">
        <v>37</v>
      </c>
      <c r="BK1382" s="6">
        <v>312650</v>
      </c>
      <c r="BL1382" s="6">
        <v>532350</v>
      </c>
      <c r="BM1382" s="2">
        <v>532350</v>
      </c>
      <c r="BN1382">
        <f>InvoiceTable[[#This Row],[Giảm giá]]*InvoiceTable[[#This Row],[Số lượng]]</f>
        <v>312650</v>
      </c>
    </row>
    <row r="1383" spans="1:66" x14ac:dyDescent="0.25">
      <c r="A1383" t="s">
        <v>65</v>
      </c>
      <c r="B1383" t="s">
        <v>3710</v>
      </c>
      <c r="F1383" s="2"/>
      <c r="G1383" s="3">
        <v>46002.439237881947</v>
      </c>
      <c r="H1383" s="3">
        <v>46002.439191747682</v>
      </c>
      <c r="I1383" s="4" t="s">
        <v>3066</v>
      </c>
      <c r="J1383" t="s">
        <v>3711</v>
      </c>
      <c r="K1383" t="s">
        <v>67</v>
      </c>
      <c r="L1383" t="s">
        <v>3712</v>
      </c>
      <c r="M1383" t="s">
        <v>3713</v>
      </c>
      <c r="N1383" t="s">
        <v>67</v>
      </c>
      <c r="O1383" t="s">
        <v>3714</v>
      </c>
      <c r="P1383" t="s">
        <v>3715</v>
      </c>
      <c r="S1383" s="5"/>
      <c r="T1383" t="s">
        <v>72</v>
      </c>
      <c r="U1383" t="s">
        <v>73</v>
      </c>
      <c r="V1383" t="s">
        <v>74</v>
      </c>
      <c r="W1383" t="s">
        <v>87</v>
      </c>
      <c r="AE1383" s="2"/>
      <c r="AF1383" s="2"/>
      <c r="AG1383" s="2"/>
      <c r="AH1383" s="2"/>
      <c r="AK1383" t="s">
        <v>67</v>
      </c>
      <c r="AL1383" s="2">
        <v>1300000</v>
      </c>
      <c r="AM1383" s="2">
        <v>0</v>
      </c>
      <c r="AN1383" s="2"/>
      <c r="AO1383" s="2">
        <v>0</v>
      </c>
      <c r="AP1383" s="2">
        <v>1300000</v>
      </c>
      <c r="AQ1383" s="2">
        <v>1300000</v>
      </c>
      <c r="AR1383" s="2">
        <v>1300000</v>
      </c>
      <c r="AS1383" s="2">
        <v>0</v>
      </c>
      <c r="AT1383" s="2">
        <v>0</v>
      </c>
      <c r="AU1383" s="2">
        <v>0</v>
      </c>
      <c r="AV1383" s="2">
        <v>0</v>
      </c>
      <c r="AW1383" s="4"/>
      <c r="AX1383" t="s">
        <v>75</v>
      </c>
      <c r="AZ1383" t="s">
        <v>2915</v>
      </c>
      <c r="BA1383" t="s">
        <v>67</v>
      </c>
      <c r="BB1383" t="s">
        <v>2916</v>
      </c>
      <c r="BC1383" t="s">
        <v>2917</v>
      </c>
      <c r="BD1383" t="s">
        <v>79</v>
      </c>
      <c r="BE1383" t="s">
        <v>155</v>
      </c>
      <c r="BF1383" s="5">
        <v>46600</v>
      </c>
      <c r="BG1383" t="s">
        <v>67</v>
      </c>
      <c r="BH1383">
        <v>1</v>
      </c>
      <c r="BI1383" s="6">
        <v>2250000</v>
      </c>
      <c r="BJ1383" s="6">
        <v>0</v>
      </c>
      <c r="BK1383" s="6">
        <v>950000</v>
      </c>
      <c r="BL1383" s="6">
        <v>1300000</v>
      </c>
      <c r="BM1383" s="2">
        <v>1300000</v>
      </c>
      <c r="BN1383">
        <f>InvoiceTable[[#This Row],[Giảm giá]]*InvoiceTable[[#This Row],[Số lượng]]</f>
        <v>950000</v>
      </c>
    </row>
    <row r="1384" spans="1:66" x14ac:dyDescent="0.25">
      <c r="A1384" t="s">
        <v>65</v>
      </c>
      <c r="B1384" t="s">
        <v>3716</v>
      </c>
      <c r="F1384" s="2"/>
      <c r="G1384" s="3">
        <v>46002.438523807868</v>
      </c>
      <c r="H1384" s="3">
        <v>46002.438523923614</v>
      </c>
      <c r="I1384" s="4" t="s">
        <v>67</v>
      </c>
      <c r="J1384" t="s">
        <v>3717</v>
      </c>
      <c r="K1384" t="s">
        <v>67</v>
      </c>
      <c r="L1384" t="s">
        <v>3718</v>
      </c>
      <c r="M1384" t="s">
        <v>3719</v>
      </c>
      <c r="N1384" t="s">
        <v>67</v>
      </c>
      <c r="O1384" t="s">
        <v>3720</v>
      </c>
      <c r="P1384" t="s">
        <v>3721</v>
      </c>
      <c r="Q1384" t="s">
        <v>3722</v>
      </c>
      <c r="R1384" t="s">
        <v>3723</v>
      </c>
      <c r="S1384" s="5"/>
      <c r="T1384" t="s">
        <v>72</v>
      </c>
      <c r="U1384" t="s">
        <v>1031</v>
      </c>
      <c r="V1384" t="s">
        <v>74</v>
      </c>
      <c r="W1384" t="s">
        <v>87</v>
      </c>
      <c r="AE1384" s="2"/>
      <c r="AF1384" s="2"/>
      <c r="AG1384" s="2"/>
      <c r="AH1384" s="2"/>
      <c r="AK1384" t="s">
        <v>3724</v>
      </c>
      <c r="AL1384" s="2">
        <v>434000</v>
      </c>
      <c r="AM1384" s="2">
        <v>0</v>
      </c>
      <c r="AN1384" s="2"/>
      <c r="AO1384" s="2">
        <v>0</v>
      </c>
      <c r="AP1384" s="2">
        <v>434000</v>
      </c>
      <c r="AQ1384" s="2">
        <v>0</v>
      </c>
      <c r="AR1384" s="2">
        <v>0</v>
      </c>
      <c r="AS1384" s="2">
        <v>0</v>
      </c>
      <c r="AT1384" s="2">
        <v>0</v>
      </c>
      <c r="AU1384" s="2">
        <v>0</v>
      </c>
      <c r="AV1384" s="2">
        <v>0</v>
      </c>
      <c r="AW1384" s="4"/>
      <c r="AX1384" t="s">
        <v>75</v>
      </c>
      <c r="AZ1384" t="s">
        <v>185</v>
      </c>
      <c r="BA1384" t="s">
        <v>67</v>
      </c>
      <c r="BB1384" t="s">
        <v>186</v>
      </c>
      <c r="BC1384" t="s">
        <v>187</v>
      </c>
      <c r="BD1384" t="s">
        <v>79</v>
      </c>
      <c r="BE1384" t="s">
        <v>188</v>
      </c>
      <c r="BF1384" s="5">
        <v>46905</v>
      </c>
      <c r="BG1384" t="s">
        <v>67</v>
      </c>
      <c r="BH1384">
        <v>1</v>
      </c>
      <c r="BI1384" s="6">
        <v>230000</v>
      </c>
      <c r="BJ1384" s="6">
        <v>30</v>
      </c>
      <c r="BK1384" s="6">
        <v>69000</v>
      </c>
      <c r="BL1384" s="6">
        <v>161000</v>
      </c>
      <c r="BM1384" s="2">
        <v>161000</v>
      </c>
      <c r="BN1384">
        <f>InvoiceTable[[#This Row],[Giảm giá]]*InvoiceTable[[#This Row],[Số lượng]]</f>
        <v>69000</v>
      </c>
    </row>
    <row r="1385" spans="1:66" x14ac:dyDescent="0.25">
      <c r="A1385" t="s">
        <v>65</v>
      </c>
      <c r="B1385" t="s">
        <v>3716</v>
      </c>
      <c r="F1385" s="2"/>
      <c r="G1385" s="3">
        <v>46002.438523807868</v>
      </c>
      <c r="H1385" s="3">
        <v>46002.438523923614</v>
      </c>
      <c r="I1385" s="4" t="s">
        <v>67</v>
      </c>
      <c r="J1385" t="s">
        <v>3717</v>
      </c>
      <c r="K1385" t="s">
        <v>67</v>
      </c>
      <c r="L1385" t="s">
        <v>3718</v>
      </c>
      <c r="M1385" t="s">
        <v>3719</v>
      </c>
      <c r="N1385" t="s">
        <v>67</v>
      </c>
      <c r="O1385" t="s">
        <v>3720</v>
      </c>
      <c r="P1385" t="s">
        <v>3721</v>
      </c>
      <c r="Q1385" t="s">
        <v>3722</v>
      </c>
      <c r="R1385" t="s">
        <v>3723</v>
      </c>
      <c r="S1385" s="5"/>
      <c r="T1385" t="s">
        <v>72</v>
      </c>
      <c r="U1385" t="s">
        <v>1031</v>
      </c>
      <c r="V1385" t="s">
        <v>74</v>
      </c>
      <c r="W1385" t="s">
        <v>87</v>
      </c>
      <c r="AE1385" s="2"/>
      <c r="AF1385" s="2"/>
      <c r="AG1385" s="2"/>
      <c r="AH1385" s="2"/>
      <c r="AK1385" t="s">
        <v>3724</v>
      </c>
      <c r="AL1385" s="2">
        <v>434000</v>
      </c>
      <c r="AM1385" s="2">
        <v>0</v>
      </c>
      <c r="AN1385" s="2"/>
      <c r="AO1385" s="2">
        <v>0</v>
      </c>
      <c r="AP1385" s="2">
        <v>434000</v>
      </c>
      <c r="AQ1385" s="2">
        <v>0</v>
      </c>
      <c r="AR1385" s="2">
        <v>0</v>
      </c>
      <c r="AS1385" s="2">
        <v>0</v>
      </c>
      <c r="AT1385" s="2">
        <v>0</v>
      </c>
      <c r="AU1385" s="2">
        <v>0</v>
      </c>
      <c r="AV1385" s="2">
        <v>0</v>
      </c>
      <c r="AW1385" s="4"/>
      <c r="AX1385" t="s">
        <v>75</v>
      </c>
      <c r="AZ1385" t="s">
        <v>1860</v>
      </c>
      <c r="BA1385" t="s">
        <v>67</v>
      </c>
      <c r="BB1385" t="s">
        <v>1861</v>
      </c>
      <c r="BC1385" t="s">
        <v>1714</v>
      </c>
      <c r="BD1385" t="s">
        <v>79</v>
      </c>
      <c r="BE1385" t="s">
        <v>317</v>
      </c>
      <c r="BF1385" s="5">
        <v>46935</v>
      </c>
      <c r="BG1385" t="s">
        <v>67</v>
      </c>
      <c r="BH1385">
        <v>1</v>
      </c>
      <c r="BI1385" s="6">
        <v>390000</v>
      </c>
      <c r="BJ1385" s="6">
        <v>30</v>
      </c>
      <c r="BK1385" s="6">
        <v>117000</v>
      </c>
      <c r="BL1385" s="6">
        <v>273000</v>
      </c>
      <c r="BM1385" s="2">
        <v>273000</v>
      </c>
      <c r="BN1385">
        <f>InvoiceTable[[#This Row],[Giảm giá]]*InvoiceTable[[#This Row],[Số lượng]]</f>
        <v>117000</v>
      </c>
    </row>
    <row r="1386" spans="1:66" x14ac:dyDescent="0.25">
      <c r="A1386" t="s">
        <v>65</v>
      </c>
      <c r="B1386" t="s">
        <v>3725</v>
      </c>
      <c r="F1386" s="2"/>
      <c r="G1386" s="3">
        <v>46002.438332175923</v>
      </c>
      <c r="H1386" s="3">
        <v>46002.438332407408</v>
      </c>
      <c r="I1386" s="4" t="s">
        <v>67</v>
      </c>
      <c r="J1386" t="s">
        <v>3726</v>
      </c>
      <c r="K1386" t="s">
        <v>67</v>
      </c>
      <c r="L1386" t="s">
        <v>119</v>
      </c>
      <c r="M1386" t="s">
        <v>120</v>
      </c>
      <c r="N1386" t="s">
        <v>67</v>
      </c>
      <c r="O1386" t="s">
        <v>121</v>
      </c>
      <c r="Q1386" t="s">
        <v>122</v>
      </c>
      <c r="R1386" t="s">
        <v>123</v>
      </c>
      <c r="S1386" s="5"/>
      <c r="T1386" t="s">
        <v>72</v>
      </c>
      <c r="U1386" t="s">
        <v>102</v>
      </c>
      <c r="V1386" t="s">
        <v>74</v>
      </c>
      <c r="W1386" t="s">
        <v>87</v>
      </c>
      <c r="AE1386" s="2"/>
      <c r="AF1386" s="2"/>
      <c r="AG1386" s="2"/>
      <c r="AH1386" s="2"/>
      <c r="AK1386" t="s">
        <v>1003</v>
      </c>
      <c r="AL1386" s="2">
        <v>945000</v>
      </c>
      <c r="AM1386" s="2">
        <v>0</v>
      </c>
      <c r="AN1386" s="2"/>
      <c r="AO1386" s="2">
        <v>0</v>
      </c>
      <c r="AP1386" s="2">
        <v>945000</v>
      </c>
      <c r="AQ1386" s="2">
        <v>0</v>
      </c>
      <c r="AR1386" s="2">
        <v>0</v>
      </c>
      <c r="AS1386" s="2">
        <v>0</v>
      </c>
      <c r="AT1386" s="2">
        <v>0</v>
      </c>
      <c r="AU1386" s="2">
        <v>0</v>
      </c>
      <c r="AV1386" s="2">
        <v>0</v>
      </c>
      <c r="AW1386" s="4"/>
      <c r="AX1386" t="s">
        <v>75</v>
      </c>
      <c r="AZ1386" t="s">
        <v>1456</v>
      </c>
      <c r="BA1386" t="s">
        <v>67</v>
      </c>
      <c r="BB1386" t="s">
        <v>1457</v>
      </c>
      <c r="BC1386" t="s">
        <v>187</v>
      </c>
      <c r="BD1386" t="s">
        <v>79</v>
      </c>
      <c r="BE1386" t="s">
        <v>324</v>
      </c>
      <c r="BF1386" s="5">
        <v>47058</v>
      </c>
      <c r="BH1386">
        <v>5</v>
      </c>
      <c r="BI1386" s="6">
        <v>450000</v>
      </c>
      <c r="BJ1386" s="6">
        <v>58</v>
      </c>
      <c r="BK1386" s="6">
        <v>261000</v>
      </c>
      <c r="BL1386" s="6">
        <v>189000</v>
      </c>
      <c r="BM1386" s="2">
        <v>945000</v>
      </c>
      <c r="BN1386">
        <f>InvoiceTable[[#This Row],[Giảm giá]]*InvoiceTable[[#This Row],[Số lượng]]</f>
        <v>1305000</v>
      </c>
    </row>
    <row r="1387" spans="1:66" x14ac:dyDescent="0.25">
      <c r="A1387" t="s">
        <v>65</v>
      </c>
      <c r="B1387" t="s">
        <v>3727</v>
      </c>
      <c r="F1387" s="2"/>
      <c r="G1387" s="3">
        <v>46002.437514317127</v>
      </c>
      <c r="H1387" s="3">
        <v>46002.437514432873</v>
      </c>
      <c r="I1387" s="4" t="s">
        <v>67</v>
      </c>
      <c r="J1387" t="s">
        <v>3728</v>
      </c>
      <c r="K1387" t="s">
        <v>67</v>
      </c>
      <c r="L1387" t="s">
        <v>119</v>
      </c>
      <c r="M1387" t="s">
        <v>120</v>
      </c>
      <c r="N1387" t="s">
        <v>67</v>
      </c>
      <c r="O1387" t="s">
        <v>121</v>
      </c>
      <c r="Q1387" t="s">
        <v>122</v>
      </c>
      <c r="R1387" t="s">
        <v>123</v>
      </c>
      <c r="S1387" s="5"/>
      <c r="T1387" t="s">
        <v>72</v>
      </c>
      <c r="U1387" t="s">
        <v>102</v>
      </c>
      <c r="V1387" t="s">
        <v>74</v>
      </c>
      <c r="W1387" t="s">
        <v>87</v>
      </c>
      <c r="AE1387" s="2"/>
      <c r="AF1387" s="2"/>
      <c r="AG1387" s="2"/>
      <c r="AH1387" s="2"/>
      <c r="AK1387" t="s">
        <v>1003</v>
      </c>
      <c r="AL1387" s="2">
        <v>1960000</v>
      </c>
      <c r="AM1387" s="2">
        <v>0</v>
      </c>
      <c r="AN1387" s="2"/>
      <c r="AO1387" s="2">
        <v>0</v>
      </c>
      <c r="AP1387" s="2">
        <v>1960000</v>
      </c>
      <c r="AQ1387" s="2">
        <v>0</v>
      </c>
      <c r="AR1387" s="2">
        <v>0</v>
      </c>
      <c r="AS1387" s="2">
        <v>0</v>
      </c>
      <c r="AT1387" s="2">
        <v>0</v>
      </c>
      <c r="AU1387" s="2">
        <v>0</v>
      </c>
      <c r="AV1387" s="2">
        <v>0</v>
      </c>
      <c r="AW1387" s="4"/>
      <c r="AX1387" t="s">
        <v>75</v>
      </c>
      <c r="AZ1387" t="s">
        <v>669</v>
      </c>
      <c r="BA1387" t="s">
        <v>67</v>
      </c>
      <c r="BB1387" t="s">
        <v>670</v>
      </c>
      <c r="BC1387" t="s">
        <v>126</v>
      </c>
      <c r="BD1387" t="s">
        <v>79</v>
      </c>
      <c r="BE1387" t="s">
        <v>117</v>
      </c>
      <c r="BF1387" s="5">
        <v>46569</v>
      </c>
      <c r="BH1387">
        <v>14</v>
      </c>
      <c r="BI1387" s="6">
        <v>350000</v>
      </c>
      <c r="BJ1387" s="6">
        <v>0</v>
      </c>
      <c r="BK1387" s="6">
        <v>210000</v>
      </c>
      <c r="BL1387" s="6">
        <v>140000</v>
      </c>
      <c r="BM1387" s="2">
        <v>1960000</v>
      </c>
      <c r="BN1387">
        <f>InvoiceTable[[#This Row],[Giảm giá]]*InvoiceTable[[#This Row],[Số lượng]]</f>
        <v>2940000</v>
      </c>
    </row>
    <row r="1388" spans="1:66" x14ac:dyDescent="0.25">
      <c r="A1388" t="s">
        <v>65</v>
      </c>
      <c r="B1388" t="s">
        <v>3729</v>
      </c>
      <c r="F1388" s="2"/>
      <c r="G1388" s="3">
        <v>46002.423066238429</v>
      </c>
      <c r="H1388" s="3">
        <v>46002.423054976854</v>
      </c>
      <c r="I1388" s="4" t="s">
        <v>3493</v>
      </c>
      <c r="J1388" t="s">
        <v>67</v>
      </c>
      <c r="K1388" t="s">
        <v>67</v>
      </c>
      <c r="L1388" t="s">
        <v>303</v>
      </c>
      <c r="M1388" t="s">
        <v>304</v>
      </c>
      <c r="N1388" t="s">
        <v>67</v>
      </c>
      <c r="O1388" t="s">
        <v>305</v>
      </c>
      <c r="P1388" t="s">
        <v>306</v>
      </c>
      <c r="Q1388" t="s">
        <v>67</v>
      </c>
      <c r="R1388" t="s">
        <v>67</v>
      </c>
      <c r="S1388" s="5"/>
      <c r="T1388" t="s">
        <v>72</v>
      </c>
      <c r="U1388" t="s">
        <v>87</v>
      </c>
      <c r="V1388" t="s">
        <v>74</v>
      </c>
      <c r="W1388" t="s">
        <v>87</v>
      </c>
      <c r="AE1388" s="2"/>
      <c r="AF1388" s="2"/>
      <c r="AG1388" s="2"/>
      <c r="AH1388" s="2"/>
      <c r="AK1388" t="s">
        <v>3730</v>
      </c>
      <c r="AL1388" s="2">
        <v>77700000</v>
      </c>
      <c r="AM1388" s="2">
        <v>0</v>
      </c>
      <c r="AN1388" s="2"/>
      <c r="AO1388" s="2">
        <v>0</v>
      </c>
      <c r="AP1388" s="2">
        <v>77700000</v>
      </c>
      <c r="AQ1388" s="2">
        <v>42883000</v>
      </c>
      <c r="AR1388" s="2">
        <v>0</v>
      </c>
      <c r="AS1388" s="2">
        <v>0</v>
      </c>
      <c r="AT1388" s="2">
        <v>0</v>
      </c>
      <c r="AU1388" s="2">
        <v>42883000</v>
      </c>
      <c r="AV1388" s="2">
        <v>0</v>
      </c>
      <c r="AW1388" s="4"/>
      <c r="AX1388" t="s">
        <v>75</v>
      </c>
      <c r="AZ1388" t="s">
        <v>107</v>
      </c>
      <c r="BA1388" t="s">
        <v>67</v>
      </c>
      <c r="BB1388" t="s">
        <v>108</v>
      </c>
      <c r="BC1388" t="s">
        <v>109</v>
      </c>
      <c r="BD1388" t="s">
        <v>79</v>
      </c>
      <c r="BE1388" t="s">
        <v>94</v>
      </c>
      <c r="BF1388" s="5">
        <v>46692</v>
      </c>
      <c r="BH1388">
        <v>30</v>
      </c>
      <c r="BI1388" s="6">
        <v>4500000</v>
      </c>
      <c r="BJ1388" s="6">
        <v>0</v>
      </c>
      <c r="BK1388" s="6">
        <v>1910000</v>
      </c>
      <c r="BL1388" s="6">
        <v>2590000</v>
      </c>
      <c r="BM1388" s="2">
        <v>77700000</v>
      </c>
      <c r="BN1388">
        <f>InvoiceTable[[#This Row],[Giảm giá]]*InvoiceTable[[#This Row],[Số lượng]]</f>
        <v>57300000</v>
      </c>
    </row>
    <row r="1389" spans="1:66" x14ac:dyDescent="0.25">
      <c r="A1389" t="s">
        <v>65</v>
      </c>
      <c r="B1389" t="s">
        <v>3731</v>
      </c>
      <c r="F1389" s="2"/>
      <c r="G1389" s="3">
        <v>46002.422188807868</v>
      </c>
      <c r="H1389" s="3">
        <v>46002.422188923614</v>
      </c>
      <c r="I1389" s="4" t="s">
        <v>67</v>
      </c>
      <c r="J1389" t="s">
        <v>67</v>
      </c>
      <c r="K1389" t="s">
        <v>67</v>
      </c>
      <c r="L1389" t="s">
        <v>303</v>
      </c>
      <c r="M1389" t="s">
        <v>304</v>
      </c>
      <c r="N1389" t="s">
        <v>67</v>
      </c>
      <c r="O1389" t="s">
        <v>305</v>
      </c>
      <c r="P1389" t="s">
        <v>306</v>
      </c>
      <c r="Q1389" t="s">
        <v>67</v>
      </c>
      <c r="R1389" t="s">
        <v>67</v>
      </c>
      <c r="S1389" s="5"/>
      <c r="T1389" t="s">
        <v>72</v>
      </c>
      <c r="U1389" t="s">
        <v>87</v>
      </c>
      <c r="V1389" t="s">
        <v>74</v>
      </c>
      <c r="W1389" t="s">
        <v>87</v>
      </c>
      <c r="AE1389" s="2"/>
      <c r="AF1389" s="2"/>
      <c r="AG1389" s="2"/>
      <c r="AH1389" s="2"/>
      <c r="AL1389" s="2">
        <v>8316000</v>
      </c>
      <c r="AM1389" s="2">
        <v>0</v>
      </c>
      <c r="AN1389" s="2"/>
      <c r="AO1389" s="2">
        <v>0</v>
      </c>
      <c r="AP1389" s="2">
        <v>8316000</v>
      </c>
      <c r="AQ1389" s="2">
        <v>8316000</v>
      </c>
      <c r="AR1389" s="2">
        <v>0</v>
      </c>
      <c r="AS1389" s="2">
        <v>0</v>
      </c>
      <c r="AT1389" s="2">
        <v>0</v>
      </c>
      <c r="AU1389" s="2">
        <v>8316000</v>
      </c>
      <c r="AV1389" s="2">
        <v>0</v>
      </c>
      <c r="AW1389" s="4"/>
      <c r="AX1389" t="s">
        <v>75</v>
      </c>
      <c r="AZ1389" t="s">
        <v>1337</v>
      </c>
      <c r="BA1389" t="s">
        <v>67</v>
      </c>
      <c r="BB1389" t="s">
        <v>1338</v>
      </c>
      <c r="BC1389" t="s">
        <v>567</v>
      </c>
      <c r="BD1389" t="s">
        <v>79</v>
      </c>
      <c r="BE1389" t="s">
        <v>434</v>
      </c>
      <c r="BF1389" s="5">
        <v>46661</v>
      </c>
      <c r="BH1389">
        <v>20</v>
      </c>
      <c r="BI1389" s="6">
        <v>756000</v>
      </c>
      <c r="BJ1389" s="6">
        <v>45</v>
      </c>
      <c r="BK1389" s="6">
        <v>340200</v>
      </c>
      <c r="BL1389" s="6">
        <v>415800</v>
      </c>
      <c r="BM1389" s="2">
        <v>8316000</v>
      </c>
      <c r="BN1389">
        <f>InvoiceTable[[#This Row],[Giảm giá]]*InvoiceTable[[#This Row],[Số lượng]]</f>
        <v>6804000</v>
      </c>
    </row>
    <row r="1390" spans="1:66" x14ac:dyDescent="0.25">
      <c r="A1390" t="s">
        <v>65</v>
      </c>
      <c r="B1390" t="s">
        <v>3732</v>
      </c>
      <c r="F1390" s="2"/>
      <c r="G1390" s="3">
        <v>46002.404399074076</v>
      </c>
      <c r="H1390" s="3">
        <v>46002.404399189814</v>
      </c>
      <c r="I1390" s="4" t="s">
        <v>67</v>
      </c>
      <c r="J1390" t="s">
        <v>67</v>
      </c>
      <c r="K1390" t="s">
        <v>67</v>
      </c>
      <c r="L1390" t="s">
        <v>1128</v>
      </c>
      <c r="M1390" t="s">
        <v>1129</v>
      </c>
      <c r="N1390" t="s">
        <v>67</v>
      </c>
      <c r="O1390" t="s">
        <v>1130</v>
      </c>
      <c r="P1390" t="s">
        <v>1131</v>
      </c>
      <c r="S1390" s="5"/>
      <c r="T1390" t="s">
        <v>72</v>
      </c>
      <c r="U1390" t="s">
        <v>87</v>
      </c>
      <c r="V1390" t="s">
        <v>74</v>
      </c>
      <c r="W1390" t="s">
        <v>87</v>
      </c>
      <c r="AE1390" s="2"/>
      <c r="AF1390" s="2"/>
      <c r="AG1390" s="2"/>
      <c r="AH1390" s="2"/>
      <c r="AL1390" s="2">
        <v>3560000</v>
      </c>
      <c r="AM1390" s="2">
        <v>0</v>
      </c>
      <c r="AN1390" s="2"/>
      <c r="AO1390" s="2">
        <v>0</v>
      </c>
      <c r="AP1390" s="2">
        <v>3560000</v>
      </c>
      <c r="AQ1390" s="2">
        <v>0</v>
      </c>
      <c r="AR1390" s="2">
        <v>0</v>
      </c>
      <c r="AS1390" s="2">
        <v>0</v>
      </c>
      <c r="AT1390" s="2">
        <v>0</v>
      </c>
      <c r="AU1390" s="2">
        <v>0</v>
      </c>
      <c r="AV1390" s="2">
        <v>0</v>
      </c>
      <c r="AW1390" s="4"/>
      <c r="AX1390" t="s">
        <v>75</v>
      </c>
      <c r="AZ1390" t="s">
        <v>3733</v>
      </c>
      <c r="BA1390" t="s">
        <v>67</v>
      </c>
      <c r="BB1390" t="s">
        <v>3734</v>
      </c>
      <c r="BC1390" t="s">
        <v>3735</v>
      </c>
      <c r="BD1390" t="s">
        <v>79</v>
      </c>
      <c r="BE1390" t="s">
        <v>177</v>
      </c>
      <c r="BF1390" s="5">
        <v>47027</v>
      </c>
      <c r="BH1390">
        <v>4</v>
      </c>
      <c r="BI1390" s="6">
        <v>180000</v>
      </c>
      <c r="BJ1390" s="6">
        <v>0</v>
      </c>
      <c r="BK1390" s="6">
        <v>115000</v>
      </c>
      <c r="BL1390" s="6">
        <v>65000</v>
      </c>
      <c r="BM1390" s="2">
        <v>260000</v>
      </c>
      <c r="BN1390">
        <f>InvoiceTable[[#This Row],[Giảm giá]]*InvoiceTable[[#This Row],[Số lượng]]</f>
        <v>460000</v>
      </c>
    </row>
    <row r="1391" spans="1:66" x14ac:dyDescent="0.25">
      <c r="A1391" t="s">
        <v>65</v>
      </c>
      <c r="B1391" t="s">
        <v>3732</v>
      </c>
      <c r="F1391" s="2"/>
      <c r="G1391" s="3">
        <v>46002.404399074076</v>
      </c>
      <c r="H1391" s="3">
        <v>46002.404399189814</v>
      </c>
      <c r="I1391" s="4" t="s">
        <v>67</v>
      </c>
      <c r="J1391" t="s">
        <v>67</v>
      </c>
      <c r="K1391" t="s">
        <v>67</v>
      </c>
      <c r="L1391" t="s">
        <v>1128</v>
      </c>
      <c r="M1391" t="s">
        <v>1129</v>
      </c>
      <c r="N1391" t="s">
        <v>67</v>
      </c>
      <c r="O1391" t="s">
        <v>1130</v>
      </c>
      <c r="P1391" t="s">
        <v>1131</v>
      </c>
      <c r="S1391" s="5"/>
      <c r="T1391" t="s">
        <v>72</v>
      </c>
      <c r="U1391" t="s">
        <v>87</v>
      </c>
      <c r="V1391" t="s">
        <v>74</v>
      </c>
      <c r="W1391" t="s">
        <v>87</v>
      </c>
      <c r="AE1391" s="2"/>
      <c r="AF1391" s="2"/>
      <c r="AG1391" s="2"/>
      <c r="AH1391" s="2"/>
      <c r="AL1391" s="2">
        <v>3560000</v>
      </c>
      <c r="AM1391" s="2">
        <v>0</v>
      </c>
      <c r="AN1391" s="2"/>
      <c r="AO1391" s="2">
        <v>0</v>
      </c>
      <c r="AP1391" s="2">
        <v>3560000</v>
      </c>
      <c r="AQ1391" s="2">
        <v>0</v>
      </c>
      <c r="AR1391" s="2">
        <v>0</v>
      </c>
      <c r="AS1391" s="2">
        <v>0</v>
      </c>
      <c r="AT1391" s="2">
        <v>0</v>
      </c>
      <c r="AU1391" s="2">
        <v>0</v>
      </c>
      <c r="AV1391" s="2">
        <v>0</v>
      </c>
      <c r="AW1391" s="4"/>
      <c r="AX1391" t="s">
        <v>75</v>
      </c>
      <c r="AZ1391" t="s">
        <v>3736</v>
      </c>
      <c r="BA1391" t="s">
        <v>67</v>
      </c>
      <c r="BB1391" t="s">
        <v>3737</v>
      </c>
      <c r="BC1391" t="s">
        <v>874</v>
      </c>
      <c r="BD1391" t="s">
        <v>79</v>
      </c>
      <c r="BE1391" t="s">
        <v>198</v>
      </c>
      <c r="BF1391" s="5">
        <v>46753</v>
      </c>
      <c r="BH1391">
        <v>10</v>
      </c>
      <c r="BI1391" s="6">
        <v>990000</v>
      </c>
      <c r="BJ1391" s="6">
        <v>0</v>
      </c>
      <c r="BK1391" s="6">
        <v>660000</v>
      </c>
      <c r="BL1391" s="6">
        <v>330000</v>
      </c>
      <c r="BM1391" s="2">
        <v>3300000</v>
      </c>
      <c r="BN1391">
        <f>InvoiceTable[[#This Row],[Giảm giá]]*InvoiceTable[[#This Row],[Số lượng]]</f>
        <v>6600000</v>
      </c>
    </row>
    <row r="1392" spans="1:66" x14ac:dyDescent="0.25">
      <c r="A1392" t="s">
        <v>65</v>
      </c>
      <c r="B1392" t="s">
        <v>3732</v>
      </c>
      <c r="F1392" s="2"/>
      <c r="G1392" s="3">
        <v>46002.404399074076</v>
      </c>
      <c r="H1392" s="3">
        <v>46002.404399189814</v>
      </c>
      <c r="I1392" s="4" t="s">
        <v>67</v>
      </c>
      <c r="J1392" t="s">
        <v>67</v>
      </c>
      <c r="K1392" t="s">
        <v>67</v>
      </c>
      <c r="L1392" t="s">
        <v>1128</v>
      </c>
      <c r="M1392" t="s">
        <v>1129</v>
      </c>
      <c r="N1392" t="s">
        <v>67</v>
      </c>
      <c r="O1392" t="s">
        <v>1130</v>
      </c>
      <c r="P1392" t="s">
        <v>1131</v>
      </c>
      <c r="S1392" s="5"/>
      <c r="T1392" t="s">
        <v>72</v>
      </c>
      <c r="U1392" t="s">
        <v>87</v>
      </c>
      <c r="V1392" t="s">
        <v>74</v>
      </c>
      <c r="W1392" t="s">
        <v>87</v>
      </c>
      <c r="AE1392" s="2"/>
      <c r="AF1392" s="2"/>
      <c r="AG1392" s="2"/>
      <c r="AH1392" s="2"/>
      <c r="AL1392" s="2">
        <v>3560000</v>
      </c>
      <c r="AM1392" s="2">
        <v>0</v>
      </c>
      <c r="AN1392" s="2"/>
      <c r="AO1392" s="2">
        <v>0</v>
      </c>
      <c r="AP1392" s="2">
        <v>3560000</v>
      </c>
      <c r="AQ1392" s="2">
        <v>0</v>
      </c>
      <c r="AR1392" s="2">
        <v>0</v>
      </c>
      <c r="AS1392" s="2">
        <v>0</v>
      </c>
      <c r="AT1392" s="2">
        <v>0</v>
      </c>
      <c r="AU1392" s="2">
        <v>0</v>
      </c>
      <c r="AV1392" s="2">
        <v>0</v>
      </c>
      <c r="AW1392" s="4"/>
      <c r="AX1392" t="s">
        <v>75</v>
      </c>
      <c r="AZ1392" t="s">
        <v>3679</v>
      </c>
      <c r="BA1392" t="s">
        <v>67</v>
      </c>
      <c r="BB1392" t="s">
        <v>3680</v>
      </c>
      <c r="BC1392" t="s">
        <v>212</v>
      </c>
      <c r="BD1392" t="s">
        <v>79</v>
      </c>
      <c r="BE1392" t="s">
        <v>142</v>
      </c>
      <c r="BF1392" s="5">
        <v>46844</v>
      </c>
      <c r="BH1392">
        <v>3</v>
      </c>
      <c r="BI1392" s="6">
        <v>103750</v>
      </c>
      <c r="BJ1392" s="6">
        <v>0</v>
      </c>
      <c r="BK1392" s="6">
        <v>103750</v>
      </c>
      <c r="BL1392" s="6">
        <v>0</v>
      </c>
      <c r="BM1392" s="2">
        <v>0</v>
      </c>
      <c r="BN1392">
        <f>InvoiceTable[[#This Row],[Giảm giá]]*InvoiceTable[[#This Row],[Số lượng]]</f>
        <v>311250</v>
      </c>
    </row>
    <row r="1393" spans="1:66" x14ac:dyDescent="0.25">
      <c r="A1393" t="s">
        <v>65</v>
      </c>
      <c r="B1393" t="s">
        <v>3738</v>
      </c>
      <c r="F1393" s="2"/>
      <c r="G1393" s="3">
        <v>46002.399798923609</v>
      </c>
      <c r="H1393" s="3">
        <v>46002.399799270832</v>
      </c>
      <c r="I1393" s="4" t="s">
        <v>67</v>
      </c>
      <c r="J1393" t="s">
        <v>3739</v>
      </c>
      <c r="K1393" t="s">
        <v>67</v>
      </c>
      <c r="L1393" t="s">
        <v>3740</v>
      </c>
      <c r="M1393" t="s">
        <v>3741</v>
      </c>
      <c r="N1393" t="s">
        <v>67</v>
      </c>
      <c r="O1393" t="s">
        <v>3742</v>
      </c>
      <c r="P1393" t="s">
        <v>3743</v>
      </c>
      <c r="Q1393" t="s">
        <v>67</v>
      </c>
      <c r="R1393" t="s">
        <v>67</v>
      </c>
      <c r="S1393" s="5"/>
      <c r="T1393" t="s">
        <v>72</v>
      </c>
      <c r="U1393" t="s">
        <v>87</v>
      </c>
      <c r="V1393" t="s">
        <v>74</v>
      </c>
      <c r="W1393" t="s">
        <v>87</v>
      </c>
      <c r="AE1393" s="2"/>
      <c r="AF1393" s="2"/>
      <c r="AG1393" s="2"/>
      <c r="AH1393" s="2"/>
      <c r="AL1393" s="2">
        <v>758000</v>
      </c>
      <c r="AM1393" s="2">
        <v>0</v>
      </c>
      <c r="AN1393" s="2"/>
      <c r="AO1393" s="2">
        <v>0</v>
      </c>
      <c r="AP1393" s="2">
        <v>758000</v>
      </c>
      <c r="AQ1393" s="2">
        <v>0</v>
      </c>
      <c r="AR1393" s="2">
        <v>0</v>
      </c>
      <c r="AS1393" s="2">
        <v>0</v>
      </c>
      <c r="AT1393" s="2">
        <v>0</v>
      </c>
      <c r="AU1393" s="2">
        <v>0</v>
      </c>
      <c r="AV1393" s="2">
        <v>0</v>
      </c>
      <c r="AW1393" s="4"/>
      <c r="AX1393" t="s">
        <v>75</v>
      </c>
      <c r="AZ1393" t="s">
        <v>3744</v>
      </c>
      <c r="BA1393" t="s">
        <v>67</v>
      </c>
      <c r="BB1393" t="s">
        <v>3745</v>
      </c>
      <c r="BC1393" t="s">
        <v>3746</v>
      </c>
      <c r="BD1393" t="s">
        <v>79</v>
      </c>
      <c r="BE1393" t="s">
        <v>3747</v>
      </c>
      <c r="BF1393" s="5">
        <v>46906</v>
      </c>
      <c r="BG1393" t="s">
        <v>67</v>
      </c>
      <c r="BH1393">
        <v>1</v>
      </c>
      <c r="BI1393" s="6">
        <v>920000</v>
      </c>
      <c r="BJ1393" s="6">
        <v>35</v>
      </c>
      <c r="BK1393" s="6">
        <v>322000</v>
      </c>
      <c r="BL1393" s="6">
        <v>598000</v>
      </c>
      <c r="BM1393" s="2">
        <v>598000</v>
      </c>
      <c r="BN1393">
        <f>InvoiceTable[[#This Row],[Giảm giá]]*InvoiceTable[[#This Row],[Số lượng]]</f>
        <v>322000</v>
      </c>
    </row>
    <row r="1394" spans="1:66" x14ac:dyDescent="0.25">
      <c r="A1394" t="s">
        <v>65</v>
      </c>
      <c r="B1394" t="s">
        <v>3738</v>
      </c>
      <c r="F1394" s="2"/>
      <c r="G1394" s="3">
        <v>46002.399798923609</v>
      </c>
      <c r="H1394" s="3">
        <v>46002.399799270832</v>
      </c>
      <c r="I1394" s="4" t="s">
        <v>67</v>
      </c>
      <c r="J1394" t="s">
        <v>3739</v>
      </c>
      <c r="K1394" t="s">
        <v>67</v>
      </c>
      <c r="L1394" t="s">
        <v>3740</v>
      </c>
      <c r="M1394" t="s">
        <v>3741</v>
      </c>
      <c r="N1394" t="s">
        <v>67</v>
      </c>
      <c r="O1394" t="s">
        <v>3742</v>
      </c>
      <c r="P1394" t="s">
        <v>3743</v>
      </c>
      <c r="Q1394" t="s">
        <v>67</v>
      </c>
      <c r="R1394" t="s">
        <v>67</v>
      </c>
      <c r="S1394" s="5"/>
      <c r="T1394" t="s">
        <v>72</v>
      </c>
      <c r="U1394" t="s">
        <v>87</v>
      </c>
      <c r="V1394" t="s">
        <v>74</v>
      </c>
      <c r="W1394" t="s">
        <v>87</v>
      </c>
      <c r="AE1394" s="2"/>
      <c r="AF1394" s="2"/>
      <c r="AG1394" s="2"/>
      <c r="AH1394" s="2"/>
      <c r="AL1394" s="2">
        <v>758000</v>
      </c>
      <c r="AM1394" s="2">
        <v>0</v>
      </c>
      <c r="AN1394" s="2"/>
      <c r="AO1394" s="2">
        <v>0</v>
      </c>
      <c r="AP1394" s="2">
        <v>758000</v>
      </c>
      <c r="AQ1394" s="2">
        <v>0</v>
      </c>
      <c r="AR1394" s="2">
        <v>0</v>
      </c>
      <c r="AS1394" s="2">
        <v>0</v>
      </c>
      <c r="AT1394" s="2">
        <v>0</v>
      </c>
      <c r="AU1394" s="2">
        <v>0</v>
      </c>
      <c r="AV1394" s="2">
        <v>0</v>
      </c>
      <c r="AW1394" s="4"/>
      <c r="AX1394" t="s">
        <v>75</v>
      </c>
      <c r="AZ1394" t="s">
        <v>669</v>
      </c>
      <c r="BA1394" t="s">
        <v>67</v>
      </c>
      <c r="BB1394" t="s">
        <v>670</v>
      </c>
      <c r="BC1394" t="s">
        <v>126</v>
      </c>
      <c r="BD1394" t="s">
        <v>79</v>
      </c>
      <c r="BE1394" t="s">
        <v>117</v>
      </c>
      <c r="BF1394" s="5">
        <v>46569</v>
      </c>
      <c r="BH1394">
        <v>1</v>
      </c>
      <c r="BI1394" s="6">
        <v>350000</v>
      </c>
      <c r="BJ1394" s="6">
        <v>0</v>
      </c>
      <c r="BK1394" s="6">
        <v>190000</v>
      </c>
      <c r="BL1394" s="6">
        <v>160000</v>
      </c>
      <c r="BM1394" s="2">
        <v>160000</v>
      </c>
      <c r="BN1394">
        <f>InvoiceTable[[#This Row],[Giảm giá]]*InvoiceTable[[#This Row],[Số lượng]]</f>
        <v>190000</v>
      </c>
    </row>
    <row r="1395" spans="1:66" x14ac:dyDescent="0.25">
      <c r="A1395" t="s">
        <v>65</v>
      </c>
      <c r="B1395" t="s">
        <v>3748</v>
      </c>
      <c r="F1395" s="2"/>
      <c r="G1395" s="3">
        <v>46002.399199421299</v>
      </c>
      <c r="H1395" s="3">
        <v>46002.399199537038</v>
      </c>
      <c r="I1395" s="4" t="s">
        <v>67</v>
      </c>
      <c r="J1395" t="s">
        <v>3749</v>
      </c>
      <c r="K1395" t="s">
        <v>67</v>
      </c>
      <c r="L1395" t="s">
        <v>3740</v>
      </c>
      <c r="M1395" t="s">
        <v>3741</v>
      </c>
      <c r="N1395" t="s">
        <v>67</v>
      </c>
      <c r="O1395" t="s">
        <v>3742</v>
      </c>
      <c r="P1395" t="s">
        <v>3743</v>
      </c>
      <c r="Q1395" t="s">
        <v>67</v>
      </c>
      <c r="R1395" t="s">
        <v>67</v>
      </c>
      <c r="S1395" s="5"/>
      <c r="T1395" t="s">
        <v>72</v>
      </c>
      <c r="U1395" t="s">
        <v>87</v>
      </c>
      <c r="V1395" t="s">
        <v>74</v>
      </c>
      <c r="W1395" t="s">
        <v>87</v>
      </c>
      <c r="AE1395" s="2"/>
      <c r="AF1395" s="2"/>
      <c r="AG1395" s="2"/>
      <c r="AH1395" s="2"/>
      <c r="AL1395" s="2">
        <v>384300</v>
      </c>
      <c r="AM1395" s="2">
        <v>0</v>
      </c>
      <c r="AN1395" s="2"/>
      <c r="AO1395" s="2">
        <v>0</v>
      </c>
      <c r="AP1395" s="2">
        <v>384300</v>
      </c>
      <c r="AQ1395" s="2">
        <v>0</v>
      </c>
      <c r="AR1395" s="2">
        <v>0</v>
      </c>
      <c r="AS1395" s="2">
        <v>0</v>
      </c>
      <c r="AT1395" s="2">
        <v>0</v>
      </c>
      <c r="AU1395" s="2">
        <v>0</v>
      </c>
      <c r="AV1395" s="2">
        <v>0</v>
      </c>
      <c r="AW1395" s="4"/>
      <c r="AX1395" t="s">
        <v>75</v>
      </c>
      <c r="AZ1395" t="s">
        <v>3750</v>
      </c>
      <c r="BA1395" t="s">
        <v>67</v>
      </c>
      <c r="BB1395" t="s">
        <v>3751</v>
      </c>
      <c r="BC1395" t="s">
        <v>204</v>
      </c>
      <c r="BD1395" t="s">
        <v>79</v>
      </c>
      <c r="BE1395" t="s">
        <v>1231</v>
      </c>
      <c r="BF1395" s="5">
        <v>47239</v>
      </c>
      <c r="BH1395">
        <v>1</v>
      </c>
      <c r="BI1395" s="6">
        <v>610000</v>
      </c>
      <c r="BJ1395" s="6">
        <v>37</v>
      </c>
      <c r="BK1395" s="6">
        <v>225700</v>
      </c>
      <c r="BL1395" s="6">
        <v>384300</v>
      </c>
      <c r="BM1395" s="2">
        <v>384300</v>
      </c>
      <c r="BN1395">
        <f>InvoiceTable[[#This Row],[Giảm giá]]*InvoiceTable[[#This Row],[Số lượng]]</f>
        <v>225700</v>
      </c>
    </row>
    <row r="1396" spans="1:66" x14ac:dyDescent="0.25">
      <c r="A1396" t="s">
        <v>65</v>
      </c>
      <c r="B1396" t="s">
        <v>3752</v>
      </c>
      <c r="F1396" s="2"/>
      <c r="G1396" s="3">
        <v>46002.39845385417</v>
      </c>
      <c r="H1396" s="3">
        <v>46002.398453969909</v>
      </c>
      <c r="I1396" s="4" t="s">
        <v>67</v>
      </c>
      <c r="J1396" t="s">
        <v>3753</v>
      </c>
      <c r="K1396" t="s">
        <v>67</v>
      </c>
      <c r="L1396" t="s">
        <v>1368</v>
      </c>
      <c r="M1396" t="s">
        <v>1369</v>
      </c>
      <c r="N1396" t="s">
        <v>67</v>
      </c>
      <c r="O1396" t="s">
        <v>1370</v>
      </c>
      <c r="Q1396" t="s">
        <v>67</v>
      </c>
      <c r="R1396" t="s">
        <v>67</v>
      </c>
      <c r="S1396" s="5"/>
      <c r="T1396" t="s">
        <v>72</v>
      </c>
      <c r="U1396" t="s">
        <v>87</v>
      </c>
      <c r="V1396" t="s">
        <v>74</v>
      </c>
      <c r="W1396" t="s">
        <v>87</v>
      </c>
      <c r="AE1396" s="2"/>
      <c r="AF1396" s="2"/>
      <c r="AG1396" s="2"/>
      <c r="AH1396" s="2"/>
      <c r="AL1396" s="2">
        <v>1055590</v>
      </c>
      <c r="AM1396" s="2">
        <v>0</v>
      </c>
      <c r="AN1396" s="2"/>
      <c r="AO1396" s="2">
        <v>0</v>
      </c>
      <c r="AP1396" s="2">
        <v>1055590</v>
      </c>
      <c r="AQ1396" s="2">
        <v>0</v>
      </c>
      <c r="AR1396" s="2">
        <v>0</v>
      </c>
      <c r="AS1396" s="2">
        <v>0</v>
      </c>
      <c r="AT1396" s="2">
        <v>0</v>
      </c>
      <c r="AU1396" s="2">
        <v>0</v>
      </c>
      <c r="AV1396" s="2">
        <v>0</v>
      </c>
      <c r="AW1396" s="4"/>
      <c r="AX1396" t="s">
        <v>75</v>
      </c>
      <c r="AZ1396" t="s">
        <v>88</v>
      </c>
      <c r="BB1396" t="s">
        <v>89</v>
      </c>
      <c r="BC1396" t="s">
        <v>90</v>
      </c>
      <c r="BF1396" s="5"/>
      <c r="BG1396" t="s">
        <v>67</v>
      </c>
      <c r="BH1396">
        <v>1</v>
      </c>
      <c r="BI1396" s="6">
        <v>34000</v>
      </c>
      <c r="BJ1396" s="6">
        <v>0</v>
      </c>
      <c r="BK1396" s="6">
        <v>0</v>
      </c>
      <c r="BL1396" s="6">
        <v>34000</v>
      </c>
      <c r="BM1396" s="2">
        <v>34000</v>
      </c>
      <c r="BN1396">
        <f>InvoiceTable[[#This Row],[Giảm giá]]*InvoiceTable[[#This Row],[Số lượng]]</f>
        <v>0</v>
      </c>
    </row>
    <row r="1397" spans="1:66" x14ac:dyDescent="0.25">
      <c r="A1397" t="s">
        <v>65</v>
      </c>
      <c r="B1397" t="s">
        <v>3752</v>
      </c>
      <c r="F1397" s="2"/>
      <c r="G1397" s="3">
        <v>46002.39845385417</v>
      </c>
      <c r="H1397" s="3">
        <v>46002.398453969909</v>
      </c>
      <c r="I1397" s="4" t="s">
        <v>67</v>
      </c>
      <c r="J1397" t="s">
        <v>3753</v>
      </c>
      <c r="K1397" t="s">
        <v>67</v>
      </c>
      <c r="L1397" t="s">
        <v>1368</v>
      </c>
      <c r="M1397" t="s">
        <v>1369</v>
      </c>
      <c r="N1397" t="s">
        <v>67</v>
      </c>
      <c r="O1397" t="s">
        <v>1370</v>
      </c>
      <c r="Q1397" t="s">
        <v>67</v>
      </c>
      <c r="R1397" t="s">
        <v>67</v>
      </c>
      <c r="S1397" s="5"/>
      <c r="T1397" t="s">
        <v>72</v>
      </c>
      <c r="U1397" t="s">
        <v>87</v>
      </c>
      <c r="V1397" t="s">
        <v>74</v>
      </c>
      <c r="W1397" t="s">
        <v>87</v>
      </c>
      <c r="AE1397" s="2"/>
      <c r="AF1397" s="2"/>
      <c r="AG1397" s="2"/>
      <c r="AH1397" s="2"/>
      <c r="AL1397" s="2">
        <v>1055590</v>
      </c>
      <c r="AM1397" s="2">
        <v>0</v>
      </c>
      <c r="AN1397" s="2"/>
      <c r="AO1397" s="2">
        <v>0</v>
      </c>
      <c r="AP1397" s="2">
        <v>1055590</v>
      </c>
      <c r="AQ1397" s="2">
        <v>0</v>
      </c>
      <c r="AR1397" s="2">
        <v>0</v>
      </c>
      <c r="AS1397" s="2">
        <v>0</v>
      </c>
      <c r="AT1397" s="2">
        <v>0</v>
      </c>
      <c r="AU1397" s="2">
        <v>0</v>
      </c>
      <c r="AV1397" s="2">
        <v>0</v>
      </c>
      <c r="AW1397" s="4"/>
      <c r="AX1397" t="s">
        <v>75</v>
      </c>
      <c r="AZ1397" t="s">
        <v>1784</v>
      </c>
      <c r="BA1397" t="s">
        <v>67</v>
      </c>
      <c r="BB1397" t="s">
        <v>1785</v>
      </c>
      <c r="BC1397" t="s">
        <v>1786</v>
      </c>
      <c r="BD1397" t="s">
        <v>79</v>
      </c>
      <c r="BE1397" t="s">
        <v>378</v>
      </c>
      <c r="BF1397" s="5">
        <v>46997</v>
      </c>
      <c r="BH1397">
        <v>1</v>
      </c>
      <c r="BI1397" s="6">
        <v>972000</v>
      </c>
      <c r="BJ1397" s="6">
        <v>38</v>
      </c>
      <c r="BK1397" s="6">
        <v>369360</v>
      </c>
      <c r="BL1397" s="6">
        <v>602640</v>
      </c>
      <c r="BM1397" s="2">
        <v>602640</v>
      </c>
      <c r="BN1397">
        <f>InvoiceTable[[#This Row],[Giảm giá]]*InvoiceTable[[#This Row],[Số lượng]]</f>
        <v>369360</v>
      </c>
    </row>
    <row r="1398" spans="1:66" x14ac:dyDescent="0.25">
      <c r="A1398" t="s">
        <v>65</v>
      </c>
      <c r="B1398" t="s">
        <v>3752</v>
      </c>
      <c r="F1398" s="2"/>
      <c r="G1398" s="3">
        <v>46002.39845385417</v>
      </c>
      <c r="H1398" s="3">
        <v>46002.398453969909</v>
      </c>
      <c r="I1398" s="4" t="s">
        <v>67</v>
      </c>
      <c r="J1398" t="s">
        <v>3753</v>
      </c>
      <c r="K1398" t="s">
        <v>67</v>
      </c>
      <c r="L1398" t="s">
        <v>1368</v>
      </c>
      <c r="M1398" t="s">
        <v>1369</v>
      </c>
      <c r="N1398" t="s">
        <v>67</v>
      </c>
      <c r="O1398" t="s">
        <v>1370</v>
      </c>
      <c r="Q1398" t="s">
        <v>67</v>
      </c>
      <c r="R1398" t="s">
        <v>67</v>
      </c>
      <c r="S1398" s="5"/>
      <c r="T1398" t="s">
        <v>72</v>
      </c>
      <c r="U1398" t="s">
        <v>87</v>
      </c>
      <c r="V1398" t="s">
        <v>74</v>
      </c>
      <c r="W1398" t="s">
        <v>87</v>
      </c>
      <c r="AE1398" s="2"/>
      <c r="AF1398" s="2"/>
      <c r="AG1398" s="2"/>
      <c r="AH1398" s="2"/>
      <c r="AL1398" s="2">
        <v>1055590</v>
      </c>
      <c r="AM1398" s="2">
        <v>0</v>
      </c>
      <c r="AN1398" s="2"/>
      <c r="AO1398" s="2">
        <v>0</v>
      </c>
      <c r="AP1398" s="2">
        <v>1055590</v>
      </c>
      <c r="AQ1398" s="2">
        <v>0</v>
      </c>
      <c r="AR1398" s="2">
        <v>0</v>
      </c>
      <c r="AS1398" s="2">
        <v>0</v>
      </c>
      <c r="AT1398" s="2">
        <v>0</v>
      </c>
      <c r="AU1398" s="2">
        <v>0</v>
      </c>
      <c r="AV1398" s="2">
        <v>0</v>
      </c>
      <c r="AW1398" s="4"/>
      <c r="AX1398" t="s">
        <v>75</v>
      </c>
      <c r="AZ1398" t="s">
        <v>3754</v>
      </c>
      <c r="BA1398" t="s">
        <v>67</v>
      </c>
      <c r="BB1398" t="s">
        <v>3755</v>
      </c>
      <c r="BC1398" t="s">
        <v>721</v>
      </c>
      <c r="BD1398" t="s">
        <v>79</v>
      </c>
      <c r="BE1398" t="s">
        <v>201</v>
      </c>
      <c r="BF1398" s="5">
        <v>46966</v>
      </c>
      <c r="BH1398">
        <v>1</v>
      </c>
      <c r="BI1398" s="6">
        <v>735000</v>
      </c>
      <c r="BJ1398" s="6">
        <v>43</v>
      </c>
      <c r="BK1398" s="6">
        <v>316050</v>
      </c>
      <c r="BL1398" s="6">
        <v>418950</v>
      </c>
      <c r="BM1398" s="2">
        <v>418950</v>
      </c>
      <c r="BN1398">
        <f>InvoiceTable[[#This Row],[Giảm giá]]*InvoiceTable[[#This Row],[Số lượng]]</f>
        <v>316050</v>
      </c>
    </row>
    <row r="1399" spans="1:66" x14ac:dyDescent="0.25">
      <c r="A1399" t="s">
        <v>65</v>
      </c>
      <c r="B1399" t="s">
        <v>3756</v>
      </c>
      <c r="F1399" s="2"/>
      <c r="G1399" s="3">
        <v>46002.395386770833</v>
      </c>
      <c r="H1399" s="3">
        <v>46002.395375266206</v>
      </c>
      <c r="I1399" s="4" t="s">
        <v>3493</v>
      </c>
      <c r="J1399" t="s">
        <v>67</v>
      </c>
      <c r="K1399" t="s">
        <v>67</v>
      </c>
      <c r="L1399" t="s">
        <v>914</v>
      </c>
      <c r="M1399" t="s">
        <v>915</v>
      </c>
      <c r="N1399" t="s">
        <v>916</v>
      </c>
      <c r="O1399" t="s">
        <v>917</v>
      </c>
      <c r="P1399" t="s">
        <v>918</v>
      </c>
      <c r="S1399" s="5"/>
      <c r="T1399" t="s">
        <v>72</v>
      </c>
      <c r="U1399" t="s">
        <v>87</v>
      </c>
      <c r="V1399" t="s">
        <v>74</v>
      </c>
      <c r="W1399" t="s">
        <v>87</v>
      </c>
      <c r="AE1399" s="2"/>
      <c r="AF1399" s="2"/>
      <c r="AG1399" s="2"/>
      <c r="AH1399" s="2"/>
      <c r="AK1399" t="s">
        <v>3757</v>
      </c>
      <c r="AL1399" s="2">
        <v>848000</v>
      </c>
      <c r="AM1399" s="2">
        <v>0</v>
      </c>
      <c r="AN1399" s="2"/>
      <c r="AO1399" s="2">
        <v>0</v>
      </c>
      <c r="AP1399" s="2">
        <v>848000</v>
      </c>
      <c r="AQ1399" s="2">
        <v>0</v>
      </c>
      <c r="AR1399" s="2">
        <v>0</v>
      </c>
      <c r="AS1399" s="2">
        <v>0</v>
      </c>
      <c r="AT1399" s="2">
        <v>0</v>
      </c>
      <c r="AU1399" s="2">
        <v>0</v>
      </c>
      <c r="AV1399" s="2">
        <v>0</v>
      </c>
      <c r="AW1399" s="4"/>
      <c r="AX1399" t="s">
        <v>75</v>
      </c>
      <c r="AZ1399" t="s">
        <v>958</v>
      </c>
      <c r="BA1399" t="s">
        <v>67</v>
      </c>
      <c r="BB1399" t="s">
        <v>959</v>
      </c>
      <c r="BC1399" t="s">
        <v>960</v>
      </c>
      <c r="BD1399" t="s">
        <v>79</v>
      </c>
      <c r="BE1399" t="s">
        <v>324</v>
      </c>
      <c r="BF1399" s="5">
        <v>47058</v>
      </c>
      <c r="BH1399">
        <v>1</v>
      </c>
      <c r="BI1399" s="6">
        <v>1600000</v>
      </c>
      <c r="BJ1399" s="6">
        <v>47</v>
      </c>
      <c r="BK1399" s="6">
        <v>752000</v>
      </c>
      <c r="BL1399" s="6">
        <v>848000</v>
      </c>
      <c r="BM1399" s="2">
        <v>848000</v>
      </c>
      <c r="BN1399">
        <f>InvoiceTable[[#This Row],[Giảm giá]]*InvoiceTable[[#This Row],[Số lượng]]</f>
        <v>752000</v>
      </c>
    </row>
    <row r="1400" spans="1:66" x14ac:dyDescent="0.25">
      <c r="A1400" t="s">
        <v>65</v>
      </c>
      <c r="B1400" t="s">
        <v>3758</v>
      </c>
      <c r="F1400" s="2"/>
      <c r="G1400" s="3">
        <v>46001.737808182872</v>
      </c>
      <c r="H1400" s="3">
        <v>46001.737808298611</v>
      </c>
      <c r="I1400" s="4" t="s">
        <v>67</v>
      </c>
      <c r="J1400" t="s">
        <v>3759</v>
      </c>
      <c r="K1400" t="s">
        <v>67</v>
      </c>
      <c r="L1400" t="s">
        <v>963</v>
      </c>
      <c r="M1400" t="s">
        <v>964</v>
      </c>
      <c r="N1400" t="s">
        <v>67</v>
      </c>
      <c r="O1400" t="s">
        <v>965</v>
      </c>
      <c r="P1400" t="s">
        <v>966</v>
      </c>
      <c r="Q1400" t="s">
        <v>67</v>
      </c>
      <c r="R1400" t="s">
        <v>67</v>
      </c>
      <c r="S1400" s="5"/>
      <c r="T1400" t="s">
        <v>72</v>
      </c>
      <c r="U1400" t="s">
        <v>102</v>
      </c>
      <c r="V1400" t="s">
        <v>74</v>
      </c>
      <c r="W1400" t="s">
        <v>87</v>
      </c>
      <c r="AE1400" s="2"/>
      <c r="AF1400" s="2"/>
      <c r="AG1400" s="2"/>
      <c r="AH1400" s="2"/>
      <c r="AL1400" s="2">
        <v>1800000</v>
      </c>
      <c r="AM1400" s="2">
        <v>0</v>
      </c>
      <c r="AN1400" s="2"/>
      <c r="AO1400" s="2">
        <v>0</v>
      </c>
      <c r="AP1400" s="2">
        <v>1800000</v>
      </c>
      <c r="AQ1400" s="2">
        <v>1800000</v>
      </c>
      <c r="AR1400" s="2">
        <v>1800000</v>
      </c>
      <c r="AS1400" s="2">
        <v>0</v>
      </c>
      <c r="AT1400" s="2">
        <v>0</v>
      </c>
      <c r="AU1400" s="2">
        <v>0</v>
      </c>
      <c r="AV1400" s="2">
        <v>0</v>
      </c>
      <c r="AW1400" s="4"/>
      <c r="AX1400" t="s">
        <v>75</v>
      </c>
      <c r="AZ1400" t="s">
        <v>1136</v>
      </c>
      <c r="BB1400" t="s">
        <v>1137</v>
      </c>
      <c r="BC1400" t="s">
        <v>902</v>
      </c>
      <c r="BD1400" t="s">
        <v>79</v>
      </c>
      <c r="BE1400" t="s">
        <v>2489</v>
      </c>
      <c r="BF1400" s="5">
        <v>46984</v>
      </c>
      <c r="BG1400" t="s">
        <v>67</v>
      </c>
      <c r="BH1400">
        <v>1</v>
      </c>
      <c r="BI1400" s="6">
        <v>2000000</v>
      </c>
      <c r="BJ1400" s="6">
        <v>0</v>
      </c>
      <c r="BK1400" s="6">
        <v>200000</v>
      </c>
      <c r="BL1400" s="6">
        <v>1800000</v>
      </c>
      <c r="BM1400" s="2">
        <v>1800000</v>
      </c>
      <c r="BN1400">
        <f>InvoiceTable[[#This Row],[Giảm giá]]*InvoiceTable[[#This Row],[Số lượng]]</f>
        <v>200000</v>
      </c>
    </row>
    <row r="1401" spans="1:66" x14ac:dyDescent="0.25">
      <c r="A1401" t="s">
        <v>65</v>
      </c>
      <c r="B1401" t="s">
        <v>3760</v>
      </c>
      <c r="F1401" s="2"/>
      <c r="G1401" s="3">
        <v>46001.734502743057</v>
      </c>
      <c r="H1401" s="3">
        <v>46001.734502974534</v>
      </c>
      <c r="I1401" s="4" t="s">
        <v>67</v>
      </c>
      <c r="J1401" t="s">
        <v>67</v>
      </c>
      <c r="K1401" t="s">
        <v>67</v>
      </c>
      <c r="L1401" t="s">
        <v>3761</v>
      </c>
      <c r="M1401" t="s">
        <v>3762</v>
      </c>
      <c r="N1401" t="s">
        <v>67</v>
      </c>
      <c r="O1401" t="s">
        <v>3763</v>
      </c>
      <c r="P1401" t="s">
        <v>3764</v>
      </c>
      <c r="Q1401" t="s">
        <v>67</v>
      </c>
      <c r="R1401" t="s">
        <v>67</v>
      </c>
      <c r="S1401" s="5"/>
      <c r="T1401" t="s">
        <v>72</v>
      </c>
      <c r="U1401" t="s">
        <v>87</v>
      </c>
      <c r="V1401" t="s">
        <v>74</v>
      </c>
      <c r="W1401" t="s">
        <v>87</v>
      </c>
      <c r="AE1401" s="2"/>
      <c r="AF1401" s="2"/>
      <c r="AG1401" s="2"/>
      <c r="AH1401" s="2"/>
      <c r="AL1401" s="2">
        <v>4900000</v>
      </c>
      <c r="AM1401" s="2">
        <v>0</v>
      </c>
      <c r="AN1401" s="2"/>
      <c r="AO1401" s="2">
        <v>0</v>
      </c>
      <c r="AP1401" s="2">
        <v>4900000</v>
      </c>
      <c r="AQ1401" s="2">
        <v>0</v>
      </c>
      <c r="AR1401" s="2">
        <v>0</v>
      </c>
      <c r="AS1401" s="2">
        <v>0</v>
      </c>
      <c r="AT1401" s="2">
        <v>0</v>
      </c>
      <c r="AU1401" s="2">
        <v>0</v>
      </c>
      <c r="AV1401" s="2">
        <v>0</v>
      </c>
      <c r="AW1401" s="4"/>
      <c r="AX1401" t="s">
        <v>75</v>
      </c>
      <c r="AZ1401" t="s">
        <v>623</v>
      </c>
      <c r="BA1401" t="s">
        <v>67</v>
      </c>
      <c r="BB1401" t="s">
        <v>624</v>
      </c>
      <c r="BC1401" t="s">
        <v>622</v>
      </c>
      <c r="BD1401" t="s">
        <v>79</v>
      </c>
      <c r="BE1401" t="s">
        <v>117</v>
      </c>
      <c r="BF1401" s="5">
        <v>46569</v>
      </c>
      <c r="BG1401" t="s">
        <v>67</v>
      </c>
      <c r="BH1401">
        <v>1</v>
      </c>
      <c r="BI1401" s="6">
        <v>6850000</v>
      </c>
      <c r="BJ1401" s="6">
        <v>0</v>
      </c>
      <c r="BK1401" s="6">
        <v>1950000</v>
      </c>
      <c r="BL1401" s="6">
        <v>4900000</v>
      </c>
      <c r="BM1401" s="2">
        <v>4900000</v>
      </c>
      <c r="BN1401">
        <f>InvoiceTable[[#This Row],[Giảm giá]]*InvoiceTable[[#This Row],[Số lượng]]</f>
        <v>1950000</v>
      </c>
    </row>
    <row r="1402" spans="1:66" x14ac:dyDescent="0.25">
      <c r="A1402" t="s">
        <v>65</v>
      </c>
      <c r="B1402" t="s">
        <v>3765</v>
      </c>
      <c r="F1402" s="2"/>
      <c r="G1402" s="3">
        <v>46001.730753356482</v>
      </c>
      <c r="H1402" s="3">
        <v>46001.73075347222</v>
      </c>
      <c r="I1402" s="4" t="s">
        <v>67</v>
      </c>
      <c r="J1402" t="s">
        <v>67</v>
      </c>
      <c r="K1402" t="s">
        <v>67</v>
      </c>
      <c r="L1402" t="s">
        <v>1203</v>
      </c>
      <c r="M1402" t="s">
        <v>1204</v>
      </c>
      <c r="N1402" t="s">
        <v>1205</v>
      </c>
      <c r="O1402" t="s">
        <v>1206</v>
      </c>
      <c r="P1402" t="s">
        <v>1207</v>
      </c>
      <c r="S1402" s="5"/>
      <c r="T1402" t="s">
        <v>72</v>
      </c>
      <c r="U1402" t="s">
        <v>87</v>
      </c>
      <c r="V1402" t="s">
        <v>74</v>
      </c>
      <c r="W1402" t="s">
        <v>87</v>
      </c>
      <c r="AE1402" s="2"/>
      <c r="AF1402" s="2"/>
      <c r="AG1402" s="2"/>
      <c r="AH1402" s="2"/>
      <c r="AL1402" s="2">
        <v>324800</v>
      </c>
      <c r="AM1402" s="2">
        <v>0</v>
      </c>
      <c r="AN1402" s="2"/>
      <c r="AO1402" s="2">
        <v>0</v>
      </c>
      <c r="AP1402" s="2">
        <v>324800</v>
      </c>
      <c r="AQ1402" s="2">
        <v>324800</v>
      </c>
      <c r="AR1402" s="2">
        <v>0</v>
      </c>
      <c r="AS1402" s="2">
        <v>0</v>
      </c>
      <c r="AT1402" s="2">
        <v>0</v>
      </c>
      <c r="AU1402" s="2">
        <v>324800</v>
      </c>
      <c r="AV1402" s="2">
        <v>0</v>
      </c>
      <c r="AW1402" s="4"/>
      <c r="AX1402" t="s">
        <v>75</v>
      </c>
      <c r="AZ1402" t="s">
        <v>1217</v>
      </c>
      <c r="BA1402" t="s">
        <v>67</v>
      </c>
      <c r="BB1402" t="s">
        <v>1218</v>
      </c>
      <c r="BC1402" t="s">
        <v>1219</v>
      </c>
      <c r="BD1402" t="s">
        <v>79</v>
      </c>
      <c r="BE1402" t="s">
        <v>1220</v>
      </c>
      <c r="BF1402" s="5">
        <v>46952</v>
      </c>
      <c r="BG1402" t="s">
        <v>67</v>
      </c>
      <c r="BH1402">
        <v>1</v>
      </c>
      <c r="BI1402" s="6">
        <v>560000</v>
      </c>
      <c r="BJ1402" s="6">
        <v>42</v>
      </c>
      <c r="BK1402" s="6">
        <v>235200</v>
      </c>
      <c r="BL1402" s="6">
        <v>324800</v>
      </c>
      <c r="BM1402" s="2">
        <v>324800</v>
      </c>
      <c r="BN1402">
        <f>InvoiceTable[[#This Row],[Giảm giá]]*InvoiceTable[[#This Row],[Số lượng]]</f>
        <v>235200</v>
      </c>
    </row>
    <row r="1403" spans="1:66" x14ac:dyDescent="0.25">
      <c r="A1403" t="s">
        <v>65</v>
      </c>
      <c r="B1403" t="s">
        <v>3766</v>
      </c>
      <c r="F1403" s="2"/>
      <c r="G1403" s="3">
        <v>46001.730345833334</v>
      </c>
      <c r="H1403" s="3">
        <v>46001.730345949072</v>
      </c>
      <c r="I1403" s="4" t="s">
        <v>3767</v>
      </c>
      <c r="J1403" t="s">
        <v>67</v>
      </c>
      <c r="K1403" t="s">
        <v>3768</v>
      </c>
      <c r="L1403" t="s">
        <v>1203</v>
      </c>
      <c r="M1403" t="s">
        <v>1204</v>
      </c>
      <c r="N1403" t="s">
        <v>1205</v>
      </c>
      <c r="O1403" t="s">
        <v>1206</v>
      </c>
      <c r="P1403" t="s">
        <v>1207</v>
      </c>
      <c r="S1403" s="5"/>
      <c r="T1403" t="s">
        <v>72</v>
      </c>
      <c r="U1403" t="s">
        <v>87</v>
      </c>
      <c r="V1403" t="s">
        <v>74</v>
      </c>
      <c r="W1403" t="s">
        <v>87</v>
      </c>
      <c r="AE1403" s="2"/>
      <c r="AF1403" s="2"/>
      <c r="AG1403" s="2"/>
      <c r="AH1403" s="2"/>
      <c r="AL1403" s="2">
        <v>1282000</v>
      </c>
      <c r="AM1403" s="2">
        <v>0</v>
      </c>
      <c r="AN1403" s="2"/>
      <c r="AO1403" s="2">
        <v>0</v>
      </c>
      <c r="AP1403" s="2">
        <v>1282000</v>
      </c>
      <c r="AQ1403" s="2">
        <v>180000</v>
      </c>
      <c r="AR1403" s="2">
        <v>0</v>
      </c>
      <c r="AS1403" s="2">
        <v>0</v>
      </c>
      <c r="AT1403" s="2">
        <v>0</v>
      </c>
      <c r="AU1403" s="2">
        <v>180000</v>
      </c>
      <c r="AV1403" s="2">
        <v>0</v>
      </c>
      <c r="AW1403" s="4"/>
      <c r="AX1403" t="s">
        <v>75</v>
      </c>
      <c r="AZ1403" t="s">
        <v>3232</v>
      </c>
      <c r="BA1403" t="s">
        <v>67</v>
      </c>
      <c r="BB1403" t="s">
        <v>3233</v>
      </c>
      <c r="BC1403" t="s">
        <v>2169</v>
      </c>
      <c r="BD1403" t="s">
        <v>79</v>
      </c>
      <c r="BE1403" t="s">
        <v>117</v>
      </c>
      <c r="BF1403" s="5">
        <v>46569</v>
      </c>
      <c r="BH1403">
        <v>2</v>
      </c>
      <c r="BI1403" s="6">
        <v>950000</v>
      </c>
      <c r="BJ1403" s="6">
        <v>42</v>
      </c>
      <c r="BK1403" s="6">
        <v>399000</v>
      </c>
      <c r="BL1403" s="6">
        <v>551000</v>
      </c>
      <c r="BM1403" s="2">
        <v>1102000</v>
      </c>
      <c r="BN1403">
        <f>InvoiceTable[[#This Row],[Giảm giá]]*InvoiceTable[[#This Row],[Số lượng]]</f>
        <v>798000</v>
      </c>
    </row>
    <row r="1404" spans="1:66" x14ac:dyDescent="0.25">
      <c r="A1404" t="s">
        <v>65</v>
      </c>
      <c r="B1404" t="s">
        <v>3766</v>
      </c>
      <c r="F1404" s="2"/>
      <c r="G1404" s="3">
        <v>46001.730345833334</v>
      </c>
      <c r="H1404" s="3">
        <v>46001.730345949072</v>
      </c>
      <c r="I1404" s="4" t="s">
        <v>3767</v>
      </c>
      <c r="J1404" t="s">
        <v>67</v>
      </c>
      <c r="K1404" t="s">
        <v>3768</v>
      </c>
      <c r="L1404" t="s">
        <v>1203</v>
      </c>
      <c r="M1404" t="s">
        <v>1204</v>
      </c>
      <c r="N1404" t="s">
        <v>1205</v>
      </c>
      <c r="O1404" t="s">
        <v>1206</v>
      </c>
      <c r="P1404" t="s">
        <v>1207</v>
      </c>
      <c r="S1404" s="5"/>
      <c r="T1404" t="s">
        <v>72</v>
      </c>
      <c r="U1404" t="s">
        <v>87</v>
      </c>
      <c r="V1404" t="s">
        <v>74</v>
      </c>
      <c r="W1404" t="s">
        <v>87</v>
      </c>
      <c r="AE1404" s="2"/>
      <c r="AF1404" s="2"/>
      <c r="AG1404" s="2"/>
      <c r="AH1404" s="2"/>
      <c r="AL1404" s="2">
        <v>1282000</v>
      </c>
      <c r="AM1404" s="2">
        <v>0</v>
      </c>
      <c r="AN1404" s="2"/>
      <c r="AO1404" s="2">
        <v>0</v>
      </c>
      <c r="AP1404" s="2">
        <v>1282000</v>
      </c>
      <c r="AQ1404" s="2">
        <v>180000</v>
      </c>
      <c r="AR1404" s="2">
        <v>0</v>
      </c>
      <c r="AS1404" s="2">
        <v>0</v>
      </c>
      <c r="AT1404" s="2">
        <v>0</v>
      </c>
      <c r="AU1404" s="2">
        <v>180000</v>
      </c>
      <c r="AV1404" s="2">
        <v>0</v>
      </c>
      <c r="AW1404" s="4"/>
      <c r="AX1404" t="s">
        <v>75</v>
      </c>
      <c r="AZ1404" t="s">
        <v>199</v>
      </c>
      <c r="BA1404" t="s">
        <v>67</v>
      </c>
      <c r="BB1404" t="s">
        <v>200</v>
      </c>
      <c r="BC1404" t="s">
        <v>187</v>
      </c>
      <c r="BD1404" t="s">
        <v>79</v>
      </c>
      <c r="BE1404" t="s">
        <v>201</v>
      </c>
      <c r="BF1404" s="5">
        <v>46966</v>
      </c>
      <c r="BH1404">
        <v>1</v>
      </c>
      <c r="BI1404" s="6">
        <v>360000</v>
      </c>
      <c r="BJ1404" s="6">
        <v>50</v>
      </c>
      <c r="BK1404" s="6">
        <v>180000</v>
      </c>
      <c r="BL1404" s="6">
        <v>180000</v>
      </c>
      <c r="BM1404" s="2">
        <v>180000</v>
      </c>
      <c r="BN1404">
        <f>InvoiceTable[[#This Row],[Giảm giá]]*InvoiceTable[[#This Row],[Số lượng]]</f>
        <v>180000</v>
      </c>
    </row>
    <row r="1405" spans="1:66" x14ac:dyDescent="0.25">
      <c r="A1405" t="s">
        <v>65</v>
      </c>
      <c r="B1405" t="s">
        <v>3769</v>
      </c>
      <c r="F1405" s="2"/>
      <c r="G1405" s="3">
        <v>46001.71812109954</v>
      </c>
      <c r="H1405" s="3">
        <v>46001.718121261576</v>
      </c>
      <c r="I1405" s="4" t="s">
        <v>67</v>
      </c>
      <c r="J1405" t="s">
        <v>3770</v>
      </c>
      <c r="K1405" t="s">
        <v>67</v>
      </c>
      <c r="L1405" t="s">
        <v>2097</v>
      </c>
      <c r="M1405" t="s">
        <v>2098</v>
      </c>
      <c r="N1405" t="s">
        <v>67</v>
      </c>
      <c r="Q1405" t="s">
        <v>67</v>
      </c>
      <c r="R1405" t="s">
        <v>67</v>
      </c>
      <c r="S1405" s="5"/>
      <c r="T1405" t="s">
        <v>72</v>
      </c>
      <c r="U1405" t="s">
        <v>87</v>
      </c>
      <c r="V1405" t="s">
        <v>74</v>
      </c>
      <c r="W1405" t="s">
        <v>87</v>
      </c>
      <c r="AE1405" s="2"/>
      <c r="AF1405" s="2"/>
      <c r="AG1405" s="2"/>
      <c r="AH1405" s="2"/>
      <c r="AL1405" s="2">
        <v>10900000</v>
      </c>
      <c r="AM1405" s="2">
        <v>4142000</v>
      </c>
      <c r="AN1405" s="2"/>
      <c r="AO1405" s="2">
        <v>0</v>
      </c>
      <c r="AP1405" s="2">
        <v>6758000</v>
      </c>
      <c r="AQ1405" s="2">
        <v>0</v>
      </c>
      <c r="AR1405" s="2">
        <v>0</v>
      </c>
      <c r="AS1405" s="2">
        <v>0</v>
      </c>
      <c r="AT1405" s="2">
        <v>0</v>
      </c>
      <c r="AU1405" s="2">
        <v>0</v>
      </c>
      <c r="AV1405" s="2">
        <v>0</v>
      </c>
      <c r="AW1405" s="4"/>
      <c r="AX1405" t="s">
        <v>75</v>
      </c>
      <c r="AZ1405" t="s">
        <v>3771</v>
      </c>
      <c r="BA1405" t="s">
        <v>67</v>
      </c>
      <c r="BB1405" t="s">
        <v>3772</v>
      </c>
      <c r="BC1405" t="s">
        <v>1983</v>
      </c>
      <c r="BD1405" t="s">
        <v>79</v>
      </c>
      <c r="BE1405" t="s">
        <v>434</v>
      </c>
      <c r="BF1405" s="5">
        <v>46661</v>
      </c>
      <c r="BG1405" t="s">
        <v>67</v>
      </c>
      <c r="BH1405">
        <v>1</v>
      </c>
      <c r="BI1405" s="6">
        <v>2200000</v>
      </c>
      <c r="BJ1405" s="6">
        <v>0</v>
      </c>
      <c r="BK1405" s="6">
        <v>0</v>
      </c>
      <c r="BL1405" s="6">
        <v>2200000</v>
      </c>
      <c r="BM1405" s="2">
        <v>2200000</v>
      </c>
      <c r="BN1405">
        <f>InvoiceTable[[#This Row],[Giảm giá]]*InvoiceTable[[#This Row],[Số lượng]]</f>
        <v>0</v>
      </c>
    </row>
    <row r="1406" spans="1:66" x14ac:dyDescent="0.25">
      <c r="A1406" t="s">
        <v>65</v>
      </c>
      <c r="B1406" t="s">
        <v>3769</v>
      </c>
      <c r="F1406" s="2"/>
      <c r="G1406" s="3">
        <v>46001.71812109954</v>
      </c>
      <c r="H1406" s="3">
        <v>46001.718121261576</v>
      </c>
      <c r="I1406" s="4" t="s">
        <v>67</v>
      </c>
      <c r="J1406" t="s">
        <v>3770</v>
      </c>
      <c r="K1406" t="s">
        <v>67</v>
      </c>
      <c r="L1406" t="s">
        <v>2097</v>
      </c>
      <c r="M1406" t="s">
        <v>2098</v>
      </c>
      <c r="N1406" t="s">
        <v>67</v>
      </c>
      <c r="Q1406" t="s">
        <v>67</v>
      </c>
      <c r="R1406" t="s">
        <v>67</v>
      </c>
      <c r="S1406" s="5"/>
      <c r="T1406" t="s">
        <v>72</v>
      </c>
      <c r="U1406" t="s">
        <v>87</v>
      </c>
      <c r="V1406" t="s">
        <v>74</v>
      </c>
      <c r="W1406" t="s">
        <v>87</v>
      </c>
      <c r="AE1406" s="2"/>
      <c r="AF1406" s="2"/>
      <c r="AG1406" s="2"/>
      <c r="AH1406" s="2"/>
      <c r="AL1406" s="2">
        <v>10900000</v>
      </c>
      <c r="AM1406" s="2">
        <v>4142000</v>
      </c>
      <c r="AN1406" s="2"/>
      <c r="AO1406" s="2">
        <v>0</v>
      </c>
      <c r="AP1406" s="2">
        <v>6758000</v>
      </c>
      <c r="AQ1406" s="2">
        <v>0</v>
      </c>
      <c r="AR1406" s="2">
        <v>0</v>
      </c>
      <c r="AS1406" s="2">
        <v>0</v>
      </c>
      <c r="AT1406" s="2">
        <v>0</v>
      </c>
      <c r="AU1406" s="2">
        <v>0</v>
      </c>
      <c r="AV1406" s="2">
        <v>0</v>
      </c>
      <c r="AW1406" s="4"/>
      <c r="AX1406" t="s">
        <v>75</v>
      </c>
      <c r="AZ1406" t="s">
        <v>3773</v>
      </c>
      <c r="BA1406" t="s">
        <v>67</v>
      </c>
      <c r="BB1406" t="s">
        <v>3774</v>
      </c>
      <c r="BC1406" t="s">
        <v>1983</v>
      </c>
      <c r="BD1406" t="s">
        <v>79</v>
      </c>
      <c r="BE1406" t="s">
        <v>198</v>
      </c>
      <c r="BF1406" s="5">
        <v>46753</v>
      </c>
      <c r="BG1406" t="s">
        <v>67</v>
      </c>
      <c r="BH1406">
        <v>1</v>
      </c>
      <c r="BI1406" s="6">
        <v>1700000</v>
      </c>
      <c r="BJ1406" s="6">
        <v>0</v>
      </c>
      <c r="BK1406" s="6">
        <v>0</v>
      </c>
      <c r="BL1406" s="6">
        <v>1700000</v>
      </c>
      <c r="BM1406" s="2">
        <v>1700000</v>
      </c>
      <c r="BN1406">
        <f>InvoiceTable[[#This Row],[Giảm giá]]*InvoiceTable[[#This Row],[Số lượng]]</f>
        <v>0</v>
      </c>
    </row>
    <row r="1407" spans="1:66" x14ac:dyDescent="0.25">
      <c r="A1407" t="s">
        <v>65</v>
      </c>
      <c r="B1407" t="s">
        <v>3769</v>
      </c>
      <c r="F1407" s="2"/>
      <c r="G1407" s="3">
        <v>46001.71812109954</v>
      </c>
      <c r="H1407" s="3">
        <v>46001.718121261576</v>
      </c>
      <c r="I1407" s="4" t="s">
        <v>67</v>
      </c>
      <c r="J1407" t="s">
        <v>3770</v>
      </c>
      <c r="K1407" t="s">
        <v>67</v>
      </c>
      <c r="L1407" t="s">
        <v>2097</v>
      </c>
      <c r="M1407" t="s">
        <v>2098</v>
      </c>
      <c r="N1407" t="s">
        <v>67</v>
      </c>
      <c r="Q1407" t="s">
        <v>67</v>
      </c>
      <c r="R1407" t="s">
        <v>67</v>
      </c>
      <c r="S1407" s="5"/>
      <c r="T1407" t="s">
        <v>72</v>
      </c>
      <c r="U1407" t="s">
        <v>87</v>
      </c>
      <c r="V1407" t="s">
        <v>74</v>
      </c>
      <c r="W1407" t="s">
        <v>87</v>
      </c>
      <c r="AE1407" s="2"/>
      <c r="AF1407" s="2"/>
      <c r="AG1407" s="2"/>
      <c r="AH1407" s="2"/>
      <c r="AL1407" s="2">
        <v>10900000</v>
      </c>
      <c r="AM1407" s="2">
        <v>4142000</v>
      </c>
      <c r="AN1407" s="2"/>
      <c r="AO1407" s="2">
        <v>0</v>
      </c>
      <c r="AP1407" s="2">
        <v>6758000</v>
      </c>
      <c r="AQ1407" s="2">
        <v>0</v>
      </c>
      <c r="AR1407" s="2">
        <v>0</v>
      </c>
      <c r="AS1407" s="2">
        <v>0</v>
      </c>
      <c r="AT1407" s="2">
        <v>0</v>
      </c>
      <c r="AU1407" s="2">
        <v>0</v>
      </c>
      <c r="AV1407" s="2">
        <v>0</v>
      </c>
      <c r="AW1407" s="4"/>
      <c r="AX1407" t="s">
        <v>75</v>
      </c>
      <c r="AZ1407" t="s">
        <v>3775</v>
      </c>
      <c r="BA1407" t="s">
        <v>67</v>
      </c>
      <c r="BB1407" t="s">
        <v>3776</v>
      </c>
      <c r="BC1407" t="s">
        <v>1983</v>
      </c>
      <c r="BD1407" t="s">
        <v>79</v>
      </c>
      <c r="BE1407" t="s">
        <v>139</v>
      </c>
      <c r="BF1407" s="5">
        <v>46447</v>
      </c>
      <c r="BG1407" t="s">
        <v>67</v>
      </c>
      <c r="BH1407">
        <v>1</v>
      </c>
      <c r="BI1407" s="6">
        <v>2200000</v>
      </c>
      <c r="BJ1407" s="6">
        <v>0</v>
      </c>
      <c r="BK1407" s="6">
        <v>0</v>
      </c>
      <c r="BL1407" s="6">
        <v>2200000</v>
      </c>
      <c r="BM1407" s="2">
        <v>2200000</v>
      </c>
      <c r="BN1407">
        <f>InvoiceTable[[#This Row],[Giảm giá]]*InvoiceTable[[#This Row],[Số lượng]]</f>
        <v>0</v>
      </c>
    </row>
    <row r="1408" spans="1:66" x14ac:dyDescent="0.25">
      <c r="A1408" t="s">
        <v>65</v>
      </c>
      <c r="B1408" t="s">
        <v>3769</v>
      </c>
      <c r="F1408" s="2"/>
      <c r="G1408" s="3">
        <v>46001.71812109954</v>
      </c>
      <c r="H1408" s="3">
        <v>46001.718121261576</v>
      </c>
      <c r="I1408" s="4" t="s">
        <v>67</v>
      </c>
      <c r="J1408" t="s">
        <v>3770</v>
      </c>
      <c r="K1408" t="s">
        <v>67</v>
      </c>
      <c r="L1408" t="s">
        <v>2097</v>
      </c>
      <c r="M1408" t="s">
        <v>2098</v>
      </c>
      <c r="N1408" t="s">
        <v>67</v>
      </c>
      <c r="Q1408" t="s">
        <v>67</v>
      </c>
      <c r="R1408" t="s">
        <v>67</v>
      </c>
      <c r="S1408" s="5"/>
      <c r="T1408" t="s">
        <v>72</v>
      </c>
      <c r="U1408" t="s">
        <v>87</v>
      </c>
      <c r="V1408" t="s">
        <v>74</v>
      </c>
      <c r="W1408" t="s">
        <v>87</v>
      </c>
      <c r="AE1408" s="2"/>
      <c r="AF1408" s="2"/>
      <c r="AG1408" s="2"/>
      <c r="AH1408" s="2"/>
      <c r="AL1408" s="2">
        <v>10900000</v>
      </c>
      <c r="AM1408" s="2">
        <v>4142000</v>
      </c>
      <c r="AN1408" s="2"/>
      <c r="AO1408" s="2">
        <v>0</v>
      </c>
      <c r="AP1408" s="2">
        <v>6758000</v>
      </c>
      <c r="AQ1408" s="2">
        <v>0</v>
      </c>
      <c r="AR1408" s="2">
        <v>0</v>
      </c>
      <c r="AS1408" s="2">
        <v>0</v>
      </c>
      <c r="AT1408" s="2">
        <v>0</v>
      </c>
      <c r="AU1408" s="2">
        <v>0</v>
      </c>
      <c r="AV1408" s="2">
        <v>0</v>
      </c>
      <c r="AW1408" s="4"/>
      <c r="AX1408" t="s">
        <v>75</v>
      </c>
      <c r="AZ1408" t="s">
        <v>3777</v>
      </c>
      <c r="BA1408" t="s">
        <v>67</v>
      </c>
      <c r="BB1408" t="s">
        <v>3778</v>
      </c>
      <c r="BC1408" t="s">
        <v>1983</v>
      </c>
      <c r="BD1408" t="s">
        <v>79</v>
      </c>
      <c r="BE1408" t="s">
        <v>1035</v>
      </c>
      <c r="BF1408" s="5">
        <v>46204</v>
      </c>
      <c r="BG1408" t="s">
        <v>67</v>
      </c>
      <c r="BH1408">
        <v>1</v>
      </c>
      <c r="BI1408" s="6">
        <v>4800000</v>
      </c>
      <c r="BJ1408" s="6">
        <v>0</v>
      </c>
      <c r="BK1408" s="6">
        <v>0</v>
      </c>
      <c r="BL1408" s="6">
        <v>4800000</v>
      </c>
      <c r="BM1408" s="2">
        <v>4800000</v>
      </c>
      <c r="BN1408">
        <f>InvoiceTable[[#This Row],[Giảm giá]]*InvoiceTable[[#This Row],[Số lượng]]</f>
        <v>0</v>
      </c>
    </row>
    <row r="1409" spans="1:66" x14ac:dyDescent="0.25">
      <c r="A1409" t="s">
        <v>65</v>
      </c>
      <c r="B1409" t="s">
        <v>3779</v>
      </c>
      <c r="F1409" s="2"/>
      <c r="G1409" s="3">
        <v>46001.713918020832</v>
      </c>
      <c r="H1409" s="3">
        <v>46003.593611458331</v>
      </c>
      <c r="I1409" s="4" t="s">
        <v>67</v>
      </c>
      <c r="J1409" t="s">
        <v>67</v>
      </c>
      <c r="K1409" t="s">
        <v>67</v>
      </c>
      <c r="L1409" t="s">
        <v>3780</v>
      </c>
      <c r="M1409" t="s">
        <v>3781</v>
      </c>
      <c r="N1409" t="s">
        <v>67</v>
      </c>
      <c r="O1409" t="s">
        <v>3782</v>
      </c>
      <c r="P1409" t="s">
        <v>3783</v>
      </c>
      <c r="Q1409" t="s">
        <v>67</v>
      </c>
      <c r="R1409" t="s">
        <v>67</v>
      </c>
      <c r="S1409" s="5"/>
      <c r="T1409" t="s">
        <v>72</v>
      </c>
      <c r="U1409" t="s">
        <v>73</v>
      </c>
      <c r="V1409" t="s">
        <v>74</v>
      </c>
      <c r="W1409" t="s">
        <v>73</v>
      </c>
      <c r="AE1409" s="2"/>
      <c r="AF1409" s="2"/>
      <c r="AG1409" s="2"/>
      <c r="AH1409" s="2"/>
      <c r="AL1409" s="2">
        <v>1380000</v>
      </c>
      <c r="AM1409" s="2">
        <v>0</v>
      </c>
      <c r="AN1409" s="2"/>
      <c r="AO1409" s="2">
        <v>0</v>
      </c>
      <c r="AP1409" s="2">
        <v>1380000</v>
      </c>
      <c r="AQ1409" s="2">
        <v>1380000</v>
      </c>
      <c r="AR1409" s="2">
        <v>1380000</v>
      </c>
      <c r="AS1409" s="2">
        <v>0</v>
      </c>
      <c r="AT1409" s="2">
        <v>0</v>
      </c>
      <c r="AU1409" s="2">
        <v>0</v>
      </c>
      <c r="AV1409" s="2">
        <v>0</v>
      </c>
      <c r="AW1409" s="4"/>
      <c r="AX1409" t="s">
        <v>75</v>
      </c>
      <c r="AZ1409" t="s">
        <v>469</v>
      </c>
      <c r="BA1409" t="s">
        <v>67</v>
      </c>
      <c r="BB1409" t="s">
        <v>470</v>
      </c>
      <c r="BC1409" t="s">
        <v>223</v>
      </c>
      <c r="BD1409" t="s">
        <v>79</v>
      </c>
      <c r="BE1409" t="s">
        <v>117</v>
      </c>
      <c r="BF1409" s="5">
        <v>46569</v>
      </c>
      <c r="BH1409">
        <v>1</v>
      </c>
      <c r="BI1409" s="6">
        <v>2100000</v>
      </c>
      <c r="BJ1409" s="6">
        <v>0</v>
      </c>
      <c r="BK1409" s="6">
        <v>720000</v>
      </c>
      <c r="BL1409" s="6">
        <v>1380000</v>
      </c>
      <c r="BM1409" s="2">
        <v>1380000</v>
      </c>
      <c r="BN1409">
        <f>InvoiceTable[[#This Row],[Giảm giá]]*InvoiceTable[[#This Row],[Số lượng]]</f>
        <v>720000</v>
      </c>
    </row>
    <row r="1410" spans="1:66" x14ac:dyDescent="0.25">
      <c r="A1410" t="s">
        <v>65</v>
      </c>
      <c r="B1410" t="s">
        <v>3784</v>
      </c>
      <c r="F1410" s="2"/>
      <c r="G1410" s="3">
        <v>46001.711259178242</v>
      </c>
      <c r="H1410" s="3">
        <v>46001.711259340278</v>
      </c>
      <c r="I1410" s="4" t="s">
        <v>67</v>
      </c>
      <c r="J1410" t="s">
        <v>67</v>
      </c>
      <c r="K1410" t="s">
        <v>67</v>
      </c>
      <c r="L1410" t="s">
        <v>914</v>
      </c>
      <c r="M1410" t="s">
        <v>915</v>
      </c>
      <c r="N1410" t="s">
        <v>916</v>
      </c>
      <c r="O1410" t="s">
        <v>917</v>
      </c>
      <c r="P1410" t="s">
        <v>918</v>
      </c>
      <c r="S1410" s="5"/>
      <c r="T1410" t="s">
        <v>72</v>
      </c>
      <c r="U1410" t="s">
        <v>87</v>
      </c>
      <c r="V1410" t="s">
        <v>74</v>
      </c>
      <c r="W1410" t="s">
        <v>87</v>
      </c>
      <c r="AE1410" s="2"/>
      <c r="AF1410" s="2"/>
      <c r="AG1410" s="2"/>
      <c r="AH1410" s="2"/>
      <c r="AL1410" s="2">
        <v>1542600</v>
      </c>
      <c r="AM1410" s="2">
        <v>0</v>
      </c>
      <c r="AN1410" s="2"/>
      <c r="AO1410" s="2">
        <v>0</v>
      </c>
      <c r="AP1410" s="2">
        <v>1542600</v>
      </c>
      <c r="AQ1410" s="2">
        <v>0</v>
      </c>
      <c r="AR1410" s="2">
        <v>0</v>
      </c>
      <c r="AS1410" s="2">
        <v>0</v>
      </c>
      <c r="AT1410" s="2">
        <v>0</v>
      </c>
      <c r="AU1410" s="2">
        <v>0</v>
      </c>
      <c r="AV1410" s="2">
        <v>0</v>
      </c>
      <c r="AW1410" s="4"/>
      <c r="AX1410" t="s">
        <v>75</v>
      </c>
      <c r="AZ1410" t="s">
        <v>1212</v>
      </c>
      <c r="BA1410" t="s">
        <v>67</v>
      </c>
      <c r="BB1410" t="s">
        <v>1213</v>
      </c>
      <c r="BC1410" t="s">
        <v>770</v>
      </c>
      <c r="BD1410" t="s">
        <v>79</v>
      </c>
      <c r="BE1410" t="s">
        <v>1214</v>
      </c>
      <c r="BF1410" s="5">
        <v>47696</v>
      </c>
      <c r="BH1410">
        <v>1</v>
      </c>
      <c r="BI1410" s="6">
        <v>320000</v>
      </c>
      <c r="BJ1410" s="6">
        <v>32</v>
      </c>
      <c r="BK1410" s="6">
        <v>102400</v>
      </c>
      <c r="BL1410" s="6">
        <v>217600</v>
      </c>
      <c r="BM1410" s="2">
        <v>217600</v>
      </c>
      <c r="BN1410">
        <f>InvoiceTable[[#This Row],[Giảm giá]]*InvoiceTable[[#This Row],[Số lượng]]</f>
        <v>102400</v>
      </c>
    </row>
    <row r="1411" spans="1:66" x14ac:dyDescent="0.25">
      <c r="A1411" t="s">
        <v>65</v>
      </c>
      <c r="B1411" t="s">
        <v>3784</v>
      </c>
      <c r="F1411" s="2"/>
      <c r="G1411" s="3">
        <v>46001.711259178242</v>
      </c>
      <c r="H1411" s="3">
        <v>46001.711259340278</v>
      </c>
      <c r="I1411" s="4" t="s">
        <v>67</v>
      </c>
      <c r="J1411" t="s">
        <v>67</v>
      </c>
      <c r="K1411" t="s">
        <v>67</v>
      </c>
      <c r="L1411" t="s">
        <v>914</v>
      </c>
      <c r="M1411" t="s">
        <v>915</v>
      </c>
      <c r="N1411" t="s">
        <v>916</v>
      </c>
      <c r="O1411" t="s">
        <v>917</v>
      </c>
      <c r="P1411" t="s">
        <v>918</v>
      </c>
      <c r="S1411" s="5"/>
      <c r="T1411" t="s">
        <v>72</v>
      </c>
      <c r="U1411" t="s">
        <v>87</v>
      </c>
      <c r="V1411" t="s">
        <v>74</v>
      </c>
      <c r="W1411" t="s">
        <v>87</v>
      </c>
      <c r="AE1411" s="2"/>
      <c r="AF1411" s="2"/>
      <c r="AG1411" s="2"/>
      <c r="AH1411" s="2"/>
      <c r="AL1411" s="2">
        <v>1542600</v>
      </c>
      <c r="AM1411" s="2">
        <v>0</v>
      </c>
      <c r="AN1411" s="2"/>
      <c r="AO1411" s="2">
        <v>0</v>
      </c>
      <c r="AP1411" s="2">
        <v>1542600</v>
      </c>
      <c r="AQ1411" s="2">
        <v>0</v>
      </c>
      <c r="AR1411" s="2">
        <v>0</v>
      </c>
      <c r="AS1411" s="2">
        <v>0</v>
      </c>
      <c r="AT1411" s="2">
        <v>0</v>
      </c>
      <c r="AU1411" s="2">
        <v>0</v>
      </c>
      <c r="AV1411" s="2">
        <v>0</v>
      </c>
      <c r="AW1411" s="4"/>
      <c r="AX1411" t="s">
        <v>75</v>
      </c>
      <c r="AZ1411" t="s">
        <v>659</v>
      </c>
      <c r="BA1411" t="s">
        <v>67</v>
      </c>
      <c r="BB1411" t="s">
        <v>660</v>
      </c>
      <c r="BC1411" t="s">
        <v>223</v>
      </c>
      <c r="BD1411" t="s">
        <v>79</v>
      </c>
      <c r="BE1411" t="s">
        <v>661</v>
      </c>
      <c r="BF1411" s="5">
        <v>47025</v>
      </c>
      <c r="BH1411">
        <v>2</v>
      </c>
      <c r="BI1411" s="6">
        <v>1250000</v>
      </c>
      <c r="BJ1411" s="6">
        <v>47</v>
      </c>
      <c r="BK1411" s="6">
        <v>587500</v>
      </c>
      <c r="BL1411" s="6">
        <v>662500</v>
      </c>
      <c r="BM1411" s="2">
        <v>1325000</v>
      </c>
      <c r="BN1411">
        <f>InvoiceTable[[#This Row],[Giảm giá]]*InvoiceTable[[#This Row],[Số lượng]]</f>
        <v>1175000</v>
      </c>
    </row>
    <row r="1412" spans="1:66" x14ac:dyDescent="0.25">
      <c r="A1412" t="s">
        <v>65</v>
      </c>
      <c r="B1412" t="s">
        <v>3785</v>
      </c>
      <c r="F1412" s="2"/>
      <c r="G1412" s="3">
        <v>46001.700054976849</v>
      </c>
      <c r="H1412" s="3">
        <v>46001.69992777778</v>
      </c>
      <c r="I1412" s="4" t="s">
        <v>1682</v>
      </c>
      <c r="J1412" t="s">
        <v>67</v>
      </c>
      <c r="K1412" t="s">
        <v>67</v>
      </c>
      <c r="L1412" t="s">
        <v>654</v>
      </c>
      <c r="M1412" t="s">
        <v>655</v>
      </c>
      <c r="N1412" t="s">
        <v>67</v>
      </c>
      <c r="O1412" t="s">
        <v>656</v>
      </c>
      <c r="P1412" t="s">
        <v>657</v>
      </c>
      <c r="Q1412" t="s">
        <v>658</v>
      </c>
      <c r="R1412" t="s">
        <v>67</v>
      </c>
      <c r="S1412" s="5"/>
      <c r="T1412" t="s">
        <v>72</v>
      </c>
      <c r="U1412" t="s">
        <v>87</v>
      </c>
      <c r="V1412" t="s">
        <v>74</v>
      </c>
      <c r="W1412" t="s">
        <v>87</v>
      </c>
      <c r="AE1412" s="2"/>
      <c r="AF1412" s="2"/>
      <c r="AG1412" s="2"/>
      <c r="AH1412" s="2"/>
      <c r="AL1412" s="2">
        <v>10559400</v>
      </c>
      <c r="AM1412" s="2">
        <v>0</v>
      </c>
      <c r="AN1412" s="2"/>
      <c r="AO1412" s="2">
        <v>0</v>
      </c>
      <c r="AP1412" s="2">
        <v>10559400</v>
      </c>
      <c r="AQ1412" s="2">
        <v>0</v>
      </c>
      <c r="AR1412" s="2">
        <v>0</v>
      </c>
      <c r="AS1412" s="2">
        <v>0</v>
      </c>
      <c r="AT1412" s="2">
        <v>0</v>
      </c>
      <c r="AU1412" s="2">
        <v>0</v>
      </c>
      <c r="AV1412" s="2">
        <v>0</v>
      </c>
      <c r="AW1412" s="4"/>
      <c r="AX1412" t="s">
        <v>75</v>
      </c>
      <c r="AZ1412" t="s">
        <v>1599</v>
      </c>
      <c r="BA1412" t="s">
        <v>67</v>
      </c>
      <c r="BB1412" t="s">
        <v>1600</v>
      </c>
      <c r="BC1412" t="s">
        <v>1601</v>
      </c>
      <c r="BD1412" t="s">
        <v>79</v>
      </c>
      <c r="BE1412" t="s">
        <v>1035</v>
      </c>
      <c r="BF1412" s="5">
        <v>46204</v>
      </c>
      <c r="BH1412">
        <v>1</v>
      </c>
      <c r="BI1412" s="6">
        <v>599000</v>
      </c>
      <c r="BJ1412" s="6">
        <v>40</v>
      </c>
      <c r="BK1412" s="6">
        <v>239600</v>
      </c>
      <c r="BL1412" s="6">
        <v>359400</v>
      </c>
      <c r="BM1412" s="2">
        <v>359400</v>
      </c>
      <c r="BN1412">
        <f>InvoiceTable[[#This Row],[Giảm giá]]*InvoiceTable[[#This Row],[Số lượng]]</f>
        <v>239600</v>
      </c>
    </row>
    <row r="1413" spans="1:66" x14ac:dyDescent="0.25">
      <c r="A1413" t="s">
        <v>65</v>
      </c>
      <c r="B1413" t="s">
        <v>3785</v>
      </c>
      <c r="F1413" s="2"/>
      <c r="G1413" s="3">
        <v>46001.700054976849</v>
      </c>
      <c r="H1413" s="3">
        <v>46001.69992777778</v>
      </c>
      <c r="I1413" s="4" t="s">
        <v>1682</v>
      </c>
      <c r="J1413" t="s">
        <v>67</v>
      </c>
      <c r="K1413" t="s">
        <v>67</v>
      </c>
      <c r="L1413" t="s">
        <v>654</v>
      </c>
      <c r="M1413" t="s">
        <v>655</v>
      </c>
      <c r="N1413" t="s">
        <v>67</v>
      </c>
      <c r="O1413" t="s">
        <v>656</v>
      </c>
      <c r="P1413" t="s">
        <v>657</v>
      </c>
      <c r="Q1413" t="s">
        <v>658</v>
      </c>
      <c r="R1413" t="s">
        <v>67</v>
      </c>
      <c r="S1413" s="5"/>
      <c r="T1413" t="s">
        <v>72</v>
      </c>
      <c r="U1413" t="s">
        <v>87</v>
      </c>
      <c r="V1413" t="s">
        <v>74</v>
      </c>
      <c r="W1413" t="s">
        <v>87</v>
      </c>
      <c r="AE1413" s="2"/>
      <c r="AF1413" s="2"/>
      <c r="AG1413" s="2"/>
      <c r="AH1413" s="2"/>
      <c r="AL1413" s="2">
        <v>10559400</v>
      </c>
      <c r="AM1413" s="2">
        <v>0</v>
      </c>
      <c r="AN1413" s="2"/>
      <c r="AO1413" s="2">
        <v>0</v>
      </c>
      <c r="AP1413" s="2">
        <v>10559400</v>
      </c>
      <c r="AQ1413" s="2">
        <v>0</v>
      </c>
      <c r="AR1413" s="2">
        <v>0</v>
      </c>
      <c r="AS1413" s="2">
        <v>0</v>
      </c>
      <c r="AT1413" s="2">
        <v>0</v>
      </c>
      <c r="AU1413" s="2">
        <v>0</v>
      </c>
      <c r="AV1413" s="2">
        <v>0</v>
      </c>
      <c r="AW1413" s="4"/>
      <c r="AX1413" t="s">
        <v>75</v>
      </c>
      <c r="AZ1413" t="s">
        <v>3348</v>
      </c>
      <c r="BA1413" t="s">
        <v>67</v>
      </c>
      <c r="BB1413" t="s">
        <v>3349</v>
      </c>
      <c r="BC1413" t="s">
        <v>3350</v>
      </c>
      <c r="BD1413" t="s">
        <v>79</v>
      </c>
      <c r="BE1413" t="s">
        <v>142</v>
      </c>
      <c r="BF1413" s="5">
        <v>46844</v>
      </c>
      <c r="BH1413">
        <v>2</v>
      </c>
      <c r="BI1413" s="6">
        <v>7600000</v>
      </c>
      <c r="BJ1413" s="6">
        <v>0</v>
      </c>
      <c r="BK1413" s="6">
        <v>2500000</v>
      </c>
      <c r="BL1413" s="6">
        <v>5100000</v>
      </c>
      <c r="BM1413" s="2">
        <v>10200000</v>
      </c>
      <c r="BN1413">
        <f>InvoiceTable[[#This Row],[Giảm giá]]*InvoiceTable[[#This Row],[Số lượng]]</f>
        <v>5000000</v>
      </c>
    </row>
    <row r="1414" spans="1:66" x14ac:dyDescent="0.25">
      <c r="A1414" t="s">
        <v>65</v>
      </c>
      <c r="B1414" t="s">
        <v>3786</v>
      </c>
      <c r="F1414" s="2"/>
      <c r="G1414" s="3">
        <v>46001.697689583336</v>
      </c>
      <c r="H1414" s="3">
        <v>46001.697678090277</v>
      </c>
      <c r="I1414" s="4" t="s">
        <v>3787</v>
      </c>
      <c r="J1414" t="s">
        <v>67</v>
      </c>
      <c r="K1414" t="s">
        <v>67</v>
      </c>
      <c r="L1414" t="s">
        <v>119</v>
      </c>
      <c r="M1414" t="s">
        <v>120</v>
      </c>
      <c r="N1414" t="s">
        <v>67</v>
      </c>
      <c r="O1414" t="s">
        <v>121</v>
      </c>
      <c r="Q1414" t="s">
        <v>122</v>
      </c>
      <c r="R1414" t="s">
        <v>123</v>
      </c>
      <c r="S1414" s="5"/>
      <c r="T1414" t="s">
        <v>72</v>
      </c>
      <c r="U1414" t="s">
        <v>102</v>
      </c>
      <c r="V1414" t="s">
        <v>74</v>
      </c>
      <c r="W1414" t="s">
        <v>102</v>
      </c>
      <c r="AE1414" s="2"/>
      <c r="AF1414" s="2"/>
      <c r="AG1414" s="2"/>
      <c r="AH1414" s="2"/>
      <c r="AL1414" s="2">
        <v>2500000</v>
      </c>
      <c r="AM1414" s="2">
        <v>0</v>
      </c>
      <c r="AN1414" s="2"/>
      <c r="AO1414" s="2">
        <v>0</v>
      </c>
      <c r="AP1414" s="2">
        <v>2500000</v>
      </c>
      <c r="AQ1414" s="2">
        <v>0</v>
      </c>
      <c r="AR1414" s="2">
        <v>0</v>
      </c>
      <c r="AS1414" s="2">
        <v>0</v>
      </c>
      <c r="AT1414" s="2">
        <v>0</v>
      </c>
      <c r="AU1414" s="2">
        <v>0</v>
      </c>
      <c r="AV1414" s="2">
        <v>0</v>
      </c>
      <c r="AW1414" s="4"/>
      <c r="AX1414" t="s">
        <v>75</v>
      </c>
      <c r="AZ1414" t="s">
        <v>107</v>
      </c>
      <c r="BA1414" t="s">
        <v>67</v>
      </c>
      <c r="BB1414" t="s">
        <v>108</v>
      </c>
      <c r="BC1414" t="s">
        <v>109</v>
      </c>
      <c r="BD1414" t="s">
        <v>79</v>
      </c>
      <c r="BE1414" t="s">
        <v>94</v>
      </c>
      <c r="BF1414" s="5">
        <v>46692</v>
      </c>
      <c r="BH1414">
        <v>1</v>
      </c>
      <c r="BI1414" s="6">
        <v>4500000</v>
      </c>
      <c r="BJ1414" s="6">
        <v>0</v>
      </c>
      <c r="BK1414" s="6">
        <v>2000000</v>
      </c>
      <c r="BL1414" s="6">
        <v>2500000</v>
      </c>
      <c r="BM1414" s="2">
        <v>2500000</v>
      </c>
      <c r="BN1414">
        <f>InvoiceTable[[#This Row],[Giảm giá]]*InvoiceTable[[#This Row],[Số lượng]]</f>
        <v>2000000</v>
      </c>
    </row>
    <row r="1415" spans="1:66" x14ac:dyDescent="0.25">
      <c r="A1415" t="s">
        <v>65</v>
      </c>
      <c r="B1415" t="s">
        <v>3788</v>
      </c>
      <c r="F1415" s="2"/>
      <c r="G1415" s="3">
        <v>46001.697023032408</v>
      </c>
      <c r="H1415" s="3">
        <v>46001.697023113426</v>
      </c>
      <c r="I1415" s="4" t="s">
        <v>67</v>
      </c>
      <c r="J1415" t="s">
        <v>67</v>
      </c>
      <c r="K1415" t="s">
        <v>67</v>
      </c>
      <c r="L1415" t="s">
        <v>654</v>
      </c>
      <c r="M1415" t="s">
        <v>655</v>
      </c>
      <c r="N1415" t="s">
        <v>67</v>
      </c>
      <c r="O1415" t="s">
        <v>656</v>
      </c>
      <c r="P1415" t="s">
        <v>657</v>
      </c>
      <c r="Q1415" t="s">
        <v>658</v>
      </c>
      <c r="R1415" t="s">
        <v>67</v>
      </c>
      <c r="S1415" s="5"/>
      <c r="T1415" t="s">
        <v>72</v>
      </c>
      <c r="U1415" t="s">
        <v>87</v>
      </c>
      <c r="V1415" t="s">
        <v>74</v>
      </c>
      <c r="W1415" t="s">
        <v>87</v>
      </c>
      <c r="AE1415" s="2"/>
      <c r="AF1415" s="2"/>
      <c r="AG1415" s="2"/>
      <c r="AH1415" s="2"/>
      <c r="AL1415" s="2">
        <v>2301580</v>
      </c>
      <c r="AM1415" s="2">
        <v>0</v>
      </c>
      <c r="AN1415" s="2"/>
      <c r="AO1415" s="2">
        <v>0</v>
      </c>
      <c r="AP1415" s="2">
        <v>2301580</v>
      </c>
      <c r="AQ1415" s="2">
        <v>0</v>
      </c>
      <c r="AR1415" s="2">
        <v>0</v>
      </c>
      <c r="AS1415" s="2">
        <v>0</v>
      </c>
      <c r="AT1415" s="2">
        <v>0</v>
      </c>
      <c r="AU1415" s="2">
        <v>0</v>
      </c>
      <c r="AV1415" s="2">
        <v>0</v>
      </c>
      <c r="AW1415" s="4"/>
      <c r="AX1415" t="s">
        <v>75</v>
      </c>
      <c r="AZ1415" t="s">
        <v>1665</v>
      </c>
      <c r="BA1415" t="s">
        <v>67</v>
      </c>
      <c r="BB1415" t="s">
        <v>1666</v>
      </c>
      <c r="BC1415" t="s">
        <v>367</v>
      </c>
      <c r="BD1415" t="s">
        <v>79</v>
      </c>
      <c r="BE1415" t="s">
        <v>228</v>
      </c>
      <c r="BF1415" s="5">
        <v>46813</v>
      </c>
      <c r="BH1415">
        <v>5</v>
      </c>
      <c r="BI1415" s="6">
        <v>535000</v>
      </c>
      <c r="BJ1415" s="6">
        <v>32</v>
      </c>
      <c r="BK1415" s="6">
        <v>171200</v>
      </c>
      <c r="BL1415" s="6">
        <v>363800</v>
      </c>
      <c r="BM1415" s="2">
        <v>1819000</v>
      </c>
      <c r="BN1415">
        <f>InvoiceTable[[#This Row],[Giảm giá]]*InvoiceTable[[#This Row],[Số lượng]]</f>
        <v>856000</v>
      </c>
    </row>
    <row r="1416" spans="1:66" x14ac:dyDescent="0.25">
      <c r="A1416" t="s">
        <v>65</v>
      </c>
      <c r="B1416" t="s">
        <v>3788</v>
      </c>
      <c r="F1416" s="2"/>
      <c r="G1416" s="3">
        <v>46001.697023032408</v>
      </c>
      <c r="H1416" s="3">
        <v>46001.697023113426</v>
      </c>
      <c r="I1416" s="4" t="s">
        <v>67</v>
      </c>
      <c r="J1416" t="s">
        <v>67</v>
      </c>
      <c r="K1416" t="s">
        <v>67</v>
      </c>
      <c r="L1416" t="s">
        <v>654</v>
      </c>
      <c r="M1416" t="s">
        <v>655</v>
      </c>
      <c r="N1416" t="s">
        <v>67</v>
      </c>
      <c r="O1416" t="s">
        <v>656</v>
      </c>
      <c r="P1416" t="s">
        <v>657</v>
      </c>
      <c r="Q1416" t="s">
        <v>658</v>
      </c>
      <c r="R1416" t="s">
        <v>67</v>
      </c>
      <c r="S1416" s="5"/>
      <c r="T1416" t="s">
        <v>72</v>
      </c>
      <c r="U1416" t="s">
        <v>87</v>
      </c>
      <c r="V1416" t="s">
        <v>74</v>
      </c>
      <c r="W1416" t="s">
        <v>87</v>
      </c>
      <c r="AE1416" s="2"/>
      <c r="AF1416" s="2"/>
      <c r="AG1416" s="2"/>
      <c r="AH1416" s="2"/>
      <c r="AL1416" s="2">
        <v>2301580</v>
      </c>
      <c r="AM1416" s="2">
        <v>0</v>
      </c>
      <c r="AN1416" s="2"/>
      <c r="AO1416" s="2">
        <v>0</v>
      </c>
      <c r="AP1416" s="2">
        <v>2301580</v>
      </c>
      <c r="AQ1416" s="2">
        <v>0</v>
      </c>
      <c r="AR1416" s="2">
        <v>0</v>
      </c>
      <c r="AS1416" s="2">
        <v>0</v>
      </c>
      <c r="AT1416" s="2">
        <v>0</v>
      </c>
      <c r="AU1416" s="2">
        <v>0</v>
      </c>
      <c r="AV1416" s="2">
        <v>0</v>
      </c>
      <c r="AW1416" s="4"/>
      <c r="AX1416" t="s">
        <v>75</v>
      </c>
      <c r="AZ1416" t="s">
        <v>2340</v>
      </c>
      <c r="BA1416" t="s">
        <v>67</v>
      </c>
      <c r="BB1416" t="s">
        <v>2341</v>
      </c>
      <c r="BC1416" t="s">
        <v>93</v>
      </c>
      <c r="BD1416" t="s">
        <v>79</v>
      </c>
      <c r="BE1416" t="s">
        <v>198</v>
      </c>
      <c r="BF1416" s="5">
        <v>46753</v>
      </c>
      <c r="BH1416">
        <v>2</v>
      </c>
      <c r="BI1416" s="6">
        <v>383000</v>
      </c>
      <c r="BJ1416" s="6">
        <v>37</v>
      </c>
      <c r="BK1416" s="6">
        <v>141710</v>
      </c>
      <c r="BL1416" s="6">
        <v>241290</v>
      </c>
      <c r="BM1416" s="2">
        <v>482580</v>
      </c>
      <c r="BN1416">
        <f>InvoiceTable[[#This Row],[Giảm giá]]*InvoiceTable[[#This Row],[Số lượng]]</f>
        <v>283420</v>
      </c>
    </row>
    <row r="1417" spans="1:66" x14ac:dyDescent="0.25">
      <c r="A1417" t="s">
        <v>65</v>
      </c>
      <c r="B1417" t="s">
        <v>3789</v>
      </c>
      <c r="F1417" s="2"/>
      <c r="G1417" s="3">
        <v>46001.695954745373</v>
      </c>
      <c r="H1417" s="3">
        <v>46001.695955011572</v>
      </c>
      <c r="I1417" s="4" t="s">
        <v>67</v>
      </c>
      <c r="J1417" t="s">
        <v>67</v>
      </c>
      <c r="K1417" t="s">
        <v>67</v>
      </c>
      <c r="L1417" t="s">
        <v>111</v>
      </c>
      <c r="M1417" t="s">
        <v>112</v>
      </c>
      <c r="N1417" t="s">
        <v>67</v>
      </c>
      <c r="O1417" t="s">
        <v>113</v>
      </c>
      <c r="P1417" t="s">
        <v>114</v>
      </c>
      <c r="Q1417" t="s">
        <v>67</v>
      </c>
      <c r="R1417" t="s">
        <v>67</v>
      </c>
      <c r="S1417" s="5"/>
      <c r="T1417" t="s">
        <v>72</v>
      </c>
      <c r="U1417" t="s">
        <v>87</v>
      </c>
      <c r="V1417" t="s">
        <v>74</v>
      </c>
      <c r="W1417" t="s">
        <v>87</v>
      </c>
      <c r="AE1417" s="2"/>
      <c r="AF1417" s="2"/>
      <c r="AG1417" s="2"/>
      <c r="AH1417" s="2"/>
      <c r="AK1417" t="s">
        <v>3790</v>
      </c>
      <c r="AL1417" s="2">
        <v>1900000</v>
      </c>
      <c r="AM1417" s="2">
        <v>0</v>
      </c>
      <c r="AN1417" s="2"/>
      <c r="AO1417" s="2">
        <v>0</v>
      </c>
      <c r="AP1417" s="2">
        <v>1900000</v>
      </c>
      <c r="AQ1417" s="2">
        <v>0</v>
      </c>
      <c r="AR1417" s="2">
        <v>0</v>
      </c>
      <c r="AS1417" s="2">
        <v>0</v>
      </c>
      <c r="AT1417" s="2">
        <v>0</v>
      </c>
      <c r="AU1417" s="2">
        <v>0</v>
      </c>
      <c r="AV1417" s="2">
        <v>0</v>
      </c>
      <c r="AW1417" s="4"/>
      <c r="AX1417" t="s">
        <v>75</v>
      </c>
      <c r="AZ1417" t="s">
        <v>651</v>
      </c>
      <c r="BA1417" t="s">
        <v>67</v>
      </c>
      <c r="BB1417" t="s">
        <v>652</v>
      </c>
      <c r="BC1417" t="s">
        <v>78</v>
      </c>
      <c r="BD1417" t="s">
        <v>79</v>
      </c>
      <c r="BE1417" t="s">
        <v>131</v>
      </c>
      <c r="BF1417" s="5">
        <v>46874</v>
      </c>
      <c r="BH1417">
        <v>1</v>
      </c>
      <c r="BI1417" s="6">
        <v>3800000</v>
      </c>
      <c r="BJ1417" s="6">
        <v>50</v>
      </c>
      <c r="BK1417" s="6">
        <v>1900000</v>
      </c>
      <c r="BL1417" s="6">
        <v>1900000</v>
      </c>
      <c r="BM1417" s="2">
        <v>1900000</v>
      </c>
      <c r="BN1417">
        <f>InvoiceTable[[#This Row],[Giảm giá]]*InvoiceTable[[#This Row],[Số lượng]]</f>
        <v>1900000</v>
      </c>
    </row>
    <row r="1418" spans="1:66" x14ac:dyDescent="0.25">
      <c r="A1418" t="s">
        <v>65</v>
      </c>
      <c r="B1418" t="s">
        <v>3791</v>
      </c>
      <c r="F1418" s="2"/>
      <c r="G1418" s="3">
        <v>46001.695367245367</v>
      </c>
      <c r="H1418" s="3">
        <v>46001.695263310183</v>
      </c>
      <c r="I1418" s="4" t="s">
        <v>2290</v>
      </c>
      <c r="J1418" t="s">
        <v>67</v>
      </c>
      <c r="K1418" t="s">
        <v>67</v>
      </c>
      <c r="L1418" t="s">
        <v>2061</v>
      </c>
      <c r="M1418" t="s">
        <v>2062</v>
      </c>
      <c r="N1418" t="s">
        <v>67</v>
      </c>
      <c r="Q1418" t="s">
        <v>67</v>
      </c>
      <c r="R1418" t="s">
        <v>67</v>
      </c>
      <c r="S1418" s="5"/>
      <c r="T1418" t="s">
        <v>72</v>
      </c>
      <c r="U1418" t="s">
        <v>87</v>
      </c>
      <c r="V1418" t="s">
        <v>74</v>
      </c>
      <c r="W1418" t="s">
        <v>87</v>
      </c>
      <c r="AE1418" s="2"/>
      <c r="AF1418" s="2"/>
      <c r="AG1418" s="2"/>
      <c r="AH1418" s="2"/>
      <c r="AL1418" s="2">
        <v>957600</v>
      </c>
      <c r="AM1418" s="2">
        <v>0</v>
      </c>
      <c r="AN1418" s="2"/>
      <c r="AO1418" s="2">
        <v>0</v>
      </c>
      <c r="AP1418" s="2">
        <v>957600</v>
      </c>
      <c r="AQ1418" s="2">
        <v>0</v>
      </c>
      <c r="AR1418" s="2">
        <v>0</v>
      </c>
      <c r="AS1418" s="2">
        <v>0</v>
      </c>
      <c r="AT1418" s="2">
        <v>0</v>
      </c>
      <c r="AU1418" s="2">
        <v>0</v>
      </c>
      <c r="AV1418" s="2">
        <v>0</v>
      </c>
      <c r="AW1418" s="4"/>
      <c r="AX1418" t="s">
        <v>75</v>
      </c>
      <c r="AZ1418" t="s">
        <v>2063</v>
      </c>
      <c r="BA1418" t="s">
        <v>67</v>
      </c>
      <c r="BB1418" t="s">
        <v>2064</v>
      </c>
      <c r="BC1418" t="s">
        <v>2065</v>
      </c>
      <c r="BD1418" t="s">
        <v>79</v>
      </c>
      <c r="BE1418" t="s">
        <v>434</v>
      </c>
      <c r="BF1418" s="5">
        <v>46661</v>
      </c>
      <c r="BH1418">
        <v>1</v>
      </c>
      <c r="BI1418" s="6">
        <v>1680000</v>
      </c>
      <c r="BJ1418" s="6">
        <v>43</v>
      </c>
      <c r="BK1418" s="6">
        <v>722400</v>
      </c>
      <c r="BL1418" s="6">
        <v>957600</v>
      </c>
      <c r="BM1418" s="2">
        <v>957600</v>
      </c>
      <c r="BN1418">
        <f>InvoiceTable[[#This Row],[Giảm giá]]*InvoiceTable[[#This Row],[Số lượng]]</f>
        <v>722400</v>
      </c>
    </row>
    <row r="1419" spans="1:66" x14ac:dyDescent="0.25">
      <c r="A1419" t="s">
        <v>65</v>
      </c>
      <c r="B1419" t="s">
        <v>3792</v>
      </c>
      <c r="F1419" s="2"/>
      <c r="G1419" s="3">
        <v>46001.689348298612</v>
      </c>
      <c r="H1419" s="3">
        <v>46001.689348414351</v>
      </c>
      <c r="I1419" s="4" t="s">
        <v>67</v>
      </c>
      <c r="J1419" t="s">
        <v>67</v>
      </c>
      <c r="K1419" t="s">
        <v>67</v>
      </c>
      <c r="L1419" t="s">
        <v>933</v>
      </c>
      <c r="M1419" t="s">
        <v>934</v>
      </c>
      <c r="N1419" t="s">
        <v>67</v>
      </c>
      <c r="O1419" t="s">
        <v>935</v>
      </c>
      <c r="S1419" s="5"/>
      <c r="T1419" t="s">
        <v>72</v>
      </c>
      <c r="U1419" t="s">
        <v>87</v>
      </c>
      <c r="V1419" t="s">
        <v>74</v>
      </c>
      <c r="W1419" t="s">
        <v>87</v>
      </c>
      <c r="AE1419" s="2"/>
      <c r="AF1419" s="2"/>
      <c r="AG1419" s="2"/>
      <c r="AH1419" s="2"/>
      <c r="AK1419" t="s">
        <v>3793</v>
      </c>
      <c r="AL1419" s="2">
        <v>3896500</v>
      </c>
      <c r="AM1419" s="2">
        <v>0</v>
      </c>
      <c r="AN1419" s="2"/>
      <c r="AO1419" s="2">
        <v>0</v>
      </c>
      <c r="AP1419" s="2">
        <v>3896500</v>
      </c>
      <c r="AQ1419" s="2">
        <v>3896500</v>
      </c>
      <c r="AR1419" s="2">
        <v>0</v>
      </c>
      <c r="AS1419" s="2">
        <v>0</v>
      </c>
      <c r="AT1419" s="2">
        <v>0</v>
      </c>
      <c r="AU1419" s="2">
        <v>3896500</v>
      </c>
      <c r="AV1419" s="2">
        <v>0</v>
      </c>
      <c r="AW1419" s="4"/>
      <c r="AX1419" t="s">
        <v>75</v>
      </c>
      <c r="AZ1419" t="s">
        <v>314</v>
      </c>
      <c r="BA1419" t="s">
        <v>67</v>
      </c>
      <c r="BB1419" t="s">
        <v>315</v>
      </c>
      <c r="BC1419" t="s">
        <v>316</v>
      </c>
      <c r="BD1419" t="s">
        <v>79</v>
      </c>
      <c r="BE1419" t="s">
        <v>80</v>
      </c>
      <c r="BF1419" s="5">
        <v>47300</v>
      </c>
      <c r="BH1419">
        <v>1</v>
      </c>
      <c r="BI1419" s="6">
        <v>2690000</v>
      </c>
      <c r="BJ1419" s="6">
        <v>40</v>
      </c>
      <c r="BK1419" s="6">
        <v>1076000</v>
      </c>
      <c r="BL1419" s="6">
        <v>1614000</v>
      </c>
      <c r="BM1419" s="2">
        <v>1614000</v>
      </c>
      <c r="BN1419">
        <f>InvoiceTable[[#This Row],[Giảm giá]]*InvoiceTable[[#This Row],[Số lượng]]</f>
        <v>1076000</v>
      </c>
    </row>
    <row r="1420" spans="1:66" x14ac:dyDescent="0.25">
      <c r="A1420" t="s">
        <v>65</v>
      </c>
      <c r="B1420" t="s">
        <v>3792</v>
      </c>
      <c r="F1420" s="2"/>
      <c r="G1420" s="3">
        <v>46001.689348298612</v>
      </c>
      <c r="H1420" s="3">
        <v>46001.689348414351</v>
      </c>
      <c r="I1420" s="4" t="s">
        <v>67</v>
      </c>
      <c r="J1420" t="s">
        <v>67</v>
      </c>
      <c r="K1420" t="s">
        <v>67</v>
      </c>
      <c r="L1420" t="s">
        <v>933</v>
      </c>
      <c r="M1420" t="s">
        <v>934</v>
      </c>
      <c r="N1420" t="s">
        <v>67</v>
      </c>
      <c r="O1420" t="s">
        <v>935</v>
      </c>
      <c r="S1420" s="5"/>
      <c r="T1420" t="s">
        <v>72</v>
      </c>
      <c r="U1420" t="s">
        <v>87</v>
      </c>
      <c r="V1420" t="s">
        <v>74</v>
      </c>
      <c r="W1420" t="s">
        <v>87</v>
      </c>
      <c r="AE1420" s="2"/>
      <c r="AF1420" s="2"/>
      <c r="AG1420" s="2"/>
      <c r="AH1420" s="2"/>
      <c r="AK1420" t="s">
        <v>3793</v>
      </c>
      <c r="AL1420" s="2">
        <v>3896500</v>
      </c>
      <c r="AM1420" s="2">
        <v>0</v>
      </c>
      <c r="AN1420" s="2"/>
      <c r="AO1420" s="2">
        <v>0</v>
      </c>
      <c r="AP1420" s="2">
        <v>3896500</v>
      </c>
      <c r="AQ1420" s="2">
        <v>3896500</v>
      </c>
      <c r="AR1420" s="2">
        <v>0</v>
      </c>
      <c r="AS1420" s="2">
        <v>0</v>
      </c>
      <c r="AT1420" s="2">
        <v>0</v>
      </c>
      <c r="AU1420" s="2">
        <v>3896500</v>
      </c>
      <c r="AV1420" s="2">
        <v>0</v>
      </c>
      <c r="AW1420" s="4"/>
      <c r="AX1420" t="s">
        <v>75</v>
      </c>
      <c r="AZ1420" t="s">
        <v>2702</v>
      </c>
      <c r="BA1420" t="s">
        <v>67</v>
      </c>
      <c r="BB1420" t="s">
        <v>2703</v>
      </c>
      <c r="BC1420" t="s">
        <v>2704</v>
      </c>
      <c r="BD1420" t="s">
        <v>79</v>
      </c>
      <c r="BE1420" t="s">
        <v>3794</v>
      </c>
      <c r="BF1420" s="5">
        <v>47088</v>
      </c>
      <c r="BG1420" t="s">
        <v>67</v>
      </c>
      <c r="BH1420">
        <v>1</v>
      </c>
      <c r="BI1420" s="6">
        <v>4150000</v>
      </c>
      <c r="BJ1420" s="6">
        <v>45</v>
      </c>
      <c r="BK1420" s="6">
        <v>1867500</v>
      </c>
      <c r="BL1420" s="6">
        <v>2282500</v>
      </c>
      <c r="BM1420" s="2">
        <v>2282500</v>
      </c>
      <c r="BN1420">
        <f>InvoiceTable[[#This Row],[Giảm giá]]*InvoiceTable[[#This Row],[Số lượng]]</f>
        <v>1867500</v>
      </c>
    </row>
    <row r="1421" spans="1:66" x14ac:dyDescent="0.25">
      <c r="A1421" t="s">
        <v>65</v>
      </c>
      <c r="B1421" t="s">
        <v>3795</v>
      </c>
      <c r="F1421" s="2"/>
      <c r="G1421" s="3">
        <v>46001.677590358799</v>
      </c>
      <c r="H1421" s="3">
        <v>46001.677590474537</v>
      </c>
      <c r="I1421" s="4" t="s">
        <v>67</v>
      </c>
      <c r="J1421" t="s">
        <v>67</v>
      </c>
      <c r="K1421" t="s">
        <v>67</v>
      </c>
      <c r="L1421" t="s">
        <v>933</v>
      </c>
      <c r="M1421" t="s">
        <v>934</v>
      </c>
      <c r="N1421" t="s">
        <v>67</v>
      </c>
      <c r="O1421" t="s">
        <v>935</v>
      </c>
      <c r="S1421" s="5"/>
      <c r="T1421" t="s">
        <v>72</v>
      </c>
      <c r="U1421" t="s">
        <v>87</v>
      </c>
      <c r="V1421" t="s">
        <v>74</v>
      </c>
      <c r="W1421" t="s">
        <v>87</v>
      </c>
      <c r="AE1421" s="2"/>
      <c r="AF1421" s="2"/>
      <c r="AG1421" s="2"/>
      <c r="AH1421" s="2"/>
      <c r="AL1421" s="2">
        <v>1205280</v>
      </c>
      <c r="AM1421" s="2">
        <v>0</v>
      </c>
      <c r="AN1421" s="2"/>
      <c r="AO1421" s="2">
        <v>0</v>
      </c>
      <c r="AP1421" s="2">
        <v>1205280</v>
      </c>
      <c r="AQ1421" s="2">
        <v>1205280</v>
      </c>
      <c r="AR1421" s="2">
        <v>0</v>
      </c>
      <c r="AS1421" s="2">
        <v>0</v>
      </c>
      <c r="AT1421" s="2">
        <v>0</v>
      </c>
      <c r="AU1421" s="2">
        <v>1205280</v>
      </c>
      <c r="AV1421" s="2">
        <v>0</v>
      </c>
      <c r="AW1421" s="4"/>
      <c r="AX1421" t="s">
        <v>75</v>
      </c>
      <c r="AZ1421" t="s">
        <v>2696</v>
      </c>
      <c r="BA1421" t="s">
        <v>67</v>
      </c>
      <c r="BB1421" t="s">
        <v>2697</v>
      </c>
      <c r="BC1421" t="s">
        <v>986</v>
      </c>
      <c r="BD1421" t="s">
        <v>79</v>
      </c>
      <c r="BE1421" t="s">
        <v>188</v>
      </c>
      <c r="BF1421" s="5">
        <v>46905</v>
      </c>
      <c r="BH1421">
        <v>1</v>
      </c>
      <c r="BI1421" s="6">
        <v>1944000</v>
      </c>
      <c r="BJ1421" s="6">
        <v>38</v>
      </c>
      <c r="BK1421" s="6">
        <v>738720</v>
      </c>
      <c r="BL1421" s="6">
        <v>1205280</v>
      </c>
      <c r="BM1421" s="2">
        <v>1205280</v>
      </c>
      <c r="BN1421">
        <f>InvoiceTable[[#This Row],[Giảm giá]]*InvoiceTable[[#This Row],[Số lượng]]</f>
        <v>738720</v>
      </c>
    </row>
    <row r="1422" spans="1:66" x14ac:dyDescent="0.25">
      <c r="A1422" t="s">
        <v>65</v>
      </c>
      <c r="B1422" t="s">
        <v>3796</v>
      </c>
      <c r="F1422" s="2"/>
      <c r="G1422" s="3">
        <v>46001.677049537037</v>
      </c>
      <c r="H1422" s="3">
        <v>46001.677049652775</v>
      </c>
      <c r="I1422" s="4" t="s">
        <v>67</v>
      </c>
      <c r="J1422" t="s">
        <v>67</v>
      </c>
      <c r="K1422" t="s">
        <v>67</v>
      </c>
      <c r="L1422" t="s">
        <v>933</v>
      </c>
      <c r="M1422" t="s">
        <v>934</v>
      </c>
      <c r="N1422" t="s">
        <v>67</v>
      </c>
      <c r="O1422" t="s">
        <v>935</v>
      </c>
      <c r="S1422" s="5"/>
      <c r="T1422" t="s">
        <v>72</v>
      </c>
      <c r="U1422" t="s">
        <v>87</v>
      </c>
      <c r="V1422" t="s">
        <v>74</v>
      </c>
      <c r="W1422" t="s">
        <v>87</v>
      </c>
      <c r="AE1422" s="2"/>
      <c r="AF1422" s="2"/>
      <c r="AG1422" s="2"/>
      <c r="AH1422" s="2"/>
      <c r="AK1422" t="s">
        <v>3797</v>
      </c>
      <c r="AL1422" s="2">
        <v>497700</v>
      </c>
      <c r="AM1422" s="2">
        <v>0</v>
      </c>
      <c r="AN1422" s="2"/>
      <c r="AO1422" s="2">
        <v>0</v>
      </c>
      <c r="AP1422" s="2">
        <v>497700</v>
      </c>
      <c r="AQ1422" s="2">
        <v>497700</v>
      </c>
      <c r="AR1422" s="2">
        <v>0</v>
      </c>
      <c r="AS1422" s="2">
        <v>0</v>
      </c>
      <c r="AT1422" s="2">
        <v>0</v>
      </c>
      <c r="AU1422" s="2">
        <v>497700</v>
      </c>
      <c r="AV1422" s="2">
        <v>0</v>
      </c>
      <c r="AW1422" s="4"/>
      <c r="AX1422" t="s">
        <v>75</v>
      </c>
      <c r="AZ1422" t="s">
        <v>1365</v>
      </c>
      <c r="BA1422" t="s">
        <v>67</v>
      </c>
      <c r="BB1422" t="s">
        <v>1366</v>
      </c>
      <c r="BC1422" t="s">
        <v>939</v>
      </c>
      <c r="BD1422" t="s">
        <v>79</v>
      </c>
      <c r="BE1422" t="s">
        <v>317</v>
      </c>
      <c r="BF1422" s="5">
        <v>46935</v>
      </c>
      <c r="BH1422">
        <v>1</v>
      </c>
      <c r="BI1422" s="6">
        <v>790000</v>
      </c>
      <c r="BJ1422" s="6">
        <v>37</v>
      </c>
      <c r="BK1422" s="6">
        <v>292300</v>
      </c>
      <c r="BL1422" s="6">
        <v>497700</v>
      </c>
      <c r="BM1422" s="2">
        <v>497700</v>
      </c>
      <c r="BN1422">
        <f>InvoiceTable[[#This Row],[Giảm giá]]*InvoiceTable[[#This Row],[Số lượng]]</f>
        <v>292300</v>
      </c>
    </row>
    <row r="1423" spans="1:66" x14ac:dyDescent="0.25">
      <c r="A1423" t="s">
        <v>65</v>
      </c>
      <c r="B1423" t="s">
        <v>3798</v>
      </c>
      <c r="F1423" s="2"/>
      <c r="G1423" s="3">
        <v>46001.6725878125</v>
      </c>
      <c r="H1423" s="3">
        <v>46001.672588078705</v>
      </c>
      <c r="I1423" s="4" t="s">
        <v>67</v>
      </c>
      <c r="J1423" t="s">
        <v>3799</v>
      </c>
      <c r="K1423" t="s">
        <v>67</v>
      </c>
      <c r="L1423" t="s">
        <v>3629</v>
      </c>
      <c r="M1423" t="s">
        <v>3630</v>
      </c>
      <c r="N1423" t="s">
        <v>67</v>
      </c>
      <c r="O1423" t="s">
        <v>3631</v>
      </c>
      <c r="P1423" t="s">
        <v>3632</v>
      </c>
      <c r="Q1423" t="s">
        <v>3633</v>
      </c>
      <c r="R1423" t="s">
        <v>3634</v>
      </c>
      <c r="S1423" s="5"/>
      <c r="T1423" t="s">
        <v>72</v>
      </c>
      <c r="U1423" t="s">
        <v>73</v>
      </c>
      <c r="V1423" t="s">
        <v>74</v>
      </c>
      <c r="W1423" t="s">
        <v>87</v>
      </c>
      <c r="AE1423" s="2"/>
      <c r="AF1423" s="2"/>
      <c r="AG1423" s="2"/>
      <c r="AH1423" s="2"/>
      <c r="AL1423" s="2">
        <v>3320400</v>
      </c>
      <c r="AM1423" s="2">
        <v>0</v>
      </c>
      <c r="AN1423" s="2"/>
      <c r="AO1423" s="2">
        <v>0</v>
      </c>
      <c r="AP1423" s="2">
        <v>3320400</v>
      </c>
      <c r="AQ1423" s="2">
        <v>0</v>
      </c>
      <c r="AR1423" s="2">
        <v>0</v>
      </c>
      <c r="AS1423" s="2">
        <v>0</v>
      </c>
      <c r="AT1423" s="2">
        <v>0</v>
      </c>
      <c r="AU1423" s="2">
        <v>0</v>
      </c>
      <c r="AV1423" s="2">
        <v>0</v>
      </c>
      <c r="AW1423" s="4"/>
      <c r="AX1423" t="s">
        <v>75</v>
      </c>
      <c r="AZ1423" t="s">
        <v>88</v>
      </c>
      <c r="BB1423" t="s">
        <v>89</v>
      </c>
      <c r="BC1423" t="s">
        <v>90</v>
      </c>
      <c r="BF1423" s="5"/>
      <c r="BG1423" t="s">
        <v>67</v>
      </c>
      <c r="BH1423">
        <v>1</v>
      </c>
      <c r="BI1423" s="6">
        <v>30000</v>
      </c>
      <c r="BJ1423" s="6">
        <v>0</v>
      </c>
      <c r="BK1423" s="6">
        <v>0</v>
      </c>
      <c r="BL1423" s="6">
        <v>30000</v>
      </c>
      <c r="BM1423" s="2">
        <v>30000</v>
      </c>
      <c r="BN1423">
        <f>InvoiceTable[[#This Row],[Giảm giá]]*InvoiceTable[[#This Row],[Số lượng]]</f>
        <v>0</v>
      </c>
    </row>
    <row r="1424" spans="1:66" x14ac:dyDescent="0.25">
      <c r="A1424" t="s">
        <v>65</v>
      </c>
      <c r="B1424" t="s">
        <v>3798</v>
      </c>
      <c r="F1424" s="2"/>
      <c r="G1424" s="3">
        <v>46001.6725878125</v>
      </c>
      <c r="H1424" s="3">
        <v>46001.672588078705</v>
      </c>
      <c r="I1424" s="4" t="s">
        <v>67</v>
      </c>
      <c r="J1424" t="s">
        <v>3799</v>
      </c>
      <c r="K1424" t="s">
        <v>67</v>
      </c>
      <c r="L1424" t="s">
        <v>3629</v>
      </c>
      <c r="M1424" t="s">
        <v>3630</v>
      </c>
      <c r="N1424" t="s">
        <v>67</v>
      </c>
      <c r="O1424" t="s">
        <v>3631</v>
      </c>
      <c r="P1424" t="s">
        <v>3632</v>
      </c>
      <c r="Q1424" t="s">
        <v>3633</v>
      </c>
      <c r="R1424" t="s">
        <v>3634</v>
      </c>
      <c r="S1424" s="5"/>
      <c r="T1424" t="s">
        <v>72</v>
      </c>
      <c r="U1424" t="s">
        <v>73</v>
      </c>
      <c r="V1424" t="s">
        <v>74</v>
      </c>
      <c r="W1424" t="s">
        <v>87</v>
      </c>
      <c r="AE1424" s="2"/>
      <c r="AF1424" s="2"/>
      <c r="AG1424" s="2"/>
      <c r="AH1424" s="2"/>
      <c r="AL1424" s="2">
        <v>3320400</v>
      </c>
      <c r="AM1424" s="2">
        <v>0</v>
      </c>
      <c r="AN1424" s="2"/>
      <c r="AO1424" s="2">
        <v>0</v>
      </c>
      <c r="AP1424" s="2">
        <v>3320400</v>
      </c>
      <c r="AQ1424" s="2">
        <v>0</v>
      </c>
      <c r="AR1424" s="2">
        <v>0</v>
      </c>
      <c r="AS1424" s="2">
        <v>0</v>
      </c>
      <c r="AT1424" s="2">
        <v>0</v>
      </c>
      <c r="AU1424" s="2">
        <v>0</v>
      </c>
      <c r="AV1424" s="2">
        <v>0</v>
      </c>
      <c r="AW1424" s="4"/>
      <c r="AX1424" t="s">
        <v>75</v>
      </c>
      <c r="AZ1424" t="s">
        <v>1208</v>
      </c>
      <c r="BA1424" t="s">
        <v>67</v>
      </c>
      <c r="BB1424" t="s">
        <v>1209</v>
      </c>
      <c r="BC1424" t="s">
        <v>344</v>
      </c>
      <c r="BD1424" t="s">
        <v>79</v>
      </c>
      <c r="BE1424" t="s">
        <v>293</v>
      </c>
      <c r="BF1424" s="5">
        <v>46722</v>
      </c>
      <c r="BH1424">
        <v>1</v>
      </c>
      <c r="BI1424" s="6">
        <v>950000</v>
      </c>
      <c r="BJ1424" s="6">
        <v>42</v>
      </c>
      <c r="BK1424" s="6">
        <v>399000</v>
      </c>
      <c r="BL1424" s="6">
        <v>551000</v>
      </c>
      <c r="BM1424" s="2">
        <v>551000</v>
      </c>
      <c r="BN1424">
        <f>InvoiceTable[[#This Row],[Giảm giá]]*InvoiceTable[[#This Row],[Số lượng]]</f>
        <v>399000</v>
      </c>
    </row>
    <row r="1425" spans="1:66" x14ac:dyDescent="0.25">
      <c r="A1425" t="s">
        <v>65</v>
      </c>
      <c r="B1425" t="s">
        <v>3798</v>
      </c>
      <c r="F1425" s="2"/>
      <c r="G1425" s="3">
        <v>46001.6725878125</v>
      </c>
      <c r="H1425" s="3">
        <v>46001.672588078705</v>
      </c>
      <c r="I1425" s="4" t="s">
        <v>67</v>
      </c>
      <c r="J1425" t="s">
        <v>3799</v>
      </c>
      <c r="K1425" t="s">
        <v>67</v>
      </c>
      <c r="L1425" t="s">
        <v>3629</v>
      </c>
      <c r="M1425" t="s">
        <v>3630</v>
      </c>
      <c r="N1425" t="s">
        <v>67</v>
      </c>
      <c r="O1425" t="s">
        <v>3631</v>
      </c>
      <c r="P1425" t="s">
        <v>3632</v>
      </c>
      <c r="Q1425" t="s">
        <v>3633</v>
      </c>
      <c r="R1425" t="s">
        <v>3634</v>
      </c>
      <c r="S1425" s="5"/>
      <c r="T1425" t="s">
        <v>72</v>
      </c>
      <c r="U1425" t="s">
        <v>73</v>
      </c>
      <c r="V1425" t="s">
        <v>74</v>
      </c>
      <c r="W1425" t="s">
        <v>87</v>
      </c>
      <c r="AE1425" s="2"/>
      <c r="AF1425" s="2"/>
      <c r="AG1425" s="2"/>
      <c r="AH1425" s="2"/>
      <c r="AL1425" s="2">
        <v>3320400</v>
      </c>
      <c r="AM1425" s="2">
        <v>0</v>
      </c>
      <c r="AN1425" s="2"/>
      <c r="AO1425" s="2">
        <v>0</v>
      </c>
      <c r="AP1425" s="2">
        <v>3320400</v>
      </c>
      <c r="AQ1425" s="2">
        <v>0</v>
      </c>
      <c r="AR1425" s="2">
        <v>0</v>
      </c>
      <c r="AS1425" s="2">
        <v>0</v>
      </c>
      <c r="AT1425" s="2">
        <v>0</v>
      </c>
      <c r="AU1425" s="2">
        <v>0</v>
      </c>
      <c r="AV1425" s="2">
        <v>0</v>
      </c>
      <c r="AW1425" s="4"/>
      <c r="AX1425" t="s">
        <v>75</v>
      </c>
      <c r="AZ1425" t="s">
        <v>196</v>
      </c>
      <c r="BA1425" t="s">
        <v>67</v>
      </c>
      <c r="BB1425" t="s">
        <v>197</v>
      </c>
      <c r="BC1425" t="s">
        <v>191</v>
      </c>
      <c r="BD1425" t="s">
        <v>79</v>
      </c>
      <c r="BE1425" t="s">
        <v>198</v>
      </c>
      <c r="BF1425" s="5">
        <v>46753</v>
      </c>
      <c r="BH1425">
        <v>5</v>
      </c>
      <c r="BI1425" s="6">
        <v>486000</v>
      </c>
      <c r="BJ1425" s="6">
        <v>42</v>
      </c>
      <c r="BK1425" s="6">
        <v>204120</v>
      </c>
      <c r="BL1425" s="6">
        <v>281880</v>
      </c>
      <c r="BM1425" s="2">
        <v>1409400</v>
      </c>
      <c r="BN1425">
        <f>InvoiceTable[[#This Row],[Giảm giá]]*InvoiceTable[[#This Row],[Số lượng]]</f>
        <v>1020600</v>
      </c>
    </row>
    <row r="1426" spans="1:66" x14ac:dyDescent="0.25">
      <c r="A1426" t="s">
        <v>65</v>
      </c>
      <c r="B1426" t="s">
        <v>3798</v>
      </c>
      <c r="F1426" s="2"/>
      <c r="G1426" s="3">
        <v>46001.6725878125</v>
      </c>
      <c r="H1426" s="3">
        <v>46001.672588078705</v>
      </c>
      <c r="I1426" s="4" t="s">
        <v>67</v>
      </c>
      <c r="J1426" t="s">
        <v>3799</v>
      </c>
      <c r="K1426" t="s">
        <v>67</v>
      </c>
      <c r="L1426" t="s">
        <v>3629</v>
      </c>
      <c r="M1426" t="s">
        <v>3630</v>
      </c>
      <c r="N1426" t="s">
        <v>67</v>
      </c>
      <c r="O1426" t="s">
        <v>3631</v>
      </c>
      <c r="P1426" t="s">
        <v>3632</v>
      </c>
      <c r="Q1426" t="s">
        <v>3633</v>
      </c>
      <c r="R1426" t="s">
        <v>3634</v>
      </c>
      <c r="S1426" s="5"/>
      <c r="T1426" t="s">
        <v>72</v>
      </c>
      <c r="U1426" t="s">
        <v>73</v>
      </c>
      <c r="V1426" t="s">
        <v>74</v>
      </c>
      <c r="W1426" t="s">
        <v>87</v>
      </c>
      <c r="AE1426" s="2"/>
      <c r="AF1426" s="2"/>
      <c r="AG1426" s="2"/>
      <c r="AH1426" s="2"/>
      <c r="AL1426" s="2">
        <v>3320400</v>
      </c>
      <c r="AM1426" s="2">
        <v>0</v>
      </c>
      <c r="AN1426" s="2"/>
      <c r="AO1426" s="2">
        <v>0</v>
      </c>
      <c r="AP1426" s="2">
        <v>3320400</v>
      </c>
      <c r="AQ1426" s="2">
        <v>0</v>
      </c>
      <c r="AR1426" s="2">
        <v>0</v>
      </c>
      <c r="AS1426" s="2">
        <v>0</v>
      </c>
      <c r="AT1426" s="2">
        <v>0</v>
      </c>
      <c r="AU1426" s="2">
        <v>0</v>
      </c>
      <c r="AV1426" s="2">
        <v>0</v>
      </c>
      <c r="AW1426" s="4"/>
      <c r="AX1426" t="s">
        <v>75</v>
      </c>
      <c r="AZ1426" t="s">
        <v>365</v>
      </c>
      <c r="BA1426" t="s">
        <v>67</v>
      </c>
      <c r="BB1426" t="s">
        <v>366</v>
      </c>
      <c r="BC1426" t="s">
        <v>367</v>
      </c>
      <c r="BD1426" t="s">
        <v>79</v>
      </c>
      <c r="BE1426" t="s">
        <v>94</v>
      </c>
      <c r="BF1426" s="5">
        <v>46692</v>
      </c>
      <c r="BH1426">
        <v>5</v>
      </c>
      <c r="BI1426" s="6">
        <v>380000</v>
      </c>
      <c r="BJ1426" s="6">
        <v>30</v>
      </c>
      <c r="BK1426" s="6">
        <v>114000</v>
      </c>
      <c r="BL1426" s="6">
        <v>266000</v>
      </c>
      <c r="BM1426" s="2">
        <v>1330000</v>
      </c>
      <c r="BN1426">
        <f>InvoiceTable[[#This Row],[Giảm giá]]*InvoiceTable[[#This Row],[Số lượng]]</f>
        <v>570000</v>
      </c>
    </row>
    <row r="1427" spans="1:66" x14ac:dyDescent="0.25">
      <c r="A1427" t="s">
        <v>65</v>
      </c>
      <c r="B1427" t="s">
        <v>3800</v>
      </c>
      <c r="F1427" s="2"/>
      <c r="G1427" s="3">
        <v>46001.654973067132</v>
      </c>
      <c r="H1427" s="3">
        <v>46001.654973229168</v>
      </c>
      <c r="I1427" s="4" t="s">
        <v>67</v>
      </c>
      <c r="J1427" t="s">
        <v>3801</v>
      </c>
      <c r="K1427" t="s">
        <v>67</v>
      </c>
      <c r="L1427" t="s">
        <v>3802</v>
      </c>
      <c r="M1427" t="s">
        <v>3803</v>
      </c>
      <c r="N1427" t="s">
        <v>67</v>
      </c>
      <c r="O1427" t="s">
        <v>3804</v>
      </c>
      <c r="P1427" t="s">
        <v>3805</v>
      </c>
      <c r="S1427" s="5"/>
      <c r="T1427" t="s">
        <v>72</v>
      </c>
      <c r="U1427" t="s">
        <v>102</v>
      </c>
      <c r="V1427" t="s">
        <v>74</v>
      </c>
      <c r="W1427" t="s">
        <v>87</v>
      </c>
      <c r="AE1427" s="2"/>
      <c r="AF1427" s="2"/>
      <c r="AG1427" s="2"/>
      <c r="AH1427" s="2"/>
      <c r="AK1427" t="s">
        <v>3806</v>
      </c>
      <c r="AL1427" s="2">
        <v>1122000</v>
      </c>
      <c r="AM1427" s="2">
        <v>0</v>
      </c>
      <c r="AN1427" s="2"/>
      <c r="AO1427" s="2">
        <v>0</v>
      </c>
      <c r="AP1427" s="2">
        <v>1122000</v>
      </c>
      <c r="AQ1427" s="2">
        <v>0</v>
      </c>
      <c r="AR1427" s="2">
        <v>0</v>
      </c>
      <c r="AS1427" s="2">
        <v>0</v>
      </c>
      <c r="AT1427" s="2">
        <v>0</v>
      </c>
      <c r="AU1427" s="2">
        <v>0</v>
      </c>
      <c r="AV1427" s="2">
        <v>0</v>
      </c>
      <c r="AW1427" s="4"/>
      <c r="AX1427" t="s">
        <v>75</v>
      </c>
      <c r="AZ1427" t="s">
        <v>3807</v>
      </c>
      <c r="BA1427" t="s">
        <v>67</v>
      </c>
      <c r="BB1427" t="s">
        <v>3808</v>
      </c>
      <c r="BC1427" t="s">
        <v>583</v>
      </c>
      <c r="BD1427" t="s">
        <v>79</v>
      </c>
      <c r="BE1427" t="s">
        <v>3809</v>
      </c>
      <c r="BF1427" s="5">
        <v>46706</v>
      </c>
      <c r="BG1427" t="s">
        <v>67</v>
      </c>
      <c r="BH1427">
        <v>1</v>
      </c>
      <c r="BI1427" s="6">
        <v>1650000</v>
      </c>
      <c r="BJ1427" s="6">
        <v>32</v>
      </c>
      <c r="BK1427" s="6">
        <v>528000</v>
      </c>
      <c r="BL1427" s="6">
        <v>1122000</v>
      </c>
      <c r="BM1427" s="2">
        <v>1122000</v>
      </c>
      <c r="BN1427">
        <f>InvoiceTable[[#This Row],[Giảm giá]]*InvoiceTable[[#This Row],[Số lượng]]</f>
        <v>528000</v>
      </c>
    </row>
    <row r="1428" spans="1:66" x14ac:dyDescent="0.25">
      <c r="A1428" t="s">
        <v>65</v>
      </c>
      <c r="B1428" t="s">
        <v>3810</v>
      </c>
      <c r="F1428" s="2"/>
      <c r="G1428" s="3">
        <v>46001.654168171299</v>
      </c>
      <c r="H1428" s="3">
        <v>46001.654168287037</v>
      </c>
      <c r="I1428" s="4" t="s">
        <v>67</v>
      </c>
      <c r="J1428" t="s">
        <v>3811</v>
      </c>
      <c r="K1428" t="s">
        <v>67</v>
      </c>
      <c r="L1428" t="s">
        <v>3812</v>
      </c>
      <c r="M1428" t="s">
        <v>3813</v>
      </c>
      <c r="N1428" t="s">
        <v>67</v>
      </c>
      <c r="O1428" t="s">
        <v>3814</v>
      </c>
      <c r="P1428" t="s">
        <v>3815</v>
      </c>
      <c r="S1428" s="5"/>
      <c r="T1428" t="s">
        <v>72</v>
      </c>
      <c r="U1428" t="s">
        <v>102</v>
      </c>
      <c r="V1428" t="s">
        <v>74</v>
      </c>
      <c r="W1428" t="s">
        <v>87</v>
      </c>
      <c r="AE1428" s="2"/>
      <c r="AF1428" s="2"/>
      <c r="AG1428" s="2"/>
      <c r="AH1428" s="2"/>
      <c r="AK1428" t="s">
        <v>3816</v>
      </c>
      <c r="AL1428" s="2">
        <v>1496800</v>
      </c>
      <c r="AM1428" s="2">
        <v>0</v>
      </c>
      <c r="AN1428" s="2"/>
      <c r="AO1428" s="2">
        <v>0</v>
      </c>
      <c r="AP1428" s="2">
        <v>1496800</v>
      </c>
      <c r="AQ1428" s="2">
        <v>0</v>
      </c>
      <c r="AR1428" s="2">
        <v>0</v>
      </c>
      <c r="AS1428" s="2">
        <v>0</v>
      </c>
      <c r="AT1428" s="2">
        <v>0</v>
      </c>
      <c r="AU1428" s="2">
        <v>0</v>
      </c>
      <c r="AV1428" s="2">
        <v>0</v>
      </c>
      <c r="AW1428" s="4"/>
      <c r="AX1428" t="s">
        <v>75</v>
      </c>
      <c r="AZ1428" t="s">
        <v>88</v>
      </c>
      <c r="BB1428" t="s">
        <v>89</v>
      </c>
      <c r="BC1428" t="s">
        <v>90</v>
      </c>
      <c r="BF1428" s="5"/>
      <c r="BG1428" t="s">
        <v>67</v>
      </c>
      <c r="BH1428">
        <v>1</v>
      </c>
      <c r="BI1428" s="6">
        <v>20000</v>
      </c>
      <c r="BJ1428" s="6">
        <v>0</v>
      </c>
      <c r="BK1428" s="6">
        <v>0</v>
      </c>
      <c r="BL1428" s="6">
        <v>20000</v>
      </c>
      <c r="BM1428" s="2">
        <v>20000</v>
      </c>
      <c r="BN1428">
        <f>InvoiceTable[[#This Row],[Giảm giá]]*InvoiceTable[[#This Row],[Số lượng]]</f>
        <v>0</v>
      </c>
    </row>
    <row r="1429" spans="1:66" x14ac:dyDescent="0.25">
      <c r="A1429" t="s">
        <v>65</v>
      </c>
      <c r="B1429" t="s">
        <v>3810</v>
      </c>
      <c r="F1429" s="2"/>
      <c r="G1429" s="3">
        <v>46001.654168171299</v>
      </c>
      <c r="H1429" s="3">
        <v>46001.654168287037</v>
      </c>
      <c r="I1429" s="4" t="s">
        <v>67</v>
      </c>
      <c r="J1429" t="s">
        <v>3811</v>
      </c>
      <c r="K1429" t="s">
        <v>67</v>
      </c>
      <c r="L1429" t="s">
        <v>3812</v>
      </c>
      <c r="M1429" t="s">
        <v>3813</v>
      </c>
      <c r="N1429" t="s">
        <v>67</v>
      </c>
      <c r="O1429" t="s">
        <v>3814</v>
      </c>
      <c r="P1429" t="s">
        <v>3815</v>
      </c>
      <c r="S1429" s="5"/>
      <c r="T1429" t="s">
        <v>72</v>
      </c>
      <c r="U1429" t="s">
        <v>102</v>
      </c>
      <c r="V1429" t="s">
        <v>74</v>
      </c>
      <c r="W1429" t="s">
        <v>87</v>
      </c>
      <c r="AE1429" s="2"/>
      <c r="AF1429" s="2"/>
      <c r="AG1429" s="2"/>
      <c r="AH1429" s="2"/>
      <c r="AK1429" t="s">
        <v>3816</v>
      </c>
      <c r="AL1429" s="2">
        <v>1496800</v>
      </c>
      <c r="AM1429" s="2">
        <v>0</v>
      </c>
      <c r="AN1429" s="2"/>
      <c r="AO1429" s="2">
        <v>0</v>
      </c>
      <c r="AP1429" s="2">
        <v>1496800</v>
      </c>
      <c r="AQ1429" s="2">
        <v>0</v>
      </c>
      <c r="AR1429" s="2">
        <v>0</v>
      </c>
      <c r="AS1429" s="2">
        <v>0</v>
      </c>
      <c r="AT1429" s="2">
        <v>0</v>
      </c>
      <c r="AU1429" s="2">
        <v>0</v>
      </c>
      <c r="AV1429" s="2">
        <v>0</v>
      </c>
      <c r="AW1429" s="4"/>
      <c r="AX1429" t="s">
        <v>75</v>
      </c>
      <c r="AZ1429" t="s">
        <v>3248</v>
      </c>
      <c r="BA1429" t="s">
        <v>67</v>
      </c>
      <c r="BB1429" t="s">
        <v>3249</v>
      </c>
      <c r="BC1429" t="s">
        <v>721</v>
      </c>
      <c r="BD1429" t="s">
        <v>79</v>
      </c>
      <c r="BE1429" t="s">
        <v>216</v>
      </c>
      <c r="BF1429" s="5">
        <v>46784</v>
      </c>
      <c r="BH1429">
        <v>1</v>
      </c>
      <c r="BI1429" s="6">
        <v>980000</v>
      </c>
      <c r="BJ1429" s="6">
        <v>44</v>
      </c>
      <c r="BK1429" s="6">
        <v>431200</v>
      </c>
      <c r="BL1429" s="6">
        <v>548800</v>
      </c>
      <c r="BM1429" s="2">
        <v>548800</v>
      </c>
      <c r="BN1429">
        <f>InvoiceTable[[#This Row],[Giảm giá]]*InvoiceTable[[#This Row],[Số lượng]]</f>
        <v>431200</v>
      </c>
    </row>
    <row r="1430" spans="1:66" x14ac:dyDescent="0.25">
      <c r="A1430" t="s">
        <v>65</v>
      </c>
      <c r="B1430" t="s">
        <v>3810</v>
      </c>
      <c r="F1430" s="2"/>
      <c r="G1430" s="3">
        <v>46001.654168171299</v>
      </c>
      <c r="H1430" s="3">
        <v>46001.654168287037</v>
      </c>
      <c r="I1430" s="4" t="s">
        <v>67</v>
      </c>
      <c r="J1430" t="s">
        <v>3811</v>
      </c>
      <c r="K1430" t="s">
        <v>67</v>
      </c>
      <c r="L1430" t="s">
        <v>3812</v>
      </c>
      <c r="M1430" t="s">
        <v>3813</v>
      </c>
      <c r="N1430" t="s">
        <v>67</v>
      </c>
      <c r="O1430" t="s">
        <v>3814</v>
      </c>
      <c r="P1430" t="s">
        <v>3815</v>
      </c>
      <c r="S1430" s="5"/>
      <c r="T1430" t="s">
        <v>72</v>
      </c>
      <c r="U1430" t="s">
        <v>102</v>
      </c>
      <c r="V1430" t="s">
        <v>74</v>
      </c>
      <c r="W1430" t="s">
        <v>87</v>
      </c>
      <c r="AE1430" s="2"/>
      <c r="AF1430" s="2"/>
      <c r="AG1430" s="2"/>
      <c r="AH1430" s="2"/>
      <c r="AK1430" t="s">
        <v>3816</v>
      </c>
      <c r="AL1430" s="2">
        <v>1496800</v>
      </c>
      <c r="AM1430" s="2">
        <v>0</v>
      </c>
      <c r="AN1430" s="2"/>
      <c r="AO1430" s="2">
        <v>0</v>
      </c>
      <c r="AP1430" s="2">
        <v>1496800</v>
      </c>
      <c r="AQ1430" s="2">
        <v>0</v>
      </c>
      <c r="AR1430" s="2">
        <v>0</v>
      </c>
      <c r="AS1430" s="2">
        <v>0</v>
      </c>
      <c r="AT1430" s="2">
        <v>0</v>
      </c>
      <c r="AU1430" s="2">
        <v>0</v>
      </c>
      <c r="AV1430" s="2">
        <v>0</v>
      </c>
      <c r="AW1430" s="4"/>
      <c r="AX1430" t="s">
        <v>75</v>
      </c>
      <c r="AZ1430" t="s">
        <v>1862</v>
      </c>
      <c r="BA1430" t="s">
        <v>67</v>
      </c>
      <c r="BB1430" t="s">
        <v>1863</v>
      </c>
      <c r="BC1430" t="s">
        <v>721</v>
      </c>
      <c r="BD1430" t="s">
        <v>79</v>
      </c>
      <c r="BE1430" t="s">
        <v>324</v>
      </c>
      <c r="BF1430" s="5">
        <v>47058</v>
      </c>
      <c r="BH1430">
        <v>1</v>
      </c>
      <c r="BI1430" s="6">
        <v>1100000</v>
      </c>
      <c r="BJ1430" s="6">
        <v>44</v>
      </c>
      <c r="BK1430" s="6">
        <v>484000</v>
      </c>
      <c r="BL1430" s="6">
        <v>616000</v>
      </c>
      <c r="BM1430" s="2">
        <v>616000</v>
      </c>
      <c r="BN1430">
        <f>InvoiceTable[[#This Row],[Giảm giá]]*InvoiceTable[[#This Row],[Số lượng]]</f>
        <v>484000</v>
      </c>
    </row>
    <row r="1431" spans="1:66" x14ac:dyDescent="0.25">
      <c r="A1431" t="s">
        <v>65</v>
      </c>
      <c r="B1431" t="s">
        <v>3810</v>
      </c>
      <c r="F1431" s="2"/>
      <c r="G1431" s="3">
        <v>46001.654168171299</v>
      </c>
      <c r="H1431" s="3">
        <v>46001.654168287037</v>
      </c>
      <c r="I1431" s="4" t="s">
        <v>67</v>
      </c>
      <c r="J1431" t="s">
        <v>3811</v>
      </c>
      <c r="K1431" t="s">
        <v>67</v>
      </c>
      <c r="L1431" t="s">
        <v>3812</v>
      </c>
      <c r="M1431" t="s">
        <v>3813</v>
      </c>
      <c r="N1431" t="s">
        <v>67</v>
      </c>
      <c r="O1431" t="s">
        <v>3814</v>
      </c>
      <c r="P1431" t="s">
        <v>3815</v>
      </c>
      <c r="S1431" s="5"/>
      <c r="T1431" t="s">
        <v>72</v>
      </c>
      <c r="U1431" t="s">
        <v>102</v>
      </c>
      <c r="V1431" t="s">
        <v>74</v>
      </c>
      <c r="W1431" t="s">
        <v>87</v>
      </c>
      <c r="AE1431" s="2"/>
      <c r="AF1431" s="2"/>
      <c r="AG1431" s="2"/>
      <c r="AH1431" s="2"/>
      <c r="AK1431" t="s">
        <v>3816</v>
      </c>
      <c r="AL1431" s="2">
        <v>1496800</v>
      </c>
      <c r="AM1431" s="2">
        <v>0</v>
      </c>
      <c r="AN1431" s="2"/>
      <c r="AO1431" s="2">
        <v>0</v>
      </c>
      <c r="AP1431" s="2">
        <v>1496800</v>
      </c>
      <c r="AQ1431" s="2">
        <v>0</v>
      </c>
      <c r="AR1431" s="2">
        <v>0</v>
      </c>
      <c r="AS1431" s="2">
        <v>0</v>
      </c>
      <c r="AT1431" s="2">
        <v>0</v>
      </c>
      <c r="AU1431" s="2">
        <v>0</v>
      </c>
      <c r="AV1431" s="2">
        <v>0</v>
      </c>
      <c r="AW1431" s="4"/>
      <c r="AX1431" t="s">
        <v>75</v>
      </c>
      <c r="AZ1431" t="s">
        <v>1310</v>
      </c>
      <c r="BA1431" t="s">
        <v>67</v>
      </c>
      <c r="BB1431" t="s">
        <v>1311</v>
      </c>
      <c r="BC1431" t="s">
        <v>1219</v>
      </c>
      <c r="BD1431" t="s">
        <v>79</v>
      </c>
      <c r="BE1431" t="s">
        <v>1312</v>
      </c>
      <c r="BF1431" s="5">
        <v>46983</v>
      </c>
      <c r="BG1431" t="s">
        <v>67</v>
      </c>
      <c r="BH1431">
        <v>1</v>
      </c>
      <c r="BI1431" s="6">
        <v>520000</v>
      </c>
      <c r="BJ1431" s="6">
        <v>40</v>
      </c>
      <c r="BK1431" s="6">
        <v>208000</v>
      </c>
      <c r="BL1431" s="6">
        <v>312000</v>
      </c>
      <c r="BM1431" s="2">
        <v>312000</v>
      </c>
      <c r="BN1431">
        <f>InvoiceTable[[#This Row],[Giảm giá]]*InvoiceTable[[#This Row],[Số lượng]]</f>
        <v>208000</v>
      </c>
    </row>
    <row r="1432" spans="1:66" x14ac:dyDescent="0.25">
      <c r="A1432" t="s">
        <v>65</v>
      </c>
      <c r="B1432" t="s">
        <v>3817</v>
      </c>
      <c r="F1432" s="2"/>
      <c r="G1432" s="3">
        <v>46001.65125304398</v>
      </c>
      <c r="H1432" s="3">
        <v>46001.651253124997</v>
      </c>
      <c r="I1432" s="4" t="s">
        <v>67</v>
      </c>
      <c r="J1432" t="s">
        <v>67</v>
      </c>
      <c r="K1432" t="s">
        <v>67</v>
      </c>
      <c r="L1432" t="s">
        <v>1203</v>
      </c>
      <c r="M1432" t="s">
        <v>1204</v>
      </c>
      <c r="N1432" t="s">
        <v>1205</v>
      </c>
      <c r="O1432" t="s">
        <v>1206</v>
      </c>
      <c r="P1432" t="s">
        <v>1207</v>
      </c>
      <c r="S1432" s="5"/>
      <c r="T1432" t="s">
        <v>72</v>
      </c>
      <c r="U1432" t="s">
        <v>87</v>
      </c>
      <c r="V1432" t="s">
        <v>74</v>
      </c>
      <c r="W1432" t="s">
        <v>87</v>
      </c>
      <c r="AE1432" s="2"/>
      <c r="AF1432" s="2"/>
      <c r="AG1432" s="2"/>
      <c r="AH1432" s="2"/>
      <c r="AL1432" s="2">
        <v>324800</v>
      </c>
      <c r="AM1432" s="2">
        <v>0</v>
      </c>
      <c r="AN1432" s="2"/>
      <c r="AO1432" s="2">
        <v>0</v>
      </c>
      <c r="AP1432" s="2">
        <v>324800</v>
      </c>
      <c r="AQ1432" s="2">
        <v>324800</v>
      </c>
      <c r="AR1432" s="2">
        <v>0</v>
      </c>
      <c r="AS1432" s="2">
        <v>0</v>
      </c>
      <c r="AT1432" s="2">
        <v>0</v>
      </c>
      <c r="AU1432" s="2">
        <v>324800</v>
      </c>
      <c r="AV1432" s="2">
        <v>0</v>
      </c>
      <c r="AW1432" s="4"/>
      <c r="AX1432" t="s">
        <v>75</v>
      </c>
      <c r="AZ1432" t="s">
        <v>1217</v>
      </c>
      <c r="BA1432" t="s">
        <v>67</v>
      </c>
      <c r="BB1432" t="s">
        <v>1218</v>
      </c>
      <c r="BC1432" t="s">
        <v>1219</v>
      </c>
      <c r="BD1432" t="s">
        <v>79</v>
      </c>
      <c r="BE1432" t="s">
        <v>1220</v>
      </c>
      <c r="BF1432" s="5">
        <v>46952</v>
      </c>
      <c r="BG1432" t="s">
        <v>67</v>
      </c>
      <c r="BH1432">
        <v>1</v>
      </c>
      <c r="BI1432" s="6">
        <v>560000</v>
      </c>
      <c r="BJ1432" s="6">
        <v>42</v>
      </c>
      <c r="BK1432" s="6">
        <v>235200</v>
      </c>
      <c r="BL1432" s="6">
        <v>324800</v>
      </c>
      <c r="BM1432" s="2">
        <v>324800</v>
      </c>
      <c r="BN1432">
        <f>InvoiceTable[[#This Row],[Giảm giá]]*InvoiceTable[[#This Row],[Số lượng]]</f>
        <v>235200</v>
      </c>
    </row>
    <row r="1433" spans="1:66" x14ac:dyDescent="0.25">
      <c r="A1433" t="s">
        <v>65</v>
      </c>
      <c r="B1433" t="s">
        <v>3818</v>
      </c>
      <c r="F1433" s="2"/>
      <c r="G1433" s="3">
        <v>46001.649839386577</v>
      </c>
      <c r="H1433" s="3">
        <v>46001.649839467595</v>
      </c>
      <c r="I1433" s="4" t="s">
        <v>3767</v>
      </c>
      <c r="J1433" t="s">
        <v>67</v>
      </c>
      <c r="K1433" t="s">
        <v>3819</v>
      </c>
      <c r="L1433" t="s">
        <v>1203</v>
      </c>
      <c r="M1433" t="s">
        <v>1204</v>
      </c>
      <c r="N1433" t="s">
        <v>1205</v>
      </c>
      <c r="O1433" t="s">
        <v>1206</v>
      </c>
      <c r="P1433" t="s">
        <v>1207</v>
      </c>
      <c r="S1433" s="5"/>
      <c r="T1433" t="s">
        <v>72</v>
      </c>
      <c r="U1433" t="s">
        <v>87</v>
      </c>
      <c r="V1433" t="s">
        <v>74</v>
      </c>
      <c r="W1433" t="s">
        <v>87</v>
      </c>
      <c r="AE1433" s="2"/>
      <c r="AF1433" s="2"/>
      <c r="AG1433" s="2"/>
      <c r="AH1433" s="2"/>
      <c r="AL1433" s="2">
        <v>3732680</v>
      </c>
      <c r="AM1433" s="2">
        <v>0</v>
      </c>
      <c r="AN1433" s="2"/>
      <c r="AO1433" s="2">
        <v>0</v>
      </c>
      <c r="AP1433" s="2">
        <v>3732680</v>
      </c>
      <c r="AQ1433" s="2">
        <v>2192600</v>
      </c>
      <c r="AR1433" s="2">
        <v>0</v>
      </c>
      <c r="AS1433" s="2">
        <v>0</v>
      </c>
      <c r="AT1433" s="2">
        <v>0</v>
      </c>
      <c r="AU1433" s="2">
        <v>2192600</v>
      </c>
      <c r="AV1433" s="2">
        <v>0</v>
      </c>
      <c r="AW1433" s="4"/>
      <c r="AX1433" t="s">
        <v>75</v>
      </c>
      <c r="AZ1433" t="s">
        <v>984</v>
      </c>
      <c r="BB1433" t="s">
        <v>985</v>
      </c>
      <c r="BC1433" t="s">
        <v>986</v>
      </c>
      <c r="BD1433" t="s">
        <v>79</v>
      </c>
      <c r="BE1433" t="s">
        <v>188</v>
      </c>
      <c r="BF1433" s="5">
        <v>46905</v>
      </c>
      <c r="BH1433">
        <v>1</v>
      </c>
      <c r="BI1433" s="6">
        <v>2484000</v>
      </c>
      <c r="BJ1433" s="6">
        <v>38</v>
      </c>
      <c r="BK1433" s="6">
        <v>943920</v>
      </c>
      <c r="BL1433" s="6">
        <v>1540080</v>
      </c>
      <c r="BM1433" s="2">
        <v>1540080</v>
      </c>
      <c r="BN1433">
        <f>InvoiceTable[[#This Row],[Giảm giá]]*InvoiceTable[[#This Row],[Số lượng]]</f>
        <v>943920</v>
      </c>
    </row>
    <row r="1434" spans="1:66" x14ac:dyDescent="0.25">
      <c r="A1434" t="s">
        <v>65</v>
      </c>
      <c r="B1434" t="s">
        <v>3818</v>
      </c>
      <c r="F1434" s="2"/>
      <c r="G1434" s="3">
        <v>46001.649839386577</v>
      </c>
      <c r="H1434" s="3">
        <v>46001.649839467595</v>
      </c>
      <c r="I1434" s="4" t="s">
        <v>3767</v>
      </c>
      <c r="J1434" t="s">
        <v>67</v>
      </c>
      <c r="K1434" t="s">
        <v>3819</v>
      </c>
      <c r="L1434" t="s">
        <v>1203</v>
      </c>
      <c r="M1434" t="s">
        <v>1204</v>
      </c>
      <c r="N1434" t="s">
        <v>1205</v>
      </c>
      <c r="O1434" t="s">
        <v>1206</v>
      </c>
      <c r="P1434" t="s">
        <v>1207</v>
      </c>
      <c r="S1434" s="5"/>
      <c r="T1434" t="s">
        <v>72</v>
      </c>
      <c r="U1434" t="s">
        <v>87</v>
      </c>
      <c r="V1434" t="s">
        <v>74</v>
      </c>
      <c r="W1434" t="s">
        <v>87</v>
      </c>
      <c r="AE1434" s="2"/>
      <c r="AF1434" s="2"/>
      <c r="AG1434" s="2"/>
      <c r="AH1434" s="2"/>
      <c r="AL1434" s="2">
        <v>3732680</v>
      </c>
      <c r="AM1434" s="2">
        <v>0</v>
      </c>
      <c r="AN1434" s="2"/>
      <c r="AO1434" s="2">
        <v>0</v>
      </c>
      <c r="AP1434" s="2">
        <v>3732680</v>
      </c>
      <c r="AQ1434" s="2">
        <v>2192600</v>
      </c>
      <c r="AR1434" s="2">
        <v>0</v>
      </c>
      <c r="AS1434" s="2">
        <v>0</v>
      </c>
      <c r="AT1434" s="2">
        <v>0</v>
      </c>
      <c r="AU1434" s="2">
        <v>2192600</v>
      </c>
      <c r="AV1434" s="2">
        <v>0</v>
      </c>
      <c r="AW1434" s="4"/>
      <c r="AX1434" t="s">
        <v>75</v>
      </c>
      <c r="AZ1434" t="s">
        <v>1210</v>
      </c>
      <c r="BA1434" t="s">
        <v>67</v>
      </c>
      <c r="BB1434" t="s">
        <v>1211</v>
      </c>
      <c r="BC1434" t="s">
        <v>251</v>
      </c>
      <c r="BD1434" t="s">
        <v>79</v>
      </c>
      <c r="BE1434" t="s">
        <v>293</v>
      </c>
      <c r="BF1434" s="5">
        <v>46722</v>
      </c>
      <c r="BH1434">
        <v>1</v>
      </c>
      <c r="BI1434" s="6">
        <v>520000</v>
      </c>
      <c r="BJ1434" s="6">
        <v>42</v>
      </c>
      <c r="BK1434" s="6">
        <v>218400</v>
      </c>
      <c r="BL1434" s="6">
        <v>301600</v>
      </c>
      <c r="BM1434" s="2">
        <v>301600</v>
      </c>
      <c r="BN1434">
        <f>InvoiceTable[[#This Row],[Giảm giá]]*InvoiceTable[[#This Row],[Số lượng]]</f>
        <v>218400</v>
      </c>
    </row>
    <row r="1435" spans="1:66" x14ac:dyDescent="0.25">
      <c r="A1435" t="s">
        <v>65</v>
      </c>
      <c r="B1435" t="s">
        <v>3818</v>
      </c>
      <c r="F1435" s="2"/>
      <c r="G1435" s="3">
        <v>46001.649839386577</v>
      </c>
      <c r="H1435" s="3">
        <v>46001.649839467595</v>
      </c>
      <c r="I1435" s="4" t="s">
        <v>3767</v>
      </c>
      <c r="J1435" t="s">
        <v>67</v>
      </c>
      <c r="K1435" t="s">
        <v>3819</v>
      </c>
      <c r="L1435" t="s">
        <v>1203</v>
      </c>
      <c r="M1435" t="s">
        <v>1204</v>
      </c>
      <c r="N1435" t="s">
        <v>1205</v>
      </c>
      <c r="O1435" t="s">
        <v>1206</v>
      </c>
      <c r="P1435" t="s">
        <v>1207</v>
      </c>
      <c r="S1435" s="5"/>
      <c r="T1435" t="s">
        <v>72</v>
      </c>
      <c r="U1435" t="s">
        <v>87</v>
      </c>
      <c r="V1435" t="s">
        <v>74</v>
      </c>
      <c r="W1435" t="s">
        <v>87</v>
      </c>
      <c r="AE1435" s="2"/>
      <c r="AF1435" s="2"/>
      <c r="AG1435" s="2"/>
      <c r="AH1435" s="2"/>
      <c r="AL1435" s="2">
        <v>3732680</v>
      </c>
      <c r="AM1435" s="2">
        <v>0</v>
      </c>
      <c r="AN1435" s="2"/>
      <c r="AO1435" s="2">
        <v>0</v>
      </c>
      <c r="AP1435" s="2">
        <v>3732680</v>
      </c>
      <c r="AQ1435" s="2">
        <v>2192600</v>
      </c>
      <c r="AR1435" s="2">
        <v>0</v>
      </c>
      <c r="AS1435" s="2">
        <v>0</v>
      </c>
      <c r="AT1435" s="2">
        <v>0</v>
      </c>
      <c r="AU1435" s="2">
        <v>2192600</v>
      </c>
      <c r="AV1435" s="2">
        <v>0</v>
      </c>
      <c r="AW1435" s="4"/>
      <c r="AX1435" t="s">
        <v>75</v>
      </c>
      <c r="AZ1435" t="s">
        <v>1284</v>
      </c>
      <c r="BA1435" t="s">
        <v>67</v>
      </c>
      <c r="BB1435" t="s">
        <v>1285</v>
      </c>
      <c r="BC1435" t="s">
        <v>1219</v>
      </c>
      <c r="BD1435" t="s">
        <v>79</v>
      </c>
      <c r="BE1435" t="s">
        <v>317</v>
      </c>
      <c r="BF1435" s="5">
        <v>46935</v>
      </c>
      <c r="BH1435">
        <v>1</v>
      </c>
      <c r="BI1435" s="6">
        <v>480000</v>
      </c>
      <c r="BJ1435" s="6">
        <v>42</v>
      </c>
      <c r="BK1435" s="6">
        <v>201600</v>
      </c>
      <c r="BL1435" s="6">
        <v>278400</v>
      </c>
      <c r="BM1435" s="2">
        <v>278400</v>
      </c>
      <c r="BN1435">
        <f>InvoiceTable[[#This Row],[Giảm giá]]*InvoiceTable[[#This Row],[Số lượng]]</f>
        <v>201600</v>
      </c>
    </row>
    <row r="1436" spans="1:66" x14ac:dyDescent="0.25">
      <c r="A1436" t="s">
        <v>65</v>
      </c>
      <c r="B1436" t="s">
        <v>3818</v>
      </c>
      <c r="F1436" s="2"/>
      <c r="G1436" s="3">
        <v>46001.649839386577</v>
      </c>
      <c r="H1436" s="3">
        <v>46001.649839467595</v>
      </c>
      <c r="I1436" s="4" t="s">
        <v>3767</v>
      </c>
      <c r="J1436" t="s">
        <v>67</v>
      </c>
      <c r="K1436" t="s">
        <v>3819</v>
      </c>
      <c r="L1436" t="s">
        <v>1203</v>
      </c>
      <c r="M1436" t="s">
        <v>1204</v>
      </c>
      <c r="N1436" t="s">
        <v>1205</v>
      </c>
      <c r="O1436" t="s">
        <v>1206</v>
      </c>
      <c r="P1436" t="s">
        <v>1207</v>
      </c>
      <c r="S1436" s="5"/>
      <c r="T1436" t="s">
        <v>72</v>
      </c>
      <c r="U1436" t="s">
        <v>87</v>
      </c>
      <c r="V1436" t="s">
        <v>74</v>
      </c>
      <c r="W1436" t="s">
        <v>87</v>
      </c>
      <c r="AE1436" s="2"/>
      <c r="AF1436" s="2"/>
      <c r="AG1436" s="2"/>
      <c r="AH1436" s="2"/>
      <c r="AL1436" s="2">
        <v>3732680</v>
      </c>
      <c r="AM1436" s="2">
        <v>0</v>
      </c>
      <c r="AN1436" s="2"/>
      <c r="AO1436" s="2">
        <v>0</v>
      </c>
      <c r="AP1436" s="2">
        <v>3732680</v>
      </c>
      <c r="AQ1436" s="2">
        <v>2192600</v>
      </c>
      <c r="AR1436" s="2">
        <v>0</v>
      </c>
      <c r="AS1436" s="2">
        <v>0</v>
      </c>
      <c r="AT1436" s="2">
        <v>0</v>
      </c>
      <c r="AU1436" s="2">
        <v>2192600</v>
      </c>
      <c r="AV1436" s="2">
        <v>0</v>
      </c>
      <c r="AW1436" s="4"/>
      <c r="AX1436" t="s">
        <v>75</v>
      </c>
      <c r="AZ1436" t="s">
        <v>991</v>
      </c>
      <c r="BA1436" t="s">
        <v>67</v>
      </c>
      <c r="BB1436" t="s">
        <v>992</v>
      </c>
      <c r="BC1436" t="s">
        <v>344</v>
      </c>
      <c r="BD1436" t="s">
        <v>79</v>
      </c>
      <c r="BE1436" t="s">
        <v>201</v>
      </c>
      <c r="BF1436" s="5">
        <v>46966</v>
      </c>
      <c r="BH1436">
        <v>3</v>
      </c>
      <c r="BI1436" s="6">
        <v>180000</v>
      </c>
      <c r="BJ1436" s="6">
        <v>42</v>
      </c>
      <c r="BK1436" s="6">
        <v>75600</v>
      </c>
      <c r="BL1436" s="6">
        <v>104400</v>
      </c>
      <c r="BM1436" s="2">
        <v>313200</v>
      </c>
      <c r="BN1436">
        <f>InvoiceTable[[#This Row],[Giảm giá]]*InvoiceTable[[#This Row],[Số lượng]]</f>
        <v>226800</v>
      </c>
    </row>
    <row r="1437" spans="1:66" x14ac:dyDescent="0.25">
      <c r="A1437" t="s">
        <v>65</v>
      </c>
      <c r="B1437" t="s">
        <v>3818</v>
      </c>
      <c r="F1437" s="2"/>
      <c r="G1437" s="3">
        <v>46001.649839386577</v>
      </c>
      <c r="H1437" s="3">
        <v>46001.649839467595</v>
      </c>
      <c r="I1437" s="4" t="s">
        <v>3767</v>
      </c>
      <c r="J1437" t="s">
        <v>67</v>
      </c>
      <c r="K1437" t="s">
        <v>3819</v>
      </c>
      <c r="L1437" t="s">
        <v>1203</v>
      </c>
      <c r="M1437" t="s">
        <v>1204</v>
      </c>
      <c r="N1437" t="s">
        <v>1205</v>
      </c>
      <c r="O1437" t="s">
        <v>1206</v>
      </c>
      <c r="P1437" t="s">
        <v>1207</v>
      </c>
      <c r="S1437" s="5"/>
      <c r="T1437" t="s">
        <v>72</v>
      </c>
      <c r="U1437" t="s">
        <v>87</v>
      </c>
      <c r="V1437" t="s">
        <v>74</v>
      </c>
      <c r="W1437" t="s">
        <v>87</v>
      </c>
      <c r="AE1437" s="2"/>
      <c r="AF1437" s="2"/>
      <c r="AG1437" s="2"/>
      <c r="AH1437" s="2"/>
      <c r="AL1437" s="2">
        <v>3732680</v>
      </c>
      <c r="AM1437" s="2">
        <v>0</v>
      </c>
      <c r="AN1437" s="2"/>
      <c r="AO1437" s="2">
        <v>0</v>
      </c>
      <c r="AP1437" s="2">
        <v>3732680</v>
      </c>
      <c r="AQ1437" s="2">
        <v>2192600</v>
      </c>
      <c r="AR1437" s="2">
        <v>0</v>
      </c>
      <c r="AS1437" s="2">
        <v>0</v>
      </c>
      <c r="AT1437" s="2">
        <v>0</v>
      </c>
      <c r="AU1437" s="2">
        <v>2192600</v>
      </c>
      <c r="AV1437" s="2">
        <v>0</v>
      </c>
      <c r="AW1437" s="4"/>
      <c r="AX1437" t="s">
        <v>75</v>
      </c>
      <c r="AZ1437" t="s">
        <v>2315</v>
      </c>
      <c r="BA1437" t="s">
        <v>67</v>
      </c>
      <c r="BB1437" t="s">
        <v>2316</v>
      </c>
      <c r="BC1437" t="s">
        <v>344</v>
      </c>
      <c r="BD1437" t="s">
        <v>79</v>
      </c>
      <c r="BE1437" t="s">
        <v>188</v>
      </c>
      <c r="BF1437" s="5">
        <v>46905</v>
      </c>
      <c r="BH1437">
        <v>1</v>
      </c>
      <c r="BI1437" s="6">
        <v>1050000</v>
      </c>
      <c r="BJ1437" s="6">
        <v>42</v>
      </c>
      <c r="BK1437" s="6">
        <v>441000</v>
      </c>
      <c r="BL1437" s="6">
        <v>609000</v>
      </c>
      <c r="BM1437" s="2">
        <v>609000</v>
      </c>
      <c r="BN1437">
        <f>InvoiceTable[[#This Row],[Giảm giá]]*InvoiceTable[[#This Row],[Số lượng]]</f>
        <v>441000</v>
      </c>
    </row>
    <row r="1438" spans="1:66" x14ac:dyDescent="0.25">
      <c r="A1438" t="s">
        <v>65</v>
      </c>
      <c r="B1438" t="s">
        <v>3818</v>
      </c>
      <c r="F1438" s="2"/>
      <c r="G1438" s="3">
        <v>46001.649839386577</v>
      </c>
      <c r="H1438" s="3">
        <v>46001.649839467595</v>
      </c>
      <c r="I1438" s="4" t="s">
        <v>3767</v>
      </c>
      <c r="J1438" t="s">
        <v>67</v>
      </c>
      <c r="K1438" t="s">
        <v>3819</v>
      </c>
      <c r="L1438" t="s">
        <v>1203</v>
      </c>
      <c r="M1438" t="s">
        <v>1204</v>
      </c>
      <c r="N1438" t="s">
        <v>1205</v>
      </c>
      <c r="O1438" t="s">
        <v>1206</v>
      </c>
      <c r="P1438" t="s">
        <v>1207</v>
      </c>
      <c r="S1438" s="5"/>
      <c r="T1438" t="s">
        <v>72</v>
      </c>
      <c r="U1438" t="s">
        <v>87</v>
      </c>
      <c r="V1438" t="s">
        <v>74</v>
      </c>
      <c r="W1438" t="s">
        <v>87</v>
      </c>
      <c r="AE1438" s="2"/>
      <c r="AF1438" s="2"/>
      <c r="AG1438" s="2"/>
      <c r="AH1438" s="2"/>
      <c r="AL1438" s="2">
        <v>3732680</v>
      </c>
      <c r="AM1438" s="2">
        <v>0</v>
      </c>
      <c r="AN1438" s="2"/>
      <c r="AO1438" s="2">
        <v>0</v>
      </c>
      <c r="AP1438" s="2">
        <v>3732680</v>
      </c>
      <c r="AQ1438" s="2">
        <v>2192600</v>
      </c>
      <c r="AR1438" s="2">
        <v>0</v>
      </c>
      <c r="AS1438" s="2">
        <v>0</v>
      </c>
      <c r="AT1438" s="2">
        <v>0</v>
      </c>
      <c r="AU1438" s="2">
        <v>2192600</v>
      </c>
      <c r="AV1438" s="2">
        <v>0</v>
      </c>
      <c r="AW1438" s="4"/>
      <c r="AX1438" t="s">
        <v>75</v>
      </c>
      <c r="AZ1438" t="s">
        <v>199</v>
      </c>
      <c r="BA1438" t="s">
        <v>67</v>
      </c>
      <c r="BB1438" t="s">
        <v>200</v>
      </c>
      <c r="BC1438" t="s">
        <v>187</v>
      </c>
      <c r="BD1438" t="s">
        <v>79</v>
      </c>
      <c r="BE1438" t="s">
        <v>201</v>
      </c>
      <c r="BF1438" s="5">
        <v>46966</v>
      </c>
      <c r="BH1438">
        <v>1</v>
      </c>
      <c r="BI1438" s="6">
        <v>360000</v>
      </c>
      <c r="BJ1438" s="6">
        <v>50</v>
      </c>
      <c r="BK1438" s="6">
        <v>180000</v>
      </c>
      <c r="BL1438" s="6">
        <v>180000</v>
      </c>
      <c r="BM1438" s="2">
        <v>180000</v>
      </c>
      <c r="BN1438">
        <f>InvoiceTable[[#This Row],[Giảm giá]]*InvoiceTable[[#This Row],[Số lượng]]</f>
        <v>180000</v>
      </c>
    </row>
    <row r="1439" spans="1:66" x14ac:dyDescent="0.25">
      <c r="A1439" t="s">
        <v>65</v>
      </c>
      <c r="B1439" t="s">
        <v>3818</v>
      </c>
      <c r="F1439" s="2"/>
      <c r="G1439" s="3">
        <v>46001.649839386577</v>
      </c>
      <c r="H1439" s="3">
        <v>46001.649839467595</v>
      </c>
      <c r="I1439" s="4" t="s">
        <v>3767</v>
      </c>
      <c r="J1439" t="s">
        <v>67</v>
      </c>
      <c r="K1439" t="s">
        <v>3819</v>
      </c>
      <c r="L1439" t="s">
        <v>1203</v>
      </c>
      <c r="M1439" t="s">
        <v>1204</v>
      </c>
      <c r="N1439" t="s">
        <v>1205</v>
      </c>
      <c r="O1439" t="s">
        <v>1206</v>
      </c>
      <c r="P1439" t="s">
        <v>1207</v>
      </c>
      <c r="S1439" s="5"/>
      <c r="T1439" t="s">
        <v>72</v>
      </c>
      <c r="U1439" t="s">
        <v>87</v>
      </c>
      <c r="V1439" t="s">
        <v>74</v>
      </c>
      <c r="W1439" t="s">
        <v>87</v>
      </c>
      <c r="AE1439" s="2"/>
      <c r="AF1439" s="2"/>
      <c r="AG1439" s="2"/>
      <c r="AH1439" s="2"/>
      <c r="AL1439" s="2">
        <v>3732680</v>
      </c>
      <c r="AM1439" s="2">
        <v>0</v>
      </c>
      <c r="AN1439" s="2"/>
      <c r="AO1439" s="2">
        <v>0</v>
      </c>
      <c r="AP1439" s="2">
        <v>3732680</v>
      </c>
      <c r="AQ1439" s="2">
        <v>2192600</v>
      </c>
      <c r="AR1439" s="2">
        <v>0</v>
      </c>
      <c r="AS1439" s="2">
        <v>0</v>
      </c>
      <c r="AT1439" s="2">
        <v>0</v>
      </c>
      <c r="AU1439" s="2">
        <v>2192600</v>
      </c>
      <c r="AV1439" s="2">
        <v>0</v>
      </c>
      <c r="AW1439" s="4"/>
      <c r="AX1439" t="s">
        <v>75</v>
      </c>
      <c r="AZ1439" t="s">
        <v>2221</v>
      </c>
      <c r="BA1439" t="s">
        <v>67</v>
      </c>
      <c r="BB1439" t="s">
        <v>2222</v>
      </c>
      <c r="BC1439" t="s">
        <v>344</v>
      </c>
      <c r="BD1439" t="s">
        <v>79</v>
      </c>
      <c r="BE1439" t="s">
        <v>142</v>
      </c>
      <c r="BF1439" s="5">
        <v>46844</v>
      </c>
      <c r="BH1439">
        <v>1</v>
      </c>
      <c r="BI1439" s="6">
        <v>880000</v>
      </c>
      <c r="BJ1439" s="6">
        <v>42</v>
      </c>
      <c r="BK1439" s="6">
        <v>369600</v>
      </c>
      <c r="BL1439" s="6">
        <v>510400</v>
      </c>
      <c r="BM1439" s="2">
        <v>510400</v>
      </c>
      <c r="BN1439">
        <f>InvoiceTable[[#This Row],[Giảm giá]]*InvoiceTable[[#This Row],[Số lượng]]</f>
        <v>369600</v>
      </c>
    </row>
    <row r="1440" spans="1:66" x14ac:dyDescent="0.25">
      <c r="A1440" t="s">
        <v>65</v>
      </c>
      <c r="B1440" t="s">
        <v>3820</v>
      </c>
      <c r="F1440" s="2"/>
      <c r="G1440" s="3">
        <v>46001.634840740742</v>
      </c>
      <c r="H1440" s="3">
        <v>46001.634840891202</v>
      </c>
      <c r="I1440" s="4" t="s">
        <v>67</v>
      </c>
      <c r="J1440" t="s">
        <v>67</v>
      </c>
      <c r="K1440" t="s">
        <v>67</v>
      </c>
      <c r="L1440" t="s">
        <v>2491</v>
      </c>
      <c r="M1440" t="s">
        <v>2492</v>
      </c>
      <c r="N1440" t="s">
        <v>2493</v>
      </c>
      <c r="O1440" t="s">
        <v>2494</v>
      </c>
      <c r="P1440" t="s">
        <v>2495</v>
      </c>
      <c r="S1440" s="5"/>
      <c r="T1440" t="s">
        <v>72</v>
      </c>
      <c r="U1440" t="s">
        <v>87</v>
      </c>
      <c r="V1440" t="s">
        <v>74</v>
      </c>
      <c r="W1440" t="s">
        <v>87</v>
      </c>
      <c r="AE1440" s="2"/>
      <c r="AF1440" s="2"/>
      <c r="AG1440" s="2"/>
      <c r="AH1440" s="2"/>
      <c r="AK1440" t="s">
        <v>3821</v>
      </c>
      <c r="AL1440" s="2">
        <v>529200</v>
      </c>
      <c r="AM1440" s="2">
        <v>0</v>
      </c>
      <c r="AN1440" s="2"/>
      <c r="AO1440" s="2">
        <v>0</v>
      </c>
      <c r="AP1440" s="2">
        <v>529200</v>
      </c>
      <c r="AQ1440" s="2">
        <v>529200</v>
      </c>
      <c r="AR1440" s="2">
        <v>0</v>
      </c>
      <c r="AS1440" s="2">
        <v>0</v>
      </c>
      <c r="AT1440" s="2">
        <v>0</v>
      </c>
      <c r="AU1440" s="2">
        <v>529200</v>
      </c>
      <c r="AV1440" s="2">
        <v>0</v>
      </c>
      <c r="AW1440" s="4"/>
      <c r="AX1440" t="s">
        <v>75</v>
      </c>
      <c r="AZ1440" t="s">
        <v>1989</v>
      </c>
      <c r="BA1440" t="s">
        <v>67</v>
      </c>
      <c r="BB1440" t="s">
        <v>1990</v>
      </c>
      <c r="BC1440" t="s">
        <v>1991</v>
      </c>
      <c r="BD1440" t="s">
        <v>79</v>
      </c>
      <c r="BE1440" t="s">
        <v>94</v>
      </c>
      <c r="BF1440" s="5">
        <v>46692</v>
      </c>
      <c r="BH1440">
        <v>10</v>
      </c>
      <c r="BI1440" s="6">
        <v>84000</v>
      </c>
      <c r="BJ1440" s="6">
        <v>37</v>
      </c>
      <c r="BK1440" s="6">
        <v>31080</v>
      </c>
      <c r="BL1440" s="6">
        <v>52920</v>
      </c>
      <c r="BM1440" s="2">
        <v>529200</v>
      </c>
      <c r="BN1440">
        <f>InvoiceTable[[#This Row],[Giảm giá]]*InvoiceTable[[#This Row],[Số lượng]]</f>
        <v>310800</v>
      </c>
    </row>
    <row r="1441" spans="1:66" x14ac:dyDescent="0.25">
      <c r="A1441" t="s">
        <v>65</v>
      </c>
      <c r="B1441" t="s">
        <v>3822</v>
      </c>
      <c r="F1441" s="2"/>
      <c r="G1441" s="3">
        <v>46001.620946215276</v>
      </c>
      <c r="H1441" s="3">
        <v>46001.620946377312</v>
      </c>
      <c r="I1441" s="4" t="s">
        <v>67</v>
      </c>
      <c r="J1441" t="s">
        <v>3823</v>
      </c>
      <c r="K1441" t="s">
        <v>67</v>
      </c>
      <c r="L1441" t="s">
        <v>963</v>
      </c>
      <c r="M1441" t="s">
        <v>964</v>
      </c>
      <c r="N1441" t="s">
        <v>67</v>
      </c>
      <c r="O1441" t="s">
        <v>965</v>
      </c>
      <c r="P1441" t="s">
        <v>966</v>
      </c>
      <c r="Q1441" t="s">
        <v>67</v>
      </c>
      <c r="R1441" t="s">
        <v>67</v>
      </c>
      <c r="S1441" s="5"/>
      <c r="T1441" t="s">
        <v>72</v>
      </c>
      <c r="U1441" t="s">
        <v>102</v>
      </c>
      <c r="V1441" t="s">
        <v>74</v>
      </c>
      <c r="W1441" t="s">
        <v>87</v>
      </c>
      <c r="AE1441" s="2"/>
      <c r="AF1441" s="2"/>
      <c r="AG1441" s="2"/>
      <c r="AH1441" s="2"/>
      <c r="AK1441" t="s">
        <v>1003</v>
      </c>
      <c r="AL1441" s="2">
        <v>11310000</v>
      </c>
      <c r="AM1441" s="2">
        <v>0</v>
      </c>
      <c r="AN1441" s="2"/>
      <c r="AO1441" s="2">
        <v>0</v>
      </c>
      <c r="AP1441" s="2">
        <v>11310000</v>
      </c>
      <c r="AQ1441" s="2">
        <v>11310000</v>
      </c>
      <c r="AR1441" s="2">
        <v>11310000</v>
      </c>
      <c r="AS1441" s="2">
        <v>0</v>
      </c>
      <c r="AT1441" s="2">
        <v>0</v>
      </c>
      <c r="AU1441" s="2">
        <v>0</v>
      </c>
      <c r="AV1441" s="2">
        <v>0</v>
      </c>
      <c r="AW1441" s="4"/>
      <c r="AX1441" t="s">
        <v>75</v>
      </c>
      <c r="AZ1441" t="s">
        <v>1435</v>
      </c>
      <c r="BA1441" t="s">
        <v>67</v>
      </c>
      <c r="BB1441" t="s">
        <v>1436</v>
      </c>
      <c r="BC1441" t="s">
        <v>377</v>
      </c>
      <c r="BD1441" t="s">
        <v>79</v>
      </c>
      <c r="BE1441" t="s">
        <v>188</v>
      </c>
      <c r="BF1441" s="5">
        <v>46905</v>
      </c>
      <c r="BH1441">
        <v>10</v>
      </c>
      <c r="BI1441" s="6">
        <v>1885000</v>
      </c>
      <c r="BJ1441" s="6">
        <v>40</v>
      </c>
      <c r="BK1441" s="6">
        <v>754000</v>
      </c>
      <c r="BL1441" s="6">
        <v>1131000</v>
      </c>
      <c r="BM1441" s="2">
        <v>11310000</v>
      </c>
      <c r="BN1441">
        <f>InvoiceTable[[#This Row],[Giảm giá]]*InvoiceTable[[#This Row],[Số lượng]]</f>
        <v>7540000</v>
      </c>
    </row>
    <row r="1442" spans="1:66" x14ac:dyDescent="0.25">
      <c r="A1442" t="s">
        <v>65</v>
      </c>
      <c r="B1442" t="s">
        <v>3824</v>
      </c>
      <c r="F1442" s="2"/>
      <c r="G1442" s="3">
        <v>46001.585262233799</v>
      </c>
      <c r="H1442" s="3">
        <v>46001.585262499997</v>
      </c>
      <c r="I1442" s="4" t="s">
        <v>67</v>
      </c>
      <c r="J1442" t="s">
        <v>3825</v>
      </c>
      <c r="K1442" t="s">
        <v>67</v>
      </c>
      <c r="L1442" t="s">
        <v>1424</v>
      </c>
      <c r="M1442" t="s">
        <v>1425</v>
      </c>
      <c r="N1442" t="s">
        <v>1426</v>
      </c>
      <c r="O1442" t="s">
        <v>1427</v>
      </c>
      <c r="P1442" t="s">
        <v>1428</v>
      </c>
      <c r="S1442" s="5"/>
      <c r="T1442" t="s">
        <v>72</v>
      </c>
      <c r="U1442" t="s">
        <v>73</v>
      </c>
      <c r="V1442" t="s">
        <v>74</v>
      </c>
      <c r="W1442" t="s">
        <v>87</v>
      </c>
      <c r="AE1442" s="2"/>
      <c r="AF1442" s="2"/>
      <c r="AG1442" s="2"/>
      <c r="AH1442" s="2"/>
      <c r="AK1442" t="s">
        <v>3826</v>
      </c>
      <c r="AL1442" s="2">
        <v>850000</v>
      </c>
      <c r="AM1442" s="2">
        <v>0</v>
      </c>
      <c r="AN1442" s="2"/>
      <c r="AO1442" s="2">
        <v>0</v>
      </c>
      <c r="AP1442" s="2">
        <v>850000</v>
      </c>
      <c r="AQ1442" s="2">
        <v>850000</v>
      </c>
      <c r="AR1442" s="2">
        <v>850000</v>
      </c>
      <c r="AS1442" s="2">
        <v>0</v>
      </c>
      <c r="AT1442" s="2">
        <v>0</v>
      </c>
      <c r="AU1442" s="2">
        <v>0</v>
      </c>
      <c r="AV1442" s="2">
        <v>0</v>
      </c>
      <c r="AW1442" s="4"/>
      <c r="AX1442" t="s">
        <v>75</v>
      </c>
      <c r="AZ1442" t="s">
        <v>669</v>
      </c>
      <c r="BA1442" t="s">
        <v>67</v>
      </c>
      <c r="BB1442" t="s">
        <v>670</v>
      </c>
      <c r="BC1442" t="s">
        <v>126</v>
      </c>
      <c r="BD1442" t="s">
        <v>79</v>
      </c>
      <c r="BE1442" t="s">
        <v>159</v>
      </c>
      <c r="BF1442" s="5">
        <v>46478</v>
      </c>
      <c r="BG1442" t="s">
        <v>67</v>
      </c>
      <c r="BH1442">
        <v>5</v>
      </c>
      <c r="BI1442" s="6">
        <v>350000</v>
      </c>
      <c r="BJ1442" s="6">
        <v>0</v>
      </c>
      <c r="BK1442" s="6">
        <v>180000</v>
      </c>
      <c r="BL1442" s="6">
        <v>170000</v>
      </c>
      <c r="BM1442" s="2">
        <v>850000</v>
      </c>
      <c r="BN1442">
        <f>InvoiceTable[[#This Row],[Giảm giá]]*InvoiceTable[[#This Row],[Số lượng]]</f>
        <v>900000</v>
      </c>
    </row>
    <row r="1443" spans="1:66" x14ac:dyDescent="0.25">
      <c r="A1443" t="s">
        <v>65</v>
      </c>
      <c r="B1443" t="s">
        <v>3827</v>
      </c>
      <c r="F1443" s="2"/>
      <c r="G1443" s="3">
        <v>46001.585171527775</v>
      </c>
      <c r="H1443" s="3">
        <v>46001.585055902775</v>
      </c>
      <c r="I1443" s="4" t="s">
        <v>1465</v>
      </c>
      <c r="J1443" t="s">
        <v>3828</v>
      </c>
      <c r="K1443" t="s">
        <v>67</v>
      </c>
      <c r="L1443" t="s">
        <v>2262</v>
      </c>
      <c r="M1443" t="s">
        <v>2263</v>
      </c>
      <c r="N1443" t="s">
        <v>2264</v>
      </c>
      <c r="O1443" t="s">
        <v>2265</v>
      </c>
      <c r="P1443" t="s">
        <v>2266</v>
      </c>
      <c r="S1443" s="5"/>
      <c r="T1443" t="s">
        <v>72</v>
      </c>
      <c r="U1443" t="s">
        <v>73</v>
      </c>
      <c r="V1443" t="s">
        <v>74</v>
      </c>
      <c r="W1443" t="s">
        <v>87</v>
      </c>
      <c r="AE1443" s="2"/>
      <c r="AF1443" s="2"/>
      <c r="AG1443" s="2"/>
      <c r="AH1443" s="2"/>
      <c r="AK1443" t="s">
        <v>613</v>
      </c>
      <c r="AL1443" s="2">
        <v>2390000</v>
      </c>
      <c r="AM1443" s="2">
        <v>0</v>
      </c>
      <c r="AN1443" s="2"/>
      <c r="AO1443" s="2">
        <v>0</v>
      </c>
      <c r="AP1443" s="2">
        <v>2390000</v>
      </c>
      <c r="AQ1443" s="2">
        <v>2390000</v>
      </c>
      <c r="AR1443" s="2">
        <v>2390000</v>
      </c>
      <c r="AS1443" s="2">
        <v>0</v>
      </c>
      <c r="AT1443" s="2">
        <v>0</v>
      </c>
      <c r="AU1443" s="2">
        <v>0</v>
      </c>
      <c r="AV1443" s="2">
        <v>0</v>
      </c>
      <c r="AW1443" s="4"/>
      <c r="AX1443" t="s">
        <v>75</v>
      </c>
      <c r="AZ1443" t="s">
        <v>2267</v>
      </c>
      <c r="BA1443" t="s">
        <v>67</v>
      </c>
      <c r="BB1443" t="s">
        <v>2268</v>
      </c>
      <c r="BC1443" t="s">
        <v>2269</v>
      </c>
      <c r="BD1443" t="s">
        <v>79</v>
      </c>
      <c r="BE1443" t="s">
        <v>106</v>
      </c>
      <c r="BF1443" s="5">
        <v>46327</v>
      </c>
      <c r="BG1443" t="s">
        <v>67</v>
      </c>
      <c r="BH1443">
        <v>2</v>
      </c>
      <c r="BI1443" s="6">
        <v>890000</v>
      </c>
      <c r="BJ1443" s="6">
        <v>0</v>
      </c>
      <c r="BK1443" s="6">
        <v>520000</v>
      </c>
      <c r="BL1443" s="6">
        <v>370000</v>
      </c>
      <c r="BM1443" s="2">
        <v>740000</v>
      </c>
      <c r="BN1443">
        <f>InvoiceTable[[#This Row],[Giảm giá]]*InvoiceTable[[#This Row],[Số lượng]]</f>
        <v>1040000</v>
      </c>
    </row>
    <row r="1444" spans="1:66" x14ac:dyDescent="0.25">
      <c r="A1444" t="s">
        <v>65</v>
      </c>
      <c r="B1444" t="s">
        <v>3827</v>
      </c>
      <c r="F1444" s="2"/>
      <c r="G1444" s="3">
        <v>46001.585171527775</v>
      </c>
      <c r="H1444" s="3">
        <v>46001.585055902775</v>
      </c>
      <c r="I1444" s="4" t="s">
        <v>1465</v>
      </c>
      <c r="J1444" t="s">
        <v>3828</v>
      </c>
      <c r="K1444" t="s">
        <v>67</v>
      </c>
      <c r="L1444" t="s">
        <v>2262</v>
      </c>
      <c r="M1444" t="s">
        <v>2263</v>
      </c>
      <c r="N1444" t="s">
        <v>2264</v>
      </c>
      <c r="O1444" t="s">
        <v>2265</v>
      </c>
      <c r="P1444" t="s">
        <v>2266</v>
      </c>
      <c r="S1444" s="5"/>
      <c r="T1444" t="s">
        <v>72</v>
      </c>
      <c r="U1444" t="s">
        <v>73</v>
      </c>
      <c r="V1444" t="s">
        <v>74</v>
      </c>
      <c r="W1444" t="s">
        <v>87</v>
      </c>
      <c r="AE1444" s="2"/>
      <c r="AF1444" s="2"/>
      <c r="AG1444" s="2"/>
      <c r="AH1444" s="2"/>
      <c r="AK1444" t="s">
        <v>613</v>
      </c>
      <c r="AL1444" s="2">
        <v>2390000</v>
      </c>
      <c r="AM1444" s="2">
        <v>0</v>
      </c>
      <c r="AN1444" s="2"/>
      <c r="AO1444" s="2">
        <v>0</v>
      </c>
      <c r="AP1444" s="2">
        <v>2390000</v>
      </c>
      <c r="AQ1444" s="2">
        <v>2390000</v>
      </c>
      <c r="AR1444" s="2">
        <v>2390000</v>
      </c>
      <c r="AS1444" s="2">
        <v>0</v>
      </c>
      <c r="AT1444" s="2">
        <v>0</v>
      </c>
      <c r="AU1444" s="2">
        <v>0</v>
      </c>
      <c r="AV1444" s="2">
        <v>0</v>
      </c>
      <c r="AW1444" s="4"/>
      <c r="AX1444" t="s">
        <v>75</v>
      </c>
      <c r="AZ1444" t="s">
        <v>604</v>
      </c>
      <c r="BA1444" t="s">
        <v>67</v>
      </c>
      <c r="BB1444" t="s">
        <v>605</v>
      </c>
      <c r="BC1444" t="s">
        <v>606</v>
      </c>
      <c r="BD1444" t="s">
        <v>79</v>
      </c>
      <c r="BE1444" t="s">
        <v>168</v>
      </c>
      <c r="BF1444" s="5">
        <v>46388</v>
      </c>
      <c r="BG1444" t="s">
        <v>67</v>
      </c>
      <c r="BH1444">
        <v>3</v>
      </c>
      <c r="BI1444" s="6">
        <v>1100000</v>
      </c>
      <c r="BJ1444" s="6">
        <v>50</v>
      </c>
      <c r="BK1444" s="6">
        <v>550000</v>
      </c>
      <c r="BL1444" s="6">
        <v>550000</v>
      </c>
      <c r="BM1444" s="2">
        <v>1650000</v>
      </c>
      <c r="BN1444">
        <f>InvoiceTable[[#This Row],[Giảm giá]]*InvoiceTable[[#This Row],[Số lượng]]</f>
        <v>1650000</v>
      </c>
    </row>
    <row r="1445" spans="1:66" x14ac:dyDescent="0.25">
      <c r="A1445" t="s">
        <v>65</v>
      </c>
      <c r="B1445" t="s">
        <v>3829</v>
      </c>
      <c r="F1445" s="2"/>
      <c r="G1445" s="3">
        <v>46001.582944293979</v>
      </c>
      <c r="H1445" s="3">
        <v>46001.582759293982</v>
      </c>
      <c r="I1445" s="4" t="s">
        <v>96</v>
      </c>
      <c r="J1445" t="s">
        <v>67</v>
      </c>
      <c r="K1445" t="s">
        <v>67</v>
      </c>
      <c r="L1445" t="s">
        <v>455</v>
      </c>
      <c r="M1445" t="s">
        <v>456</v>
      </c>
      <c r="N1445" t="s">
        <v>67</v>
      </c>
      <c r="O1445" t="s">
        <v>457</v>
      </c>
      <c r="P1445" t="s">
        <v>458</v>
      </c>
      <c r="Q1445" t="s">
        <v>459</v>
      </c>
      <c r="R1445" t="s">
        <v>460</v>
      </c>
      <c r="S1445" s="5"/>
      <c r="T1445" t="s">
        <v>72</v>
      </c>
      <c r="U1445" t="s">
        <v>87</v>
      </c>
      <c r="V1445" t="s">
        <v>74</v>
      </c>
      <c r="W1445" t="s">
        <v>87</v>
      </c>
      <c r="AE1445" s="2"/>
      <c r="AF1445" s="2"/>
      <c r="AG1445" s="2"/>
      <c r="AH1445" s="2"/>
      <c r="AL1445" s="2">
        <v>8200000</v>
      </c>
      <c r="AM1445" s="2">
        <v>0</v>
      </c>
      <c r="AN1445" s="2"/>
      <c r="AO1445" s="2">
        <v>0</v>
      </c>
      <c r="AP1445" s="2">
        <v>8200000</v>
      </c>
      <c r="AQ1445" s="2">
        <v>0</v>
      </c>
      <c r="AR1445" s="2">
        <v>0</v>
      </c>
      <c r="AS1445" s="2">
        <v>0</v>
      </c>
      <c r="AT1445" s="2">
        <v>0</v>
      </c>
      <c r="AU1445" s="2">
        <v>0</v>
      </c>
      <c r="AV1445" s="2">
        <v>0</v>
      </c>
      <c r="AW1445" s="4"/>
      <c r="AX1445" t="s">
        <v>75</v>
      </c>
      <c r="AZ1445" t="s">
        <v>3830</v>
      </c>
      <c r="BA1445" t="s">
        <v>67</v>
      </c>
      <c r="BB1445" t="s">
        <v>3831</v>
      </c>
      <c r="BC1445" t="s">
        <v>606</v>
      </c>
      <c r="BD1445" t="s">
        <v>79</v>
      </c>
      <c r="BE1445" t="s">
        <v>168</v>
      </c>
      <c r="BF1445" s="5">
        <v>46388</v>
      </c>
      <c r="BH1445">
        <v>2</v>
      </c>
      <c r="BI1445" s="6">
        <v>11000000</v>
      </c>
      <c r="BJ1445" s="6">
        <v>0</v>
      </c>
      <c r="BK1445" s="6">
        <v>6900000</v>
      </c>
      <c r="BL1445" s="6">
        <v>4100000</v>
      </c>
      <c r="BM1445" s="2">
        <v>8200000</v>
      </c>
      <c r="BN1445">
        <f>InvoiceTable[[#This Row],[Giảm giá]]*InvoiceTable[[#This Row],[Số lượng]]</f>
        <v>13800000</v>
      </c>
    </row>
    <row r="1446" spans="1:66" x14ac:dyDescent="0.25">
      <c r="A1446" t="s">
        <v>65</v>
      </c>
      <c r="B1446" t="s">
        <v>3832</v>
      </c>
      <c r="F1446" s="2"/>
      <c r="G1446" s="3">
        <v>46001.581794988429</v>
      </c>
      <c r="H1446" s="3">
        <v>46001.58179571759</v>
      </c>
      <c r="I1446" s="4" t="s">
        <v>67</v>
      </c>
      <c r="J1446" t="s">
        <v>3833</v>
      </c>
      <c r="K1446" t="s">
        <v>67</v>
      </c>
      <c r="L1446" t="s">
        <v>1273</v>
      </c>
      <c r="M1446" t="s">
        <v>1274</v>
      </c>
      <c r="N1446" t="s">
        <v>67</v>
      </c>
      <c r="O1446" t="s">
        <v>1275</v>
      </c>
      <c r="P1446" t="s">
        <v>1276</v>
      </c>
      <c r="S1446" s="5"/>
      <c r="T1446" t="s">
        <v>72</v>
      </c>
      <c r="U1446" t="s">
        <v>73</v>
      </c>
      <c r="V1446" t="s">
        <v>74</v>
      </c>
      <c r="W1446" t="s">
        <v>87</v>
      </c>
      <c r="AE1446" s="2"/>
      <c r="AF1446" s="2"/>
      <c r="AG1446" s="2"/>
      <c r="AH1446" s="2"/>
      <c r="AK1446" t="s">
        <v>613</v>
      </c>
      <c r="AL1446" s="2">
        <v>3575000</v>
      </c>
      <c r="AM1446" s="2">
        <v>0</v>
      </c>
      <c r="AN1446" s="2"/>
      <c r="AO1446" s="2">
        <v>0</v>
      </c>
      <c r="AP1446" s="2">
        <v>3575000</v>
      </c>
      <c r="AQ1446" s="2">
        <v>3575000</v>
      </c>
      <c r="AR1446" s="2">
        <v>3575000</v>
      </c>
      <c r="AS1446" s="2">
        <v>0</v>
      </c>
      <c r="AT1446" s="2">
        <v>0</v>
      </c>
      <c r="AU1446" s="2">
        <v>0</v>
      </c>
      <c r="AV1446" s="2">
        <v>0</v>
      </c>
      <c r="AW1446" s="4"/>
      <c r="AX1446" t="s">
        <v>75</v>
      </c>
      <c r="AZ1446" t="s">
        <v>3834</v>
      </c>
      <c r="BB1446" t="s">
        <v>3835</v>
      </c>
      <c r="BC1446" t="s">
        <v>3836</v>
      </c>
      <c r="BD1446" t="s">
        <v>79</v>
      </c>
      <c r="BE1446" t="s">
        <v>228</v>
      </c>
      <c r="BF1446" s="5">
        <v>46813</v>
      </c>
      <c r="BG1446" t="s">
        <v>67</v>
      </c>
      <c r="BH1446">
        <v>1</v>
      </c>
      <c r="BI1446" s="6">
        <v>6500000</v>
      </c>
      <c r="BJ1446" s="6">
        <v>45</v>
      </c>
      <c r="BK1446" s="6">
        <v>2925000</v>
      </c>
      <c r="BL1446" s="6">
        <v>3575000</v>
      </c>
      <c r="BM1446" s="2">
        <v>3575000</v>
      </c>
      <c r="BN1446">
        <f>InvoiceTable[[#This Row],[Giảm giá]]*InvoiceTable[[#This Row],[Số lượng]]</f>
        <v>2925000</v>
      </c>
    </row>
    <row r="1447" spans="1:66" x14ac:dyDescent="0.25">
      <c r="A1447" t="s">
        <v>65</v>
      </c>
      <c r="B1447" t="s">
        <v>3837</v>
      </c>
      <c r="F1447" s="2"/>
      <c r="G1447" s="3">
        <v>46001.581670057873</v>
      </c>
      <c r="H1447" s="3">
        <v>46001.581647025465</v>
      </c>
      <c r="I1447" s="4" t="s">
        <v>3493</v>
      </c>
      <c r="J1447" t="s">
        <v>3838</v>
      </c>
      <c r="K1447" t="s">
        <v>67</v>
      </c>
      <c r="L1447" t="s">
        <v>398</v>
      </c>
      <c r="M1447" t="s">
        <v>399</v>
      </c>
      <c r="N1447" t="s">
        <v>400</v>
      </c>
      <c r="O1447" t="s">
        <v>401</v>
      </c>
      <c r="P1447" t="s">
        <v>402</v>
      </c>
      <c r="S1447" s="5"/>
      <c r="T1447" t="s">
        <v>72</v>
      </c>
      <c r="U1447" t="s">
        <v>102</v>
      </c>
      <c r="V1447" t="s">
        <v>74</v>
      </c>
      <c r="W1447" t="s">
        <v>87</v>
      </c>
      <c r="AE1447" s="2"/>
      <c r="AF1447" s="2"/>
      <c r="AG1447" s="2"/>
      <c r="AH1447" s="2"/>
      <c r="AK1447" t="s">
        <v>3839</v>
      </c>
      <c r="AL1447" s="2">
        <v>764400</v>
      </c>
      <c r="AM1447" s="2">
        <v>0</v>
      </c>
      <c r="AN1447" s="2"/>
      <c r="AO1447" s="2">
        <v>0</v>
      </c>
      <c r="AP1447" s="2">
        <v>764400</v>
      </c>
      <c r="AQ1447" s="2">
        <v>0</v>
      </c>
      <c r="AR1447" s="2">
        <v>0</v>
      </c>
      <c r="AS1447" s="2">
        <v>0</v>
      </c>
      <c r="AT1447" s="2">
        <v>0</v>
      </c>
      <c r="AU1447" s="2">
        <v>0</v>
      </c>
      <c r="AV1447" s="2">
        <v>0</v>
      </c>
      <c r="AW1447" s="4"/>
      <c r="AX1447" t="s">
        <v>75</v>
      </c>
      <c r="AZ1447" t="s">
        <v>1327</v>
      </c>
      <c r="BA1447" t="s">
        <v>67</v>
      </c>
      <c r="BB1447" t="s">
        <v>1328</v>
      </c>
      <c r="BC1447" t="s">
        <v>251</v>
      </c>
      <c r="BD1447" t="s">
        <v>79</v>
      </c>
      <c r="BE1447" t="s">
        <v>177</v>
      </c>
      <c r="BF1447" s="5">
        <v>47027</v>
      </c>
      <c r="BH1447">
        <v>2</v>
      </c>
      <c r="BI1447" s="6">
        <v>495000</v>
      </c>
      <c r="BJ1447" s="6">
        <v>44</v>
      </c>
      <c r="BK1447" s="6">
        <v>217800</v>
      </c>
      <c r="BL1447" s="6">
        <v>277200</v>
      </c>
      <c r="BM1447" s="2">
        <v>554400</v>
      </c>
      <c r="BN1447">
        <f>InvoiceTable[[#This Row],[Giảm giá]]*InvoiceTable[[#This Row],[Số lượng]]</f>
        <v>435600</v>
      </c>
    </row>
    <row r="1448" spans="1:66" x14ac:dyDescent="0.25">
      <c r="A1448" t="s">
        <v>65</v>
      </c>
      <c r="B1448" t="s">
        <v>3837</v>
      </c>
      <c r="F1448" s="2"/>
      <c r="G1448" s="3">
        <v>46001.581670057873</v>
      </c>
      <c r="H1448" s="3">
        <v>46001.581647025465</v>
      </c>
      <c r="I1448" s="4" t="s">
        <v>3493</v>
      </c>
      <c r="J1448" t="s">
        <v>3838</v>
      </c>
      <c r="K1448" t="s">
        <v>67</v>
      </c>
      <c r="L1448" t="s">
        <v>398</v>
      </c>
      <c r="M1448" t="s">
        <v>399</v>
      </c>
      <c r="N1448" t="s">
        <v>400</v>
      </c>
      <c r="O1448" t="s">
        <v>401</v>
      </c>
      <c r="P1448" t="s">
        <v>402</v>
      </c>
      <c r="S1448" s="5"/>
      <c r="T1448" t="s">
        <v>72</v>
      </c>
      <c r="U1448" t="s">
        <v>102</v>
      </c>
      <c r="V1448" t="s">
        <v>74</v>
      </c>
      <c r="W1448" t="s">
        <v>87</v>
      </c>
      <c r="AE1448" s="2"/>
      <c r="AF1448" s="2"/>
      <c r="AG1448" s="2"/>
      <c r="AH1448" s="2"/>
      <c r="AK1448" t="s">
        <v>3839</v>
      </c>
      <c r="AL1448" s="2">
        <v>764400</v>
      </c>
      <c r="AM1448" s="2">
        <v>0</v>
      </c>
      <c r="AN1448" s="2"/>
      <c r="AO1448" s="2">
        <v>0</v>
      </c>
      <c r="AP1448" s="2">
        <v>764400</v>
      </c>
      <c r="AQ1448" s="2">
        <v>0</v>
      </c>
      <c r="AR1448" s="2">
        <v>0</v>
      </c>
      <c r="AS1448" s="2">
        <v>0</v>
      </c>
      <c r="AT1448" s="2">
        <v>0</v>
      </c>
      <c r="AU1448" s="2">
        <v>0</v>
      </c>
      <c r="AV1448" s="2">
        <v>0</v>
      </c>
      <c r="AW1448" s="4"/>
      <c r="AX1448" t="s">
        <v>75</v>
      </c>
      <c r="AZ1448" t="s">
        <v>291</v>
      </c>
      <c r="BA1448" t="s">
        <v>67</v>
      </c>
      <c r="BB1448" t="s">
        <v>292</v>
      </c>
      <c r="BC1448" t="s">
        <v>126</v>
      </c>
      <c r="BD1448" t="s">
        <v>79</v>
      </c>
      <c r="BE1448" t="s">
        <v>94</v>
      </c>
      <c r="BF1448" s="5">
        <v>46692</v>
      </c>
      <c r="BG1448" t="s">
        <v>67</v>
      </c>
      <c r="BH1448">
        <v>3</v>
      </c>
      <c r="BI1448" s="6">
        <v>250000</v>
      </c>
      <c r="BJ1448" s="6">
        <v>0</v>
      </c>
      <c r="BK1448" s="6">
        <v>180000</v>
      </c>
      <c r="BL1448" s="6">
        <v>70000</v>
      </c>
      <c r="BM1448" s="2">
        <v>210000</v>
      </c>
      <c r="BN1448">
        <f>InvoiceTable[[#This Row],[Giảm giá]]*InvoiceTable[[#This Row],[Số lượng]]</f>
        <v>540000</v>
      </c>
    </row>
    <row r="1449" spans="1:66" x14ac:dyDescent="0.25">
      <c r="A1449" t="s">
        <v>65</v>
      </c>
      <c r="B1449" t="s">
        <v>3840</v>
      </c>
      <c r="F1449" s="2"/>
      <c r="G1449" s="3">
        <v>46001.565413275464</v>
      </c>
      <c r="H1449" s="3">
        <v>46001.565413344906</v>
      </c>
      <c r="I1449" s="4" t="s">
        <v>67</v>
      </c>
      <c r="J1449" t="s">
        <v>67</v>
      </c>
      <c r="K1449" t="s">
        <v>67</v>
      </c>
      <c r="L1449" t="s">
        <v>2519</v>
      </c>
      <c r="M1449" t="s">
        <v>2520</v>
      </c>
      <c r="N1449" t="s">
        <v>2521</v>
      </c>
      <c r="O1449" t="s">
        <v>2522</v>
      </c>
      <c r="P1449" t="s">
        <v>2523</v>
      </c>
      <c r="S1449" s="5"/>
      <c r="T1449" t="s">
        <v>72</v>
      </c>
      <c r="U1449" t="s">
        <v>87</v>
      </c>
      <c r="V1449" t="s">
        <v>74</v>
      </c>
      <c r="W1449" t="s">
        <v>87</v>
      </c>
      <c r="AE1449" s="2"/>
      <c r="AF1449" s="2"/>
      <c r="AG1449" s="2"/>
      <c r="AH1449" s="2"/>
      <c r="AL1449" s="2">
        <v>709200</v>
      </c>
      <c r="AM1449" s="2">
        <v>0</v>
      </c>
      <c r="AN1449" s="2"/>
      <c r="AO1449" s="2">
        <v>0</v>
      </c>
      <c r="AP1449" s="2">
        <v>709200</v>
      </c>
      <c r="AQ1449" s="2">
        <v>0</v>
      </c>
      <c r="AR1449" s="2">
        <v>0</v>
      </c>
      <c r="AS1449" s="2">
        <v>0</v>
      </c>
      <c r="AT1449" s="2">
        <v>0</v>
      </c>
      <c r="AU1449" s="2">
        <v>0</v>
      </c>
      <c r="AV1449" s="2">
        <v>0</v>
      </c>
      <c r="AW1449" s="4"/>
      <c r="AX1449" t="s">
        <v>75</v>
      </c>
      <c r="AZ1449" t="s">
        <v>1989</v>
      </c>
      <c r="BA1449" t="s">
        <v>67</v>
      </c>
      <c r="BB1449" t="s">
        <v>1990</v>
      </c>
      <c r="BC1449" t="s">
        <v>1991</v>
      </c>
      <c r="BD1449" t="s">
        <v>79</v>
      </c>
      <c r="BE1449" t="s">
        <v>94</v>
      </c>
      <c r="BF1449" s="5">
        <v>46692</v>
      </c>
      <c r="BH1449">
        <v>10</v>
      </c>
      <c r="BI1449" s="6">
        <v>84000</v>
      </c>
      <c r="BJ1449" s="6">
        <v>37</v>
      </c>
      <c r="BK1449" s="6">
        <v>31080</v>
      </c>
      <c r="BL1449" s="6">
        <v>52920</v>
      </c>
      <c r="BM1449" s="2">
        <v>529200</v>
      </c>
      <c r="BN1449">
        <f>InvoiceTable[[#This Row],[Giảm giá]]*InvoiceTable[[#This Row],[Số lượng]]</f>
        <v>310800</v>
      </c>
    </row>
    <row r="1450" spans="1:66" x14ac:dyDescent="0.25">
      <c r="A1450" t="s">
        <v>65</v>
      </c>
      <c r="B1450" t="s">
        <v>3840</v>
      </c>
      <c r="F1450" s="2"/>
      <c r="G1450" s="3">
        <v>46001.565413275464</v>
      </c>
      <c r="H1450" s="3">
        <v>46001.565413344906</v>
      </c>
      <c r="I1450" s="4" t="s">
        <v>67</v>
      </c>
      <c r="J1450" t="s">
        <v>67</v>
      </c>
      <c r="K1450" t="s">
        <v>67</v>
      </c>
      <c r="L1450" t="s">
        <v>2519</v>
      </c>
      <c r="M1450" t="s">
        <v>2520</v>
      </c>
      <c r="N1450" t="s">
        <v>2521</v>
      </c>
      <c r="O1450" t="s">
        <v>2522</v>
      </c>
      <c r="P1450" t="s">
        <v>2523</v>
      </c>
      <c r="S1450" s="5"/>
      <c r="T1450" t="s">
        <v>72</v>
      </c>
      <c r="U1450" t="s">
        <v>87</v>
      </c>
      <c r="V1450" t="s">
        <v>74</v>
      </c>
      <c r="W1450" t="s">
        <v>87</v>
      </c>
      <c r="AE1450" s="2"/>
      <c r="AF1450" s="2"/>
      <c r="AG1450" s="2"/>
      <c r="AH1450" s="2"/>
      <c r="AL1450" s="2">
        <v>709200</v>
      </c>
      <c r="AM1450" s="2">
        <v>0</v>
      </c>
      <c r="AN1450" s="2"/>
      <c r="AO1450" s="2">
        <v>0</v>
      </c>
      <c r="AP1450" s="2">
        <v>709200</v>
      </c>
      <c r="AQ1450" s="2">
        <v>0</v>
      </c>
      <c r="AR1450" s="2">
        <v>0</v>
      </c>
      <c r="AS1450" s="2">
        <v>0</v>
      </c>
      <c r="AT1450" s="2">
        <v>0</v>
      </c>
      <c r="AU1450" s="2">
        <v>0</v>
      </c>
      <c r="AV1450" s="2">
        <v>0</v>
      </c>
      <c r="AW1450" s="4"/>
      <c r="AX1450" t="s">
        <v>75</v>
      </c>
      <c r="AZ1450" t="s">
        <v>199</v>
      </c>
      <c r="BA1450" t="s">
        <v>67</v>
      </c>
      <c r="BB1450" t="s">
        <v>200</v>
      </c>
      <c r="BC1450" t="s">
        <v>187</v>
      </c>
      <c r="BD1450" t="s">
        <v>79</v>
      </c>
      <c r="BE1450" t="s">
        <v>201</v>
      </c>
      <c r="BF1450" s="5">
        <v>46966</v>
      </c>
      <c r="BH1450">
        <v>1</v>
      </c>
      <c r="BI1450" s="6">
        <v>360000</v>
      </c>
      <c r="BJ1450" s="6">
        <v>50</v>
      </c>
      <c r="BK1450" s="6">
        <v>180000</v>
      </c>
      <c r="BL1450" s="6">
        <v>180000</v>
      </c>
      <c r="BM1450" s="2">
        <v>180000</v>
      </c>
      <c r="BN1450">
        <f>InvoiceTable[[#This Row],[Giảm giá]]*InvoiceTable[[#This Row],[Số lượng]]</f>
        <v>180000</v>
      </c>
    </row>
    <row r="1451" spans="1:66" x14ac:dyDescent="0.25">
      <c r="A1451" t="s">
        <v>65</v>
      </c>
      <c r="B1451" t="s">
        <v>3841</v>
      </c>
      <c r="F1451" s="2"/>
      <c r="G1451" s="3">
        <v>46001.564400312498</v>
      </c>
      <c r="H1451" s="3">
        <v>46001.564388854167</v>
      </c>
      <c r="I1451" s="4" t="s">
        <v>3787</v>
      </c>
      <c r="J1451" t="s">
        <v>67</v>
      </c>
      <c r="K1451" t="s">
        <v>67</v>
      </c>
      <c r="L1451" t="s">
        <v>1892</v>
      </c>
      <c r="M1451" t="s">
        <v>1893</v>
      </c>
      <c r="N1451" t="s">
        <v>1894</v>
      </c>
      <c r="O1451" t="s">
        <v>1895</v>
      </c>
      <c r="P1451" t="s">
        <v>1896</v>
      </c>
      <c r="S1451" s="5"/>
      <c r="T1451" t="s">
        <v>72</v>
      </c>
      <c r="U1451" t="s">
        <v>87</v>
      </c>
      <c r="V1451" t="s">
        <v>74</v>
      </c>
      <c r="W1451" t="s">
        <v>87</v>
      </c>
      <c r="AE1451" s="2"/>
      <c r="AF1451" s="2"/>
      <c r="AG1451" s="2"/>
      <c r="AH1451" s="2"/>
      <c r="AL1451" s="2">
        <v>130000</v>
      </c>
      <c r="AM1451" s="2">
        <v>0</v>
      </c>
      <c r="AN1451" s="2"/>
      <c r="AO1451" s="2">
        <v>0</v>
      </c>
      <c r="AP1451" s="2">
        <v>130000</v>
      </c>
      <c r="AQ1451" s="2">
        <v>130000</v>
      </c>
      <c r="AR1451" s="2">
        <v>0</v>
      </c>
      <c r="AS1451" s="2">
        <v>0</v>
      </c>
      <c r="AT1451" s="2">
        <v>0</v>
      </c>
      <c r="AU1451" s="2">
        <v>130000</v>
      </c>
      <c r="AV1451" s="2">
        <v>0</v>
      </c>
      <c r="AW1451" s="4"/>
      <c r="AX1451" t="s">
        <v>75</v>
      </c>
      <c r="AZ1451" t="s">
        <v>1397</v>
      </c>
      <c r="BA1451" t="s">
        <v>67</v>
      </c>
      <c r="BB1451" t="s">
        <v>1398</v>
      </c>
      <c r="BC1451" t="s">
        <v>126</v>
      </c>
      <c r="BD1451" t="s">
        <v>79</v>
      </c>
      <c r="BE1451" t="s">
        <v>131</v>
      </c>
      <c r="BF1451" s="5">
        <v>46874</v>
      </c>
      <c r="BG1451" t="s">
        <v>67</v>
      </c>
      <c r="BH1451">
        <v>1</v>
      </c>
      <c r="BI1451" s="6">
        <v>350000</v>
      </c>
      <c r="BJ1451" s="6">
        <v>0</v>
      </c>
      <c r="BK1451" s="6">
        <v>220000</v>
      </c>
      <c r="BL1451" s="6">
        <v>130000</v>
      </c>
      <c r="BM1451" s="2">
        <v>130000</v>
      </c>
      <c r="BN1451">
        <f>InvoiceTable[[#This Row],[Giảm giá]]*InvoiceTable[[#This Row],[Số lượng]]</f>
        <v>220000</v>
      </c>
    </row>
    <row r="1452" spans="1:66" x14ac:dyDescent="0.25">
      <c r="A1452" t="s">
        <v>65</v>
      </c>
      <c r="B1452" t="s">
        <v>3842</v>
      </c>
      <c r="F1452" s="2"/>
      <c r="G1452" s="3">
        <v>46001.56258140046</v>
      </c>
      <c r="H1452" s="3">
        <v>46001.562558414349</v>
      </c>
      <c r="I1452" s="4" t="s">
        <v>3493</v>
      </c>
      <c r="J1452" t="s">
        <v>67</v>
      </c>
      <c r="K1452" t="s">
        <v>67</v>
      </c>
      <c r="L1452" t="s">
        <v>2773</v>
      </c>
      <c r="M1452" t="s">
        <v>2774</v>
      </c>
      <c r="N1452" t="s">
        <v>67</v>
      </c>
      <c r="Q1452" t="s">
        <v>67</v>
      </c>
      <c r="R1452" t="s">
        <v>67</v>
      </c>
      <c r="S1452" s="5"/>
      <c r="T1452" t="s">
        <v>72</v>
      </c>
      <c r="U1452" t="s">
        <v>87</v>
      </c>
      <c r="V1452" t="s">
        <v>74</v>
      </c>
      <c r="W1452" t="s">
        <v>87</v>
      </c>
      <c r="AE1452" s="2"/>
      <c r="AF1452" s="2"/>
      <c r="AG1452" s="2"/>
      <c r="AH1452" s="2"/>
      <c r="AL1452" s="2">
        <v>12100000</v>
      </c>
      <c r="AM1452" s="2">
        <v>0</v>
      </c>
      <c r="AN1452" s="2"/>
      <c r="AO1452" s="2">
        <v>0</v>
      </c>
      <c r="AP1452" s="2">
        <v>12100000</v>
      </c>
      <c r="AQ1452" s="2">
        <v>12100000</v>
      </c>
      <c r="AR1452" s="2">
        <v>0</v>
      </c>
      <c r="AS1452" s="2">
        <v>0</v>
      </c>
      <c r="AT1452" s="2">
        <v>0</v>
      </c>
      <c r="AU1452" s="2">
        <v>12100000</v>
      </c>
      <c r="AV1452" s="2">
        <v>0</v>
      </c>
      <c r="AW1452" s="4"/>
      <c r="AX1452" t="s">
        <v>75</v>
      </c>
      <c r="AZ1452" t="s">
        <v>1678</v>
      </c>
      <c r="BB1452" t="s">
        <v>1679</v>
      </c>
      <c r="BC1452" t="s">
        <v>590</v>
      </c>
      <c r="BD1452" t="s">
        <v>79</v>
      </c>
      <c r="BE1452" t="s">
        <v>1231</v>
      </c>
      <c r="BF1452" s="5">
        <v>47239</v>
      </c>
      <c r="BH1452">
        <v>2</v>
      </c>
      <c r="BI1452" s="6">
        <v>7490000</v>
      </c>
      <c r="BJ1452" s="6">
        <v>0</v>
      </c>
      <c r="BK1452" s="6">
        <v>1440000</v>
      </c>
      <c r="BL1452" s="6">
        <v>6050000</v>
      </c>
      <c r="BM1452" s="2">
        <v>12100000</v>
      </c>
      <c r="BN1452">
        <f>InvoiceTable[[#This Row],[Giảm giá]]*InvoiceTable[[#This Row],[Số lượng]]</f>
        <v>2880000</v>
      </c>
    </row>
    <row r="1453" spans="1:66" x14ac:dyDescent="0.25">
      <c r="A1453" t="s">
        <v>65</v>
      </c>
      <c r="B1453" t="s">
        <v>3843</v>
      </c>
      <c r="F1453" s="2"/>
      <c r="G1453" s="3">
        <v>46001.541828587964</v>
      </c>
      <c r="H1453" s="3">
        <v>46001.541793865741</v>
      </c>
      <c r="I1453" s="4" t="s">
        <v>3298</v>
      </c>
      <c r="J1453" t="s">
        <v>3844</v>
      </c>
      <c r="K1453" t="s">
        <v>67</v>
      </c>
      <c r="L1453" t="s">
        <v>3845</v>
      </c>
      <c r="M1453" t="s">
        <v>3846</v>
      </c>
      <c r="N1453" t="s">
        <v>67</v>
      </c>
      <c r="O1453" t="s">
        <v>3847</v>
      </c>
      <c r="P1453" t="s">
        <v>3848</v>
      </c>
      <c r="S1453" s="5"/>
      <c r="T1453" t="s">
        <v>72</v>
      </c>
      <c r="U1453" t="s">
        <v>1031</v>
      </c>
      <c r="V1453" t="s">
        <v>74</v>
      </c>
      <c r="W1453" t="s">
        <v>87</v>
      </c>
      <c r="AE1453" s="2"/>
      <c r="AF1453" s="2"/>
      <c r="AG1453" s="2"/>
      <c r="AH1453" s="2"/>
      <c r="AK1453" t="s">
        <v>67</v>
      </c>
      <c r="AL1453" s="2">
        <v>680000</v>
      </c>
      <c r="AM1453" s="2">
        <v>0</v>
      </c>
      <c r="AN1453" s="2"/>
      <c r="AO1453" s="2">
        <v>0</v>
      </c>
      <c r="AP1453" s="2">
        <v>680000</v>
      </c>
      <c r="AQ1453" s="2">
        <v>0</v>
      </c>
      <c r="AR1453" s="2">
        <v>0</v>
      </c>
      <c r="AS1453" s="2">
        <v>0</v>
      </c>
      <c r="AT1453" s="2">
        <v>0</v>
      </c>
      <c r="AU1453" s="2">
        <v>0</v>
      </c>
      <c r="AV1453" s="2">
        <v>0</v>
      </c>
      <c r="AW1453" s="4"/>
      <c r="AX1453" t="s">
        <v>75</v>
      </c>
      <c r="AZ1453" t="s">
        <v>435</v>
      </c>
      <c r="BA1453" t="s">
        <v>67</v>
      </c>
      <c r="BB1453" t="s">
        <v>436</v>
      </c>
      <c r="BC1453" t="s">
        <v>437</v>
      </c>
      <c r="BD1453" t="s">
        <v>79</v>
      </c>
      <c r="BE1453" t="s">
        <v>142</v>
      </c>
      <c r="BF1453" s="5">
        <v>46844</v>
      </c>
      <c r="BH1453">
        <v>1</v>
      </c>
      <c r="BI1453" s="6">
        <v>1200000</v>
      </c>
      <c r="BJ1453" s="6">
        <v>0</v>
      </c>
      <c r="BK1453" s="6">
        <v>520000</v>
      </c>
      <c r="BL1453" s="6">
        <v>680000</v>
      </c>
      <c r="BM1453" s="2">
        <v>680000</v>
      </c>
      <c r="BN1453">
        <f>InvoiceTable[[#This Row],[Giảm giá]]*InvoiceTable[[#This Row],[Số lượng]]</f>
        <v>520000</v>
      </c>
    </row>
    <row r="1454" spans="1:66" x14ac:dyDescent="0.25">
      <c r="A1454" t="s">
        <v>65</v>
      </c>
      <c r="B1454" t="s">
        <v>3849</v>
      </c>
      <c r="F1454" s="2"/>
      <c r="G1454" s="3">
        <v>46001.494743055555</v>
      </c>
      <c r="H1454" s="3">
        <v>46001.494743252311</v>
      </c>
      <c r="I1454" s="4" t="s">
        <v>67</v>
      </c>
      <c r="J1454" t="s">
        <v>67</v>
      </c>
      <c r="K1454" t="s">
        <v>67</v>
      </c>
      <c r="L1454" t="s">
        <v>1854</v>
      </c>
      <c r="M1454" t="s">
        <v>1855</v>
      </c>
      <c r="N1454" t="s">
        <v>67</v>
      </c>
      <c r="O1454" t="s">
        <v>1856</v>
      </c>
      <c r="P1454" t="s">
        <v>1857</v>
      </c>
      <c r="Q1454" t="s">
        <v>1858</v>
      </c>
      <c r="R1454" t="s">
        <v>1859</v>
      </c>
      <c r="S1454" s="5"/>
      <c r="T1454" t="s">
        <v>72</v>
      </c>
      <c r="U1454" t="s">
        <v>87</v>
      </c>
      <c r="V1454" t="s">
        <v>74</v>
      </c>
      <c r="W1454" t="s">
        <v>87</v>
      </c>
      <c r="AE1454" s="2"/>
      <c r="AF1454" s="2"/>
      <c r="AG1454" s="2"/>
      <c r="AH1454" s="2"/>
      <c r="AL1454" s="2">
        <v>1033500</v>
      </c>
      <c r="AM1454" s="2">
        <v>0</v>
      </c>
      <c r="AN1454" s="2"/>
      <c r="AO1454" s="2">
        <v>0</v>
      </c>
      <c r="AP1454" s="2">
        <v>1033500</v>
      </c>
      <c r="AQ1454" s="2">
        <v>0</v>
      </c>
      <c r="AR1454" s="2">
        <v>0</v>
      </c>
      <c r="AS1454" s="2">
        <v>0</v>
      </c>
      <c r="AT1454" s="2">
        <v>0</v>
      </c>
      <c r="AU1454" s="2">
        <v>0</v>
      </c>
      <c r="AV1454" s="2">
        <v>0</v>
      </c>
      <c r="AW1454" s="4"/>
      <c r="AX1454" t="s">
        <v>75</v>
      </c>
      <c r="AZ1454" t="s">
        <v>1730</v>
      </c>
      <c r="BB1454" t="s">
        <v>1731</v>
      </c>
      <c r="BC1454" t="s">
        <v>1732</v>
      </c>
      <c r="BD1454" t="s">
        <v>79</v>
      </c>
      <c r="BE1454" t="s">
        <v>168</v>
      </c>
      <c r="BF1454" s="5">
        <v>46388</v>
      </c>
      <c r="BG1454" t="s">
        <v>67</v>
      </c>
      <c r="BH1454">
        <v>1</v>
      </c>
      <c r="BI1454" s="6">
        <v>1590000</v>
      </c>
      <c r="BJ1454" s="6">
        <v>35</v>
      </c>
      <c r="BK1454" s="6">
        <v>556500</v>
      </c>
      <c r="BL1454" s="6">
        <v>1033500</v>
      </c>
      <c r="BM1454" s="2">
        <v>1033500</v>
      </c>
      <c r="BN1454">
        <f>InvoiceTable[[#This Row],[Giảm giá]]*InvoiceTable[[#This Row],[Số lượng]]</f>
        <v>556500</v>
      </c>
    </row>
    <row r="1455" spans="1:66" x14ac:dyDescent="0.25">
      <c r="A1455" t="s">
        <v>65</v>
      </c>
      <c r="B1455" t="s">
        <v>3850</v>
      </c>
      <c r="F1455" s="2"/>
      <c r="G1455" s="3">
        <v>46001.479145289355</v>
      </c>
      <c r="H1455" s="3">
        <v>46001.479145520832</v>
      </c>
      <c r="I1455" s="4" t="s">
        <v>67</v>
      </c>
      <c r="J1455" t="s">
        <v>67</v>
      </c>
      <c r="K1455" t="s">
        <v>67</v>
      </c>
      <c r="L1455" t="s">
        <v>111</v>
      </c>
      <c r="M1455" t="s">
        <v>112</v>
      </c>
      <c r="N1455" t="s">
        <v>67</v>
      </c>
      <c r="O1455" t="s">
        <v>113</v>
      </c>
      <c r="P1455" t="s">
        <v>114</v>
      </c>
      <c r="Q1455" t="s">
        <v>67</v>
      </c>
      <c r="R1455" t="s">
        <v>67</v>
      </c>
      <c r="S1455" s="5"/>
      <c r="T1455" t="s">
        <v>72</v>
      </c>
      <c r="U1455" t="s">
        <v>87</v>
      </c>
      <c r="V1455" t="s">
        <v>74</v>
      </c>
      <c r="W1455" t="s">
        <v>87</v>
      </c>
      <c r="AE1455" s="2"/>
      <c r="AF1455" s="2"/>
      <c r="AG1455" s="2"/>
      <c r="AH1455" s="2"/>
      <c r="AL1455" s="2">
        <v>20800000</v>
      </c>
      <c r="AM1455" s="2">
        <v>10400000</v>
      </c>
      <c r="AN1455" s="2"/>
      <c r="AO1455" s="2">
        <v>0</v>
      </c>
      <c r="AP1455" s="2">
        <v>10400000</v>
      </c>
      <c r="AQ1455" s="2">
        <v>0</v>
      </c>
      <c r="AR1455" s="2">
        <v>0</v>
      </c>
      <c r="AS1455" s="2">
        <v>0</v>
      </c>
      <c r="AT1455" s="2">
        <v>0</v>
      </c>
      <c r="AU1455" s="2">
        <v>0</v>
      </c>
      <c r="AV1455" s="2">
        <v>0</v>
      </c>
      <c r="AW1455" s="4"/>
      <c r="AX1455" t="s">
        <v>75</v>
      </c>
      <c r="AZ1455" t="s">
        <v>3851</v>
      </c>
      <c r="BA1455" t="s">
        <v>67</v>
      </c>
      <c r="BB1455" t="s">
        <v>3852</v>
      </c>
      <c r="BC1455" t="s">
        <v>1407</v>
      </c>
      <c r="BD1455" t="s">
        <v>79</v>
      </c>
      <c r="BE1455" t="s">
        <v>168</v>
      </c>
      <c r="BF1455" s="5">
        <v>46388</v>
      </c>
      <c r="BH1455">
        <v>1</v>
      </c>
      <c r="BI1455" s="6">
        <v>4650000</v>
      </c>
      <c r="BJ1455" s="6">
        <v>0</v>
      </c>
      <c r="BK1455" s="6">
        <v>0</v>
      </c>
      <c r="BL1455" s="6">
        <v>4650000</v>
      </c>
      <c r="BM1455" s="2">
        <v>4650000</v>
      </c>
      <c r="BN1455">
        <f>InvoiceTable[[#This Row],[Giảm giá]]*InvoiceTable[[#This Row],[Số lượng]]</f>
        <v>0</v>
      </c>
    </row>
    <row r="1456" spans="1:66" x14ac:dyDescent="0.25">
      <c r="A1456" t="s">
        <v>65</v>
      </c>
      <c r="B1456" t="s">
        <v>3850</v>
      </c>
      <c r="F1456" s="2"/>
      <c r="G1456" s="3">
        <v>46001.479145289355</v>
      </c>
      <c r="H1456" s="3">
        <v>46001.479145520832</v>
      </c>
      <c r="I1456" s="4" t="s">
        <v>67</v>
      </c>
      <c r="J1456" t="s">
        <v>67</v>
      </c>
      <c r="K1456" t="s">
        <v>67</v>
      </c>
      <c r="L1456" t="s">
        <v>111</v>
      </c>
      <c r="M1456" t="s">
        <v>112</v>
      </c>
      <c r="N1456" t="s">
        <v>67</v>
      </c>
      <c r="O1456" t="s">
        <v>113</v>
      </c>
      <c r="P1456" t="s">
        <v>114</v>
      </c>
      <c r="Q1456" t="s">
        <v>67</v>
      </c>
      <c r="R1456" t="s">
        <v>67</v>
      </c>
      <c r="S1456" s="5"/>
      <c r="T1456" t="s">
        <v>72</v>
      </c>
      <c r="U1456" t="s">
        <v>87</v>
      </c>
      <c r="V1456" t="s">
        <v>74</v>
      </c>
      <c r="W1456" t="s">
        <v>87</v>
      </c>
      <c r="AE1456" s="2"/>
      <c r="AF1456" s="2"/>
      <c r="AG1456" s="2"/>
      <c r="AH1456" s="2"/>
      <c r="AL1456" s="2">
        <v>20800000</v>
      </c>
      <c r="AM1456" s="2">
        <v>10400000</v>
      </c>
      <c r="AN1456" s="2"/>
      <c r="AO1456" s="2">
        <v>0</v>
      </c>
      <c r="AP1456" s="2">
        <v>10400000</v>
      </c>
      <c r="AQ1456" s="2">
        <v>0</v>
      </c>
      <c r="AR1456" s="2">
        <v>0</v>
      </c>
      <c r="AS1456" s="2">
        <v>0</v>
      </c>
      <c r="AT1456" s="2">
        <v>0</v>
      </c>
      <c r="AU1456" s="2">
        <v>0</v>
      </c>
      <c r="AV1456" s="2">
        <v>0</v>
      </c>
      <c r="AW1456" s="4"/>
      <c r="AX1456" t="s">
        <v>75</v>
      </c>
      <c r="AZ1456" t="s">
        <v>3853</v>
      </c>
      <c r="BA1456" t="s">
        <v>67</v>
      </c>
      <c r="BB1456" t="s">
        <v>3854</v>
      </c>
      <c r="BC1456" t="s">
        <v>134</v>
      </c>
      <c r="BD1456" t="s">
        <v>79</v>
      </c>
      <c r="BE1456" t="s">
        <v>810</v>
      </c>
      <c r="BF1456" s="5">
        <v>46539</v>
      </c>
      <c r="BH1456">
        <v>2</v>
      </c>
      <c r="BI1456" s="6">
        <v>3550000</v>
      </c>
      <c r="BJ1456" s="6">
        <v>0</v>
      </c>
      <c r="BK1456" s="6">
        <v>0</v>
      </c>
      <c r="BL1456" s="6">
        <v>3550000</v>
      </c>
      <c r="BM1456" s="2">
        <v>7100000</v>
      </c>
      <c r="BN1456">
        <f>InvoiceTable[[#This Row],[Giảm giá]]*InvoiceTable[[#This Row],[Số lượng]]</f>
        <v>0</v>
      </c>
    </row>
    <row r="1457" spans="1:66" x14ac:dyDescent="0.25">
      <c r="A1457" t="s">
        <v>65</v>
      </c>
      <c r="B1457" t="s">
        <v>3850</v>
      </c>
      <c r="F1457" s="2"/>
      <c r="G1457" s="3">
        <v>46001.479145289355</v>
      </c>
      <c r="H1457" s="3">
        <v>46001.479145520832</v>
      </c>
      <c r="I1457" s="4" t="s">
        <v>67</v>
      </c>
      <c r="J1457" t="s">
        <v>67</v>
      </c>
      <c r="K1457" t="s">
        <v>67</v>
      </c>
      <c r="L1457" t="s">
        <v>111</v>
      </c>
      <c r="M1457" t="s">
        <v>112</v>
      </c>
      <c r="N1457" t="s">
        <v>67</v>
      </c>
      <c r="O1457" t="s">
        <v>113</v>
      </c>
      <c r="P1457" t="s">
        <v>114</v>
      </c>
      <c r="Q1457" t="s">
        <v>67</v>
      </c>
      <c r="R1457" t="s">
        <v>67</v>
      </c>
      <c r="S1457" s="5"/>
      <c r="T1457" t="s">
        <v>72</v>
      </c>
      <c r="U1457" t="s">
        <v>87</v>
      </c>
      <c r="V1457" t="s">
        <v>74</v>
      </c>
      <c r="W1457" t="s">
        <v>87</v>
      </c>
      <c r="AE1457" s="2"/>
      <c r="AF1457" s="2"/>
      <c r="AG1457" s="2"/>
      <c r="AH1457" s="2"/>
      <c r="AL1457" s="2">
        <v>20800000</v>
      </c>
      <c r="AM1457" s="2">
        <v>10400000</v>
      </c>
      <c r="AN1457" s="2"/>
      <c r="AO1457" s="2">
        <v>0</v>
      </c>
      <c r="AP1457" s="2">
        <v>10400000</v>
      </c>
      <c r="AQ1457" s="2">
        <v>0</v>
      </c>
      <c r="AR1457" s="2">
        <v>0</v>
      </c>
      <c r="AS1457" s="2">
        <v>0</v>
      </c>
      <c r="AT1457" s="2">
        <v>0</v>
      </c>
      <c r="AU1457" s="2">
        <v>0</v>
      </c>
      <c r="AV1457" s="2">
        <v>0</v>
      </c>
      <c r="AW1457" s="4"/>
      <c r="AX1457" t="s">
        <v>75</v>
      </c>
      <c r="AZ1457" t="s">
        <v>527</v>
      </c>
      <c r="BA1457" t="s">
        <v>67</v>
      </c>
      <c r="BB1457" t="s">
        <v>528</v>
      </c>
      <c r="BC1457" t="s">
        <v>78</v>
      </c>
      <c r="BD1457" t="s">
        <v>79</v>
      </c>
      <c r="BE1457" t="s">
        <v>317</v>
      </c>
      <c r="BF1457" s="5">
        <v>46935</v>
      </c>
      <c r="BH1457">
        <v>1</v>
      </c>
      <c r="BI1457" s="6">
        <v>3800000</v>
      </c>
      <c r="BJ1457" s="6">
        <v>0</v>
      </c>
      <c r="BK1457" s="6">
        <v>0</v>
      </c>
      <c r="BL1457" s="6">
        <v>3800000</v>
      </c>
      <c r="BM1457" s="2">
        <v>3800000</v>
      </c>
      <c r="BN1457">
        <f>InvoiceTable[[#This Row],[Giảm giá]]*InvoiceTable[[#This Row],[Số lượng]]</f>
        <v>0</v>
      </c>
    </row>
    <row r="1458" spans="1:66" x14ac:dyDescent="0.25">
      <c r="A1458" t="s">
        <v>65</v>
      </c>
      <c r="B1458" t="s">
        <v>3850</v>
      </c>
      <c r="F1458" s="2"/>
      <c r="G1458" s="3">
        <v>46001.479145289355</v>
      </c>
      <c r="H1458" s="3">
        <v>46001.479145520832</v>
      </c>
      <c r="I1458" s="4" t="s">
        <v>67</v>
      </c>
      <c r="J1458" t="s">
        <v>67</v>
      </c>
      <c r="K1458" t="s">
        <v>67</v>
      </c>
      <c r="L1458" t="s">
        <v>111</v>
      </c>
      <c r="M1458" t="s">
        <v>112</v>
      </c>
      <c r="N1458" t="s">
        <v>67</v>
      </c>
      <c r="O1458" t="s">
        <v>113</v>
      </c>
      <c r="P1458" t="s">
        <v>114</v>
      </c>
      <c r="Q1458" t="s">
        <v>67</v>
      </c>
      <c r="R1458" t="s">
        <v>67</v>
      </c>
      <c r="S1458" s="5"/>
      <c r="T1458" t="s">
        <v>72</v>
      </c>
      <c r="U1458" t="s">
        <v>87</v>
      </c>
      <c r="V1458" t="s">
        <v>74</v>
      </c>
      <c r="W1458" t="s">
        <v>87</v>
      </c>
      <c r="AE1458" s="2"/>
      <c r="AF1458" s="2"/>
      <c r="AG1458" s="2"/>
      <c r="AH1458" s="2"/>
      <c r="AL1458" s="2">
        <v>20800000</v>
      </c>
      <c r="AM1458" s="2">
        <v>10400000</v>
      </c>
      <c r="AN1458" s="2"/>
      <c r="AO1458" s="2">
        <v>0</v>
      </c>
      <c r="AP1458" s="2">
        <v>10400000</v>
      </c>
      <c r="AQ1458" s="2">
        <v>0</v>
      </c>
      <c r="AR1458" s="2">
        <v>0</v>
      </c>
      <c r="AS1458" s="2">
        <v>0</v>
      </c>
      <c r="AT1458" s="2">
        <v>0</v>
      </c>
      <c r="AU1458" s="2">
        <v>0</v>
      </c>
      <c r="AV1458" s="2">
        <v>0</v>
      </c>
      <c r="AW1458" s="4"/>
      <c r="AX1458" t="s">
        <v>75</v>
      </c>
      <c r="AZ1458" t="s">
        <v>1192</v>
      </c>
      <c r="BA1458" t="s">
        <v>67</v>
      </c>
      <c r="BB1458" t="s">
        <v>1193</v>
      </c>
      <c r="BC1458" t="s">
        <v>134</v>
      </c>
      <c r="BD1458" t="s">
        <v>79</v>
      </c>
      <c r="BE1458" t="s">
        <v>339</v>
      </c>
      <c r="BF1458" s="5">
        <v>47270</v>
      </c>
      <c r="BG1458" t="s">
        <v>67</v>
      </c>
      <c r="BH1458">
        <v>1</v>
      </c>
      <c r="BI1458" s="6">
        <v>5250000</v>
      </c>
      <c r="BJ1458" s="6">
        <v>0</v>
      </c>
      <c r="BK1458" s="6">
        <v>0</v>
      </c>
      <c r="BL1458" s="6">
        <v>5250000</v>
      </c>
      <c r="BM1458" s="2">
        <v>5250000</v>
      </c>
      <c r="BN1458">
        <f>InvoiceTable[[#This Row],[Giảm giá]]*InvoiceTable[[#This Row],[Số lượng]]</f>
        <v>0</v>
      </c>
    </row>
    <row r="1459" spans="1:66" x14ac:dyDescent="0.25">
      <c r="A1459" t="s">
        <v>65</v>
      </c>
      <c r="B1459" t="s">
        <v>3855</v>
      </c>
      <c r="F1459" s="2"/>
      <c r="G1459" s="3">
        <v>46001.47644791667</v>
      </c>
      <c r="H1459" s="3">
        <v>46001.476448032408</v>
      </c>
      <c r="I1459" s="4" t="s">
        <v>67</v>
      </c>
      <c r="J1459" t="s">
        <v>67</v>
      </c>
      <c r="K1459" t="s">
        <v>67</v>
      </c>
      <c r="L1459" t="s">
        <v>2376</v>
      </c>
      <c r="M1459" t="s">
        <v>2377</v>
      </c>
      <c r="N1459" t="s">
        <v>67</v>
      </c>
      <c r="O1459" t="s">
        <v>2378</v>
      </c>
      <c r="P1459" t="s">
        <v>2379</v>
      </c>
      <c r="Q1459" t="s">
        <v>67</v>
      </c>
      <c r="R1459" t="s">
        <v>67</v>
      </c>
      <c r="S1459" s="5"/>
      <c r="T1459" t="s">
        <v>72</v>
      </c>
      <c r="U1459" t="s">
        <v>87</v>
      </c>
      <c r="V1459" t="s">
        <v>74</v>
      </c>
      <c r="W1459" t="s">
        <v>87</v>
      </c>
      <c r="AE1459" s="2"/>
      <c r="AF1459" s="2"/>
      <c r="AG1459" s="2"/>
      <c r="AH1459" s="2"/>
      <c r="AL1459" s="2">
        <v>983400</v>
      </c>
      <c r="AM1459" s="2">
        <v>0</v>
      </c>
      <c r="AN1459" s="2"/>
      <c r="AO1459" s="2">
        <v>0</v>
      </c>
      <c r="AP1459" s="2">
        <v>983400</v>
      </c>
      <c r="AQ1459" s="2">
        <v>0</v>
      </c>
      <c r="AR1459" s="2">
        <v>0</v>
      </c>
      <c r="AS1459" s="2">
        <v>0</v>
      </c>
      <c r="AT1459" s="2">
        <v>0</v>
      </c>
      <c r="AU1459" s="2">
        <v>0</v>
      </c>
      <c r="AV1459" s="2">
        <v>0</v>
      </c>
      <c r="AW1459" s="4"/>
      <c r="AX1459" t="s">
        <v>75</v>
      </c>
      <c r="AZ1459" t="s">
        <v>318</v>
      </c>
      <c r="BA1459" t="s">
        <v>67</v>
      </c>
      <c r="BB1459" t="s">
        <v>319</v>
      </c>
      <c r="BC1459" t="s">
        <v>154</v>
      </c>
      <c r="BD1459" t="s">
        <v>79</v>
      </c>
      <c r="BE1459" t="s">
        <v>317</v>
      </c>
      <c r="BF1459" s="5">
        <v>46935</v>
      </c>
      <c r="BH1459">
        <v>1</v>
      </c>
      <c r="BI1459" s="6">
        <v>1190000</v>
      </c>
      <c r="BJ1459" s="6">
        <v>45</v>
      </c>
      <c r="BK1459" s="6">
        <v>535500</v>
      </c>
      <c r="BL1459" s="6">
        <v>654500</v>
      </c>
      <c r="BM1459" s="2">
        <v>654500</v>
      </c>
      <c r="BN1459">
        <f>InvoiceTable[[#This Row],[Giảm giá]]*InvoiceTable[[#This Row],[Số lượng]]</f>
        <v>535500</v>
      </c>
    </row>
    <row r="1460" spans="1:66" x14ac:dyDescent="0.25">
      <c r="A1460" t="s">
        <v>65</v>
      </c>
      <c r="B1460" t="s">
        <v>3855</v>
      </c>
      <c r="F1460" s="2"/>
      <c r="G1460" s="3">
        <v>46001.47644791667</v>
      </c>
      <c r="H1460" s="3">
        <v>46001.476448032408</v>
      </c>
      <c r="I1460" s="4" t="s">
        <v>67</v>
      </c>
      <c r="J1460" t="s">
        <v>67</v>
      </c>
      <c r="K1460" t="s">
        <v>67</v>
      </c>
      <c r="L1460" t="s">
        <v>2376</v>
      </c>
      <c r="M1460" t="s">
        <v>2377</v>
      </c>
      <c r="N1460" t="s">
        <v>67</v>
      </c>
      <c r="O1460" t="s">
        <v>2378</v>
      </c>
      <c r="P1460" t="s">
        <v>2379</v>
      </c>
      <c r="Q1460" t="s">
        <v>67</v>
      </c>
      <c r="R1460" t="s">
        <v>67</v>
      </c>
      <c r="S1460" s="5"/>
      <c r="T1460" t="s">
        <v>72</v>
      </c>
      <c r="U1460" t="s">
        <v>87</v>
      </c>
      <c r="V1460" t="s">
        <v>74</v>
      </c>
      <c r="W1460" t="s">
        <v>87</v>
      </c>
      <c r="AE1460" s="2"/>
      <c r="AF1460" s="2"/>
      <c r="AG1460" s="2"/>
      <c r="AH1460" s="2"/>
      <c r="AL1460" s="2">
        <v>983400</v>
      </c>
      <c r="AM1460" s="2">
        <v>0</v>
      </c>
      <c r="AN1460" s="2"/>
      <c r="AO1460" s="2">
        <v>0</v>
      </c>
      <c r="AP1460" s="2">
        <v>983400</v>
      </c>
      <c r="AQ1460" s="2">
        <v>0</v>
      </c>
      <c r="AR1460" s="2">
        <v>0</v>
      </c>
      <c r="AS1460" s="2">
        <v>0</v>
      </c>
      <c r="AT1460" s="2">
        <v>0</v>
      </c>
      <c r="AU1460" s="2">
        <v>0</v>
      </c>
      <c r="AV1460" s="2">
        <v>0</v>
      </c>
      <c r="AW1460" s="4"/>
      <c r="AX1460" t="s">
        <v>75</v>
      </c>
      <c r="AZ1460" t="s">
        <v>2930</v>
      </c>
      <c r="BB1460" t="s">
        <v>2931</v>
      </c>
      <c r="BC1460" t="s">
        <v>2932</v>
      </c>
      <c r="BD1460" t="s">
        <v>79</v>
      </c>
      <c r="BE1460" t="s">
        <v>168</v>
      </c>
      <c r="BF1460" s="5">
        <v>46388</v>
      </c>
      <c r="BG1460" t="s">
        <v>67</v>
      </c>
      <c r="BH1460">
        <v>1</v>
      </c>
      <c r="BI1460" s="6">
        <v>506000</v>
      </c>
      <c r="BJ1460" s="6">
        <v>35</v>
      </c>
      <c r="BK1460" s="6">
        <v>177100</v>
      </c>
      <c r="BL1460" s="6">
        <v>328900</v>
      </c>
      <c r="BM1460" s="2">
        <v>328900</v>
      </c>
      <c r="BN1460">
        <f>InvoiceTable[[#This Row],[Giảm giá]]*InvoiceTable[[#This Row],[Số lượng]]</f>
        <v>177100</v>
      </c>
    </row>
    <row r="1461" spans="1:66" x14ac:dyDescent="0.25">
      <c r="A1461" t="s">
        <v>65</v>
      </c>
      <c r="B1461" t="s">
        <v>3856</v>
      </c>
      <c r="F1461" s="2"/>
      <c r="G1461" s="3">
        <v>46001.464946296299</v>
      </c>
      <c r="H1461" s="3">
        <v>46001.464934837961</v>
      </c>
      <c r="I1461" s="4" t="s">
        <v>3857</v>
      </c>
      <c r="J1461" t="s">
        <v>67</v>
      </c>
      <c r="K1461" t="s">
        <v>67</v>
      </c>
      <c r="L1461" t="s">
        <v>2795</v>
      </c>
      <c r="M1461" t="s">
        <v>2796</v>
      </c>
      <c r="N1461" t="s">
        <v>67</v>
      </c>
      <c r="O1461" t="s">
        <v>2797</v>
      </c>
      <c r="P1461" t="s">
        <v>2798</v>
      </c>
      <c r="S1461" s="5"/>
      <c r="T1461" t="s">
        <v>72</v>
      </c>
      <c r="U1461" t="s">
        <v>87</v>
      </c>
      <c r="V1461" t="s">
        <v>74</v>
      </c>
      <c r="W1461" t="s">
        <v>87</v>
      </c>
      <c r="AE1461" s="2"/>
      <c r="AF1461" s="2"/>
      <c r="AG1461" s="2"/>
      <c r="AH1461" s="2"/>
      <c r="AL1461" s="2">
        <v>390000</v>
      </c>
      <c r="AM1461" s="2">
        <v>0</v>
      </c>
      <c r="AN1461" s="2"/>
      <c r="AO1461" s="2">
        <v>0</v>
      </c>
      <c r="AP1461" s="2">
        <v>390000</v>
      </c>
      <c r="AQ1461" s="2">
        <v>0</v>
      </c>
      <c r="AR1461" s="2">
        <v>0</v>
      </c>
      <c r="AS1461" s="2">
        <v>0</v>
      </c>
      <c r="AT1461" s="2">
        <v>0</v>
      </c>
      <c r="AU1461" s="2">
        <v>0</v>
      </c>
      <c r="AV1461" s="2">
        <v>0</v>
      </c>
      <c r="AW1461" s="4"/>
      <c r="AX1461" t="s">
        <v>75</v>
      </c>
      <c r="AZ1461" t="s">
        <v>3398</v>
      </c>
      <c r="BA1461" t="s">
        <v>67</v>
      </c>
      <c r="BB1461" t="s">
        <v>3399</v>
      </c>
      <c r="BC1461" t="s">
        <v>1183</v>
      </c>
      <c r="BD1461" t="s">
        <v>79</v>
      </c>
      <c r="BE1461" t="s">
        <v>188</v>
      </c>
      <c r="BF1461" s="5">
        <v>46905</v>
      </c>
      <c r="BH1461">
        <v>1</v>
      </c>
      <c r="BI1461" s="6">
        <v>780000</v>
      </c>
      <c r="BJ1461" s="6">
        <v>50</v>
      </c>
      <c r="BK1461" s="6">
        <v>390000</v>
      </c>
      <c r="BL1461" s="6">
        <v>390000</v>
      </c>
      <c r="BM1461" s="2">
        <v>390000</v>
      </c>
      <c r="BN1461">
        <f>InvoiceTable[[#This Row],[Giảm giá]]*InvoiceTable[[#This Row],[Số lượng]]</f>
        <v>390000</v>
      </c>
    </row>
    <row r="1462" spans="1:66" x14ac:dyDescent="0.25">
      <c r="A1462" t="s">
        <v>65</v>
      </c>
      <c r="B1462" t="s">
        <v>3858</v>
      </c>
      <c r="F1462" s="2"/>
      <c r="G1462" s="3">
        <v>46001.464658680554</v>
      </c>
      <c r="H1462" s="3">
        <v>46001.464496990739</v>
      </c>
      <c r="I1462" s="4" t="s">
        <v>1465</v>
      </c>
      <c r="J1462" t="s">
        <v>67</v>
      </c>
      <c r="K1462" t="s">
        <v>67</v>
      </c>
      <c r="L1462" t="s">
        <v>3859</v>
      </c>
      <c r="M1462" t="s">
        <v>3860</v>
      </c>
      <c r="N1462" t="s">
        <v>67</v>
      </c>
      <c r="O1462" t="s">
        <v>3861</v>
      </c>
      <c r="P1462" t="s">
        <v>3862</v>
      </c>
      <c r="Q1462" t="s">
        <v>67</v>
      </c>
      <c r="R1462" t="s">
        <v>67</v>
      </c>
      <c r="S1462" s="5"/>
      <c r="T1462" t="s">
        <v>72</v>
      </c>
      <c r="U1462" t="s">
        <v>87</v>
      </c>
      <c r="V1462" t="s">
        <v>74</v>
      </c>
      <c r="W1462" t="s">
        <v>87</v>
      </c>
      <c r="AE1462" s="2"/>
      <c r="AF1462" s="2"/>
      <c r="AG1462" s="2"/>
      <c r="AH1462" s="2"/>
      <c r="AL1462" s="2">
        <v>12070292</v>
      </c>
      <c r="AM1462" s="2">
        <v>0</v>
      </c>
      <c r="AN1462" s="2"/>
      <c r="AO1462" s="2">
        <v>0</v>
      </c>
      <c r="AP1462" s="2">
        <v>12070292</v>
      </c>
      <c r="AQ1462" s="2">
        <v>0</v>
      </c>
      <c r="AR1462" s="2">
        <v>0</v>
      </c>
      <c r="AS1462" s="2">
        <v>0</v>
      </c>
      <c r="AT1462" s="2">
        <v>0</v>
      </c>
      <c r="AU1462" s="2">
        <v>0</v>
      </c>
      <c r="AV1462" s="2">
        <v>0</v>
      </c>
      <c r="AW1462" s="4"/>
      <c r="AX1462" t="s">
        <v>75</v>
      </c>
      <c r="AZ1462" t="s">
        <v>601</v>
      </c>
      <c r="BA1462" t="s">
        <v>67</v>
      </c>
      <c r="BB1462" t="s">
        <v>602</v>
      </c>
      <c r="BC1462" t="s">
        <v>301</v>
      </c>
      <c r="BD1462" t="s">
        <v>79</v>
      </c>
      <c r="BE1462" t="s">
        <v>117</v>
      </c>
      <c r="BF1462" s="5">
        <v>46569</v>
      </c>
      <c r="BH1462">
        <v>1</v>
      </c>
      <c r="BI1462" s="6">
        <v>2650000</v>
      </c>
      <c r="BJ1462" s="6">
        <v>47</v>
      </c>
      <c r="BK1462" s="6">
        <v>1245500</v>
      </c>
      <c r="BL1462" s="6">
        <v>1404500</v>
      </c>
      <c r="BM1462" s="2">
        <v>1404500</v>
      </c>
      <c r="BN1462">
        <f>InvoiceTable[[#This Row],[Giảm giá]]*InvoiceTable[[#This Row],[Số lượng]]</f>
        <v>1245500</v>
      </c>
    </row>
    <row r="1463" spans="1:66" x14ac:dyDescent="0.25">
      <c r="A1463" t="s">
        <v>65</v>
      </c>
      <c r="B1463" t="s">
        <v>3858</v>
      </c>
      <c r="F1463" s="2"/>
      <c r="G1463" s="3">
        <v>46001.464658680554</v>
      </c>
      <c r="H1463" s="3">
        <v>46001.464496990739</v>
      </c>
      <c r="I1463" s="4" t="s">
        <v>1465</v>
      </c>
      <c r="J1463" t="s">
        <v>67</v>
      </c>
      <c r="K1463" t="s">
        <v>67</v>
      </c>
      <c r="L1463" t="s">
        <v>3859</v>
      </c>
      <c r="M1463" t="s">
        <v>3860</v>
      </c>
      <c r="N1463" t="s">
        <v>67</v>
      </c>
      <c r="O1463" t="s">
        <v>3861</v>
      </c>
      <c r="P1463" t="s">
        <v>3862</v>
      </c>
      <c r="Q1463" t="s">
        <v>67</v>
      </c>
      <c r="R1463" t="s">
        <v>67</v>
      </c>
      <c r="S1463" s="5"/>
      <c r="T1463" t="s">
        <v>72</v>
      </c>
      <c r="U1463" t="s">
        <v>87</v>
      </c>
      <c r="V1463" t="s">
        <v>74</v>
      </c>
      <c r="W1463" t="s">
        <v>87</v>
      </c>
      <c r="AE1463" s="2"/>
      <c r="AF1463" s="2"/>
      <c r="AG1463" s="2"/>
      <c r="AH1463" s="2"/>
      <c r="AL1463" s="2">
        <v>12070292</v>
      </c>
      <c r="AM1463" s="2">
        <v>0</v>
      </c>
      <c r="AN1463" s="2"/>
      <c r="AO1463" s="2">
        <v>0</v>
      </c>
      <c r="AP1463" s="2">
        <v>12070292</v>
      </c>
      <c r="AQ1463" s="2">
        <v>0</v>
      </c>
      <c r="AR1463" s="2">
        <v>0</v>
      </c>
      <c r="AS1463" s="2">
        <v>0</v>
      </c>
      <c r="AT1463" s="2">
        <v>0</v>
      </c>
      <c r="AU1463" s="2">
        <v>0</v>
      </c>
      <c r="AV1463" s="2">
        <v>0</v>
      </c>
      <c r="AW1463" s="4"/>
      <c r="AX1463" t="s">
        <v>75</v>
      </c>
      <c r="AZ1463" t="s">
        <v>1678</v>
      </c>
      <c r="BB1463" t="s">
        <v>1679</v>
      </c>
      <c r="BC1463" t="s">
        <v>590</v>
      </c>
      <c r="BD1463" t="s">
        <v>79</v>
      </c>
      <c r="BE1463" t="s">
        <v>1231</v>
      </c>
      <c r="BF1463" s="5">
        <v>47239</v>
      </c>
      <c r="BH1463">
        <v>1</v>
      </c>
      <c r="BI1463" s="6">
        <v>7490000</v>
      </c>
      <c r="BJ1463" s="6">
        <v>0</v>
      </c>
      <c r="BK1463" s="6">
        <v>1190000</v>
      </c>
      <c r="BL1463" s="6">
        <v>6300000</v>
      </c>
      <c r="BM1463" s="2">
        <v>6300000</v>
      </c>
      <c r="BN1463">
        <f>InvoiceTable[[#This Row],[Giảm giá]]*InvoiceTable[[#This Row],[Số lượng]]</f>
        <v>1190000</v>
      </c>
    </row>
    <row r="1464" spans="1:66" x14ac:dyDescent="0.25">
      <c r="A1464" t="s">
        <v>65</v>
      </c>
      <c r="B1464" t="s">
        <v>3858</v>
      </c>
      <c r="F1464" s="2"/>
      <c r="G1464" s="3">
        <v>46001.464658680554</v>
      </c>
      <c r="H1464" s="3">
        <v>46001.464496990739</v>
      </c>
      <c r="I1464" s="4" t="s">
        <v>1465</v>
      </c>
      <c r="J1464" t="s">
        <v>67</v>
      </c>
      <c r="K1464" t="s">
        <v>67</v>
      </c>
      <c r="L1464" t="s">
        <v>3859</v>
      </c>
      <c r="M1464" t="s">
        <v>3860</v>
      </c>
      <c r="N1464" t="s">
        <v>67</v>
      </c>
      <c r="O1464" t="s">
        <v>3861</v>
      </c>
      <c r="P1464" t="s">
        <v>3862</v>
      </c>
      <c r="Q1464" t="s">
        <v>67</v>
      </c>
      <c r="R1464" t="s">
        <v>67</v>
      </c>
      <c r="S1464" s="5"/>
      <c r="T1464" t="s">
        <v>72</v>
      </c>
      <c r="U1464" t="s">
        <v>87</v>
      </c>
      <c r="V1464" t="s">
        <v>74</v>
      </c>
      <c r="W1464" t="s">
        <v>87</v>
      </c>
      <c r="AE1464" s="2"/>
      <c r="AF1464" s="2"/>
      <c r="AG1464" s="2"/>
      <c r="AH1464" s="2"/>
      <c r="AL1464" s="2">
        <v>12070292</v>
      </c>
      <c r="AM1464" s="2">
        <v>0</v>
      </c>
      <c r="AN1464" s="2"/>
      <c r="AO1464" s="2">
        <v>0</v>
      </c>
      <c r="AP1464" s="2">
        <v>12070292</v>
      </c>
      <c r="AQ1464" s="2">
        <v>0</v>
      </c>
      <c r="AR1464" s="2">
        <v>0</v>
      </c>
      <c r="AS1464" s="2">
        <v>0</v>
      </c>
      <c r="AT1464" s="2">
        <v>0</v>
      </c>
      <c r="AU1464" s="2">
        <v>0</v>
      </c>
      <c r="AV1464" s="2">
        <v>0</v>
      </c>
      <c r="AW1464" s="4"/>
      <c r="AX1464" t="s">
        <v>75</v>
      </c>
      <c r="AZ1464" t="s">
        <v>3863</v>
      </c>
      <c r="BA1464" t="s">
        <v>67</v>
      </c>
      <c r="BB1464" t="s">
        <v>3864</v>
      </c>
      <c r="BC1464" t="s">
        <v>237</v>
      </c>
      <c r="BD1464" t="s">
        <v>79</v>
      </c>
      <c r="BE1464" t="s">
        <v>188</v>
      </c>
      <c r="BF1464" s="5">
        <v>46905</v>
      </c>
      <c r="BG1464" t="s">
        <v>67</v>
      </c>
      <c r="BH1464">
        <v>2</v>
      </c>
      <c r="BI1464" s="6">
        <v>3520800</v>
      </c>
      <c r="BJ1464" s="6">
        <v>38</v>
      </c>
      <c r="BK1464" s="6">
        <v>1337904</v>
      </c>
      <c r="BL1464" s="6">
        <v>2182896</v>
      </c>
      <c r="BM1464" s="2">
        <v>4365792</v>
      </c>
      <c r="BN1464">
        <f>InvoiceTable[[#This Row],[Giảm giá]]*InvoiceTable[[#This Row],[Số lượng]]</f>
        <v>2675808</v>
      </c>
    </row>
    <row r="1465" spans="1:66" x14ac:dyDescent="0.25">
      <c r="A1465" t="s">
        <v>65</v>
      </c>
      <c r="B1465" t="s">
        <v>3865</v>
      </c>
      <c r="F1465" s="2"/>
      <c r="G1465" s="3">
        <v>46001.459972025463</v>
      </c>
      <c r="H1465" s="3">
        <v>46001.459972256947</v>
      </c>
      <c r="I1465" s="4" t="s">
        <v>67</v>
      </c>
      <c r="J1465" t="s">
        <v>3866</v>
      </c>
      <c r="K1465" t="s">
        <v>67</v>
      </c>
      <c r="L1465" t="s">
        <v>1223</v>
      </c>
      <c r="M1465" t="s">
        <v>1224</v>
      </c>
      <c r="N1465" t="s">
        <v>1225</v>
      </c>
      <c r="O1465" t="s">
        <v>1226</v>
      </c>
      <c r="P1465" t="s">
        <v>1227</v>
      </c>
      <c r="S1465" s="5"/>
      <c r="T1465" t="s">
        <v>72</v>
      </c>
      <c r="U1465" t="s">
        <v>102</v>
      </c>
      <c r="V1465" t="s">
        <v>74</v>
      </c>
      <c r="W1465" t="s">
        <v>87</v>
      </c>
      <c r="AE1465" s="2"/>
      <c r="AF1465" s="2"/>
      <c r="AG1465" s="2"/>
      <c r="AH1465" s="2"/>
      <c r="AK1465" t="s">
        <v>3867</v>
      </c>
      <c r="AL1465" s="2">
        <v>2307000</v>
      </c>
      <c r="AM1465" s="2">
        <v>0</v>
      </c>
      <c r="AN1465" s="2"/>
      <c r="AO1465" s="2">
        <v>0</v>
      </c>
      <c r="AP1465" s="2">
        <v>2307000</v>
      </c>
      <c r="AQ1465" s="2">
        <v>0</v>
      </c>
      <c r="AR1465" s="2">
        <v>0</v>
      </c>
      <c r="AS1465" s="2">
        <v>0</v>
      </c>
      <c r="AT1465" s="2">
        <v>0</v>
      </c>
      <c r="AU1465" s="2">
        <v>0</v>
      </c>
      <c r="AV1465" s="2">
        <v>0</v>
      </c>
      <c r="AW1465" s="4"/>
      <c r="AX1465" t="s">
        <v>75</v>
      </c>
      <c r="AZ1465" t="s">
        <v>3750</v>
      </c>
      <c r="BA1465" t="s">
        <v>67</v>
      </c>
      <c r="BB1465" t="s">
        <v>3751</v>
      </c>
      <c r="BC1465" t="s">
        <v>204</v>
      </c>
      <c r="BD1465" t="s">
        <v>79</v>
      </c>
      <c r="BE1465" t="s">
        <v>1231</v>
      </c>
      <c r="BF1465" s="5">
        <v>47239</v>
      </c>
      <c r="BH1465">
        <v>2</v>
      </c>
      <c r="BI1465" s="6">
        <v>610000</v>
      </c>
      <c r="BJ1465" s="6">
        <v>40</v>
      </c>
      <c r="BK1465" s="6">
        <v>244000</v>
      </c>
      <c r="BL1465" s="6">
        <v>366000</v>
      </c>
      <c r="BM1465" s="2">
        <v>732000</v>
      </c>
      <c r="BN1465">
        <f>InvoiceTable[[#This Row],[Giảm giá]]*InvoiceTable[[#This Row],[Số lượng]]</f>
        <v>488000</v>
      </c>
    </row>
    <row r="1466" spans="1:66" x14ac:dyDescent="0.25">
      <c r="A1466" t="s">
        <v>65</v>
      </c>
      <c r="B1466" t="s">
        <v>3865</v>
      </c>
      <c r="F1466" s="2"/>
      <c r="G1466" s="3">
        <v>46001.459972025463</v>
      </c>
      <c r="H1466" s="3">
        <v>46001.459972256947</v>
      </c>
      <c r="I1466" s="4" t="s">
        <v>67</v>
      </c>
      <c r="J1466" t="s">
        <v>3866</v>
      </c>
      <c r="K1466" t="s">
        <v>67</v>
      </c>
      <c r="L1466" t="s">
        <v>1223</v>
      </c>
      <c r="M1466" t="s">
        <v>1224</v>
      </c>
      <c r="N1466" t="s">
        <v>1225</v>
      </c>
      <c r="O1466" t="s">
        <v>1226</v>
      </c>
      <c r="P1466" t="s">
        <v>1227</v>
      </c>
      <c r="S1466" s="5"/>
      <c r="T1466" t="s">
        <v>72</v>
      </c>
      <c r="U1466" t="s">
        <v>102</v>
      </c>
      <c r="V1466" t="s">
        <v>74</v>
      </c>
      <c r="W1466" t="s">
        <v>87</v>
      </c>
      <c r="AE1466" s="2"/>
      <c r="AF1466" s="2"/>
      <c r="AG1466" s="2"/>
      <c r="AH1466" s="2"/>
      <c r="AK1466" t="s">
        <v>3867</v>
      </c>
      <c r="AL1466" s="2">
        <v>2307000</v>
      </c>
      <c r="AM1466" s="2">
        <v>0</v>
      </c>
      <c r="AN1466" s="2"/>
      <c r="AO1466" s="2">
        <v>0</v>
      </c>
      <c r="AP1466" s="2">
        <v>2307000</v>
      </c>
      <c r="AQ1466" s="2">
        <v>0</v>
      </c>
      <c r="AR1466" s="2">
        <v>0</v>
      </c>
      <c r="AS1466" s="2">
        <v>0</v>
      </c>
      <c r="AT1466" s="2">
        <v>0</v>
      </c>
      <c r="AU1466" s="2">
        <v>0</v>
      </c>
      <c r="AV1466" s="2">
        <v>0</v>
      </c>
      <c r="AW1466" s="4"/>
      <c r="AX1466" t="s">
        <v>75</v>
      </c>
      <c r="AZ1466" t="s">
        <v>3868</v>
      </c>
      <c r="BA1466" t="s">
        <v>67</v>
      </c>
      <c r="BB1466" t="s">
        <v>3869</v>
      </c>
      <c r="BC1466" t="s">
        <v>204</v>
      </c>
      <c r="BD1466" t="s">
        <v>79</v>
      </c>
      <c r="BE1466" t="s">
        <v>145</v>
      </c>
      <c r="BF1466" s="5">
        <v>46508</v>
      </c>
      <c r="BH1466">
        <v>3</v>
      </c>
      <c r="BI1466" s="6">
        <v>875000</v>
      </c>
      <c r="BJ1466" s="6">
        <v>40</v>
      </c>
      <c r="BK1466" s="6">
        <v>350000</v>
      </c>
      <c r="BL1466" s="6">
        <v>525000</v>
      </c>
      <c r="BM1466" s="2">
        <v>1575000</v>
      </c>
      <c r="BN1466">
        <f>InvoiceTable[[#This Row],[Giảm giá]]*InvoiceTable[[#This Row],[Số lượng]]</f>
        <v>1050000</v>
      </c>
    </row>
    <row r="1467" spans="1:66" x14ac:dyDescent="0.25">
      <c r="A1467" t="s">
        <v>65</v>
      </c>
      <c r="B1467" t="s">
        <v>3870</v>
      </c>
      <c r="F1467" s="2"/>
      <c r="G1467" s="3">
        <v>46001.459518321761</v>
      </c>
      <c r="H1467" s="3">
        <v>46001.459333252315</v>
      </c>
      <c r="I1467" s="4" t="s">
        <v>96</v>
      </c>
      <c r="J1467" t="s">
        <v>3871</v>
      </c>
      <c r="K1467" t="s">
        <v>67</v>
      </c>
      <c r="L1467" t="s">
        <v>2972</v>
      </c>
      <c r="M1467" t="s">
        <v>2973</v>
      </c>
      <c r="N1467" t="s">
        <v>2974</v>
      </c>
      <c r="O1467" t="s">
        <v>2975</v>
      </c>
      <c r="P1467" t="s">
        <v>2976</v>
      </c>
      <c r="S1467" s="5"/>
      <c r="T1467" t="s">
        <v>72</v>
      </c>
      <c r="U1467" t="s">
        <v>87</v>
      </c>
      <c r="V1467" t="s">
        <v>74</v>
      </c>
      <c r="W1467" t="s">
        <v>87</v>
      </c>
      <c r="AE1467" s="2"/>
      <c r="AF1467" s="2"/>
      <c r="AG1467" s="2"/>
      <c r="AH1467" s="2"/>
      <c r="AK1467" t="s">
        <v>3872</v>
      </c>
      <c r="AL1467" s="2">
        <v>1984120</v>
      </c>
      <c r="AM1467" s="2">
        <v>0</v>
      </c>
      <c r="AN1467" s="2"/>
      <c r="AO1467" s="2">
        <v>0</v>
      </c>
      <c r="AP1467" s="2">
        <v>1984120</v>
      </c>
      <c r="AQ1467" s="2">
        <v>0</v>
      </c>
      <c r="AR1467" s="2">
        <v>0</v>
      </c>
      <c r="AS1467" s="2">
        <v>0</v>
      </c>
      <c r="AT1467" s="2">
        <v>0</v>
      </c>
      <c r="AU1467" s="2">
        <v>0</v>
      </c>
      <c r="AV1467" s="2">
        <v>0</v>
      </c>
      <c r="AW1467" s="4"/>
      <c r="AX1467" t="s">
        <v>75</v>
      </c>
      <c r="AZ1467" t="s">
        <v>206</v>
      </c>
      <c r="BB1467" t="s">
        <v>207</v>
      </c>
      <c r="BC1467" t="s">
        <v>208</v>
      </c>
      <c r="BD1467" t="s">
        <v>79</v>
      </c>
      <c r="BE1467" t="s">
        <v>209</v>
      </c>
      <c r="BF1467" s="5">
        <v>46538</v>
      </c>
      <c r="BG1467" t="s">
        <v>67</v>
      </c>
      <c r="BH1467">
        <v>1</v>
      </c>
      <c r="BI1467" s="6">
        <v>387000</v>
      </c>
      <c r="BJ1467" s="6">
        <v>28</v>
      </c>
      <c r="BK1467" s="6">
        <v>108360</v>
      </c>
      <c r="BL1467" s="6">
        <v>278640</v>
      </c>
      <c r="BM1467" s="2">
        <v>278640</v>
      </c>
      <c r="BN1467">
        <f>InvoiceTable[[#This Row],[Giảm giá]]*InvoiceTable[[#This Row],[Số lượng]]</f>
        <v>108360</v>
      </c>
    </row>
    <row r="1468" spans="1:66" x14ac:dyDescent="0.25">
      <c r="A1468" t="s">
        <v>65</v>
      </c>
      <c r="B1468" t="s">
        <v>3870</v>
      </c>
      <c r="F1468" s="2"/>
      <c r="G1468" s="3">
        <v>46001.459518321761</v>
      </c>
      <c r="H1468" s="3">
        <v>46001.459333252315</v>
      </c>
      <c r="I1468" s="4" t="s">
        <v>96</v>
      </c>
      <c r="J1468" t="s">
        <v>3871</v>
      </c>
      <c r="K1468" t="s">
        <v>67</v>
      </c>
      <c r="L1468" t="s">
        <v>2972</v>
      </c>
      <c r="M1468" t="s">
        <v>2973</v>
      </c>
      <c r="N1468" t="s">
        <v>2974</v>
      </c>
      <c r="O1468" t="s">
        <v>2975</v>
      </c>
      <c r="P1468" t="s">
        <v>2976</v>
      </c>
      <c r="S1468" s="5"/>
      <c r="T1468" t="s">
        <v>72</v>
      </c>
      <c r="U1468" t="s">
        <v>87</v>
      </c>
      <c r="V1468" t="s">
        <v>74</v>
      </c>
      <c r="W1468" t="s">
        <v>87</v>
      </c>
      <c r="AE1468" s="2"/>
      <c r="AF1468" s="2"/>
      <c r="AG1468" s="2"/>
      <c r="AH1468" s="2"/>
      <c r="AK1468" t="s">
        <v>3872</v>
      </c>
      <c r="AL1468" s="2">
        <v>1984120</v>
      </c>
      <c r="AM1468" s="2">
        <v>0</v>
      </c>
      <c r="AN1468" s="2"/>
      <c r="AO1468" s="2">
        <v>0</v>
      </c>
      <c r="AP1468" s="2">
        <v>1984120</v>
      </c>
      <c r="AQ1468" s="2">
        <v>0</v>
      </c>
      <c r="AR1468" s="2">
        <v>0</v>
      </c>
      <c r="AS1468" s="2">
        <v>0</v>
      </c>
      <c r="AT1468" s="2">
        <v>0</v>
      </c>
      <c r="AU1468" s="2">
        <v>0</v>
      </c>
      <c r="AV1468" s="2">
        <v>0</v>
      </c>
      <c r="AW1468" s="4"/>
      <c r="AX1468" t="s">
        <v>75</v>
      </c>
      <c r="AZ1468" t="s">
        <v>2153</v>
      </c>
      <c r="BA1468" t="s">
        <v>67</v>
      </c>
      <c r="BB1468" t="s">
        <v>2154</v>
      </c>
      <c r="BC1468" t="s">
        <v>1714</v>
      </c>
      <c r="BD1468" t="s">
        <v>79</v>
      </c>
      <c r="BE1468" t="s">
        <v>228</v>
      </c>
      <c r="BF1468" s="5">
        <v>46813</v>
      </c>
      <c r="BH1468">
        <v>1</v>
      </c>
      <c r="BI1468" s="6">
        <v>558000</v>
      </c>
      <c r="BJ1468" s="6">
        <v>38</v>
      </c>
      <c r="BK1468" s="6">
        <v>212040</v>
      </c>
      <c r="BL1468" s="6">
        <v>345960</v>
      </c>
      <c r="BM1468" s="2">
        <v>345960</v>
      </c>
      <c r="BN1468">
        <f>InvoiceTable[[#This Row],[Giảm giá]]*InvoiceTable[[#This Row],[Số lượng]]</f>
        <v>212040</v>
      </c>
    </row>
    <row r="1469" spans="1:66" x14ac:dyDescent="0.25">
      <c r="A1469" t="s">
        <v>65</v>
      </c>
      <c r="B1469" t="s">
        <v>3870</v>
      </c>
      <c r="F1469" s="2"/>
      <c r="G1469" s="3">
        <v>46001.459518321761</v>
      </c>
      <c r="H1469" s="3">
        <v>46001.459333252315</v>
      </c>
      <c r="I1469" s="4" t="s">
        <v>96</v>
      </c>
      <c r="J1469" t="s">
        <v>3871</v>
      </c>
      <c r="K1469" t="s">
        <v>67</v>
      </c>
      <c r="L1469" t="s">
        <v>2972</v>
      </c>
      <c r="M1469" t="s">
        <v>2973</v>
      </c>
      <c r="N1469" t="s">
        <v>2974</v>
      </c>
      <c r="O1469" t="s">
        <v>2975</v>
      </c>
      <c r="P1469" t="s">
        <v>2976</v>
      </c>
      <c r="S1469" s="5"/>
      <c r="T1469" t="s">
        <v>72</v>
      </c>
      <c r="U1469" t="s">
        <v>87</v>
      </c>
      <c r="V1469" t="s">
        <v>74</v>
      </c>
      <c r="W1469" t="s">
        <v>87</v>
      </c>
      <c r="AE1469" s="2"/>
      <c r="AF1469" s="2"/>
      <c r="AG1469" s="2"/>
      <c r="AH1469" s="2"/>
      <c r="AK1469" t="s">
        <v>3872</v>
      </c>
      <c r="AL1469" s="2">
        <v>1984120</v>
      </c>
      <c r="AM1469" s="2">
        <v>0</v>
      </c>
      <c r="AN1469" s="2"/>
      <c r="AO1469" s="2">
        <v>0</v>
      </c>
      <c r="AP1469" s="2">
        <v>1984120</v>
      </c>
      <c r="AQ1469" s="2">
        <v>0</v>
      </c>
      <c r="AR1469" s="2">
        <v>0</v>
      </c>
      <c r="AS1469" s="2">
        <v>0</v>
      </c>
      <c r="AT1469" s="2">
        <v>0</v>
      </c>
      <c r="AU1469" s="2">
        <v>0</v>
      </c>
      <c r="AV1469" s="2">
        <v>0</v>
      </c>
      <c r="AW1469" s="4"/>
      <c r="AX1469" t="s">
        <v>75</v>
      </c>
      <c r="AZ1469" t="s">
        <v>3873</v>
      </c>
      <c r="BA1469" t="s">
        <v>67</v>
      </c>
      <c r="BB1469" t="s">
        <v>3874</v>
      </c>
      <c r="BC1469" t="s">
        <v>1292</v>
      </c>
      <c r="BD1469" t="s">
        <v>79</v>
      </c>
      <c r="BE1469" t="s">
        <v>201</v>
      </c>
      <c r="BF1469" s="5">
        <v>46966</v>
      </c>
      <c r="BH1469">
        <v>1</v>
      </c>
      <c r="BI1469" s="6">
        <v>1945000</v>
      </c>
      <c r="BJ1469" s="6">
        <v>42</v>
      </c>
      <c r="BK1469" s="6">
        <v>816900</v>
      </c>
      <c r="BL1469" s="6">
        <v>1128100</v>
      </c>
      <c r="BM1469" s="2">
        <v>1128100</v>
      </c>
      <c r="BN1469">
        <f>InvoiceTable[[#This Row],[Giảm giá]]*InvoiceTable[[#This Row],[Số lượng]]</f>
        <v>816900</v>
      </c>
    </row>
    <row r="1470" spans="1:66" x14ac:dyDescent="0.25">
      <c r="A1470" t="s">
        <v>65</v>
      </c>
      <c r="B1470" t="s">
        <v>3870</v>
      </c>
      <c r="F1470" s="2"/>
      <c r="G1470" s="3">
        <v>46001.459518321761</v>
      </c>
      <c r="H1470" s="3">
        <v>46001.459333252315</v>
      </c>
      <c r="I1470" s="4" t="s">
        <v>96</v>
      </c>
      <c r="J1470" t="s">
        <v>3871</v>
      </c>
      <c r="K1470" t="s">
        <v>67</v>
      </c>
      <c r="L1470" t="s">
        <v>2972</v>
      </c>
      <c r="M1470" t="s">
        <v>2973</v>
      </c>
      <c r="N1470" t="s">
        <v>2974</v>
      </c>
      <c r="O1470" t="s">
        <v>2975</v>
      </c>
      <c r="P1470" t="s">
        <v>2976</v>
      </c>
      <c r="S1470" s="5"/>
      <c r="T1470" t="s">
        <v>72</v>
      </c>
      <c r="U1470" t="s">
        <v>87</v>
      </c>
      <c r="V1470" t="s">
        <v>74</v>
      </c>
      <c r="W1470" t="s">
        <v>87</v>
      </c>
      <c r="AE1470" s="2"/>
      <c r="AF1470" s="2"/>
      <c r="AG1470" s="2"/>
      <c r="AH1470" s="2"/>
      <c r="AK1470" t="s">
        <v>3872</v>
      </c>
      <c r="AL1470" s="2">
        <v>1984120</v>
      </c>
      <c r="AM1470" s="2">
        <v>0</v>
      </c>
      <c r="AN1470" s="2"/>
      <c r="AO1470" s="2">
        <v>0</v>
      </c>
      <c r="AP1470" s="2">
        <v>1984120</v>
      </c>
      <c r="AQ1470" s="2">
        <v>0</v>
      </c>
      <c r="AR1470" s="2">
        <v>0</v>
      </c>
      <c r="AS1470" s="2">
        <v>0</v>
      </c>
      <c r="AT1470" s="2">
        <v>0</v>
      </c>
      <c r="AU1470" s="2">
        <v>0</v>
      </c>
      <c r="AV1470" s="2">
        <v>0</v>
      </c>
      <c r="AW1470" s="4"/>
      <c r="AX1470" t="s">
        <v>75</v>
      </c>
      <c r="AZ1470" t="s">
        <v>1290</v>
      </c>
      <c r="BA1470" t="s">
        <v>67</v>
      </c>
      <c r="BB1470" t="s">
        <v>1291</v>
      </c>
      <c r="BC1470" t="s">
        <v>1292</v>
      </c>
      <c r="BD1470" t="s">
        <v>79</v>
      </c>
      <c r="BE1470" t="s">
        <v>188</v>
      </c>
      <c r="BF1470" s="5">
        <v>46905</v>
      </c>
      <c r="BG1470" t="s">
        <v>67</v>
      </c>
      <c r="BH1470">
        <v>1</v>
      </c>
      <c r="BI1470" s="6">
        <v>399000</v>
      </c>
      <c r="BJ1470" s="6">
        <v>42</v>
      </c>
      <c r="BK1470" s="6">
        <v>167580</v>
      </c>
      <c r="BL1470" s="6">
        <v>231420</v>
      </c>
      <c r="BM1470" s="2">
        <v>231420</v>
      </c>
      <c r="BN1470">
        <f>InvoiceTable[[#This Row],[Giảm giá]]*InvoiceTable[[#This Row],[Số lượng]]</f>
        <v>167580</v>
      </c>
    </row>
    <row r="1471" spans="1:66" x14ac:dyDescent="0.25">
      <c r="A1471" t="s">
        <v>65</v>
      </c>
      <c r="B1471" t="s">
        <v>3875</v>
      </c>
      <c r="F1471" s="2"/>
      <c r="G1471" s="3">
        <v>46001.455174039351</v>
      </c>
      <c r="H1471" s="3">
        <v>46001.455174189818</v>
      </c>
      <c r="I1471" s="4" t="s">
        <v>67</v>
      </c>
      <c r="J1471" t="s">
        <v>3876</v>
      </c>
      <c r="K1471" t="s">
        <v>67</v>
      </c>
      <c r="L1471" t="s">
        <v>2053</v>
      </c>
      <c r="M1471" t="s">
        <v>2054</v>
      </c>
      <c r="N1471" t="s">
        <v>2055</v>
      </c>
      <c r="O1471" t="s">
        <v>2056</v>
      </c>
      <c r="P1471" t="s">
        <v>2057</v>
      </c>
      <c r="S1471" s="5"/>
      <c r="T1471" t="s">
        <v>72</v>
      </c>
      <c r="U1471" t="s">
        <v>87</v>
      </c>
      <c r="V1471" t="s">
        <v>74</v>
      </c>
      <c r="W1471" t="s">
        <v>87</v>
      </c>
      <c r="AE1471" s="2"/>
      <c r="AF1471" s="2"/>
      <c r="AG1471" s="2"/>
      <c r="AH1471" s="2"/>
      <c r="AK1471" t="s">
        <v>3877</v>
      </c>
      <c r="AL1471" s="2">
        <v>4026194</v>
      </c>
      <c r="AM1471" s="2">
        <v>0</v>
      </c>
      <c r="AN1471" s="2"/>
      <c r="AO1471" s="2">
        <v>0</v>
      </c>
      <c r="AP1471" s="2">
        <v>4026194</v>
      </c>
      <c r="AQ1471" s="2">
        <v>0</v>
      </c>
      <c r="AR1471" s="2">
        <v>0</v>
      </c>
      <c r="AS1471" s="2">
        <v>0</v>
      </c>
      <c r="AT1471" s="2">
        <v>0</v>
      </c>
      <c r="AU1471" s="2">
        <v>0</v>
      </c>
      <c r="AV1471" s="2">
        <v>0</v>
      </c>
      <c r="AW1471" s="4"/>
      <c r="AX1471" t="s">
        <v>75</v>
      </c>
      <c r="AZ1471" t="s">
        <v>318</v>
      </c>
      <c r="BA1471" t="s">
        <v>67</v>
      </c>
      <c r="BB1471" t="s">
        <v>319</v>
      </c>
      <c r="BC1471" t="s">
        <v>154</v>
      </c>
      <c r="BD1471" t="s">
        <v>79</v>
      </c>
      <c r="BE1471" t="s">
        <v>317</v>
      </c>
      <c r="BF1471" s="5">
        <v>46935</v>
      </c>
      <c r="BH1471">
        <v>1</v>
      </c>
      <c r="BI1471" s="6">
        <v>1190000</v>
      </c>
      <c r="BJ1471" s="6">
        <v>50</v>
      </c>
      <c r="BK1471" s="6">
        <v>595000</v>
      </c>
      <c r="BL1471" s="6">
        <v>595000</v>
      </c>
      <c r="BM1471" s="2">
        <v>595000</v>
      </c>
      <c r="BN1471">
        <f>InvoiceTable[[#This Row],[Giảm giá]]*InvoiceTable[[#This Row],[Số lượng]]</f>
        <v>595000</v>
      </c>
    </row>
    <row r="1472" spans="1:66" x14ac:dyDescent="0.25">
      <c r="A1472" t="s">
        <v>65</v>
      </c>
      <c r="B1472" t="s">
        <v>3875</v>
      </c>
      <c r="F1472" s="2"/>
      <c r="G1472" s="3">
        <v>46001.455174039351</v>
      </c>
      <c r="H1472" s="3">
        <v>46001.455174189818</v>
      </c>
      <c r="I1472" s="4" t="s">
        <v>67</v>
      </c>
      <c r="J1472" t="s">
        <v>3876</v>
      </c>
      <c r="K1472" t="s">
        <v>67</v>
      </c>
      <c r="L1472" t="s">
        <v>2053</v>
      </c>
      <c r="M1472" t="s">
        <v>2054</v>
      </c>
      <c r="N1472" t="s">
        <v>2055</v>
      </c>
      <c r="O1472" t="s">
        <v>2056</v>
      </c>
      <c r="P1472" t="s">
        <v>2057</v>
      </c>
      <c r="S1472" s="5"/>
      <c r="T1472" t="s">
        <v>72</v>
      </c>
      <c r="U1472" t="s">
        <v>87</v>
      </c>
      <c r="V1472" t="s">
        <v>74</v>
      </c>
      <c r="W1472" t="s">
        <v>87</v>
      </c>
      <c r="AE1472" s="2"/>
      <c r="AF1472" s="2"/>
      <c r="AG1472" s="2"/>
      <c r="AH1472" s="2"/>
      <c r="AK1472" t="s">
        <v>3877</v>
      </c>
      <c r="AL1472" s="2">
        <v>4026194</v>
      </c>
      <c r="AM1472" s="2">
        <v>0</v>
      </c>
      <c r="AN1472" s="2"/>
      <c r="AO1472" s="2">
        <v>0</v>
      </c>
      <c r="AP1472" s="2">
        <v>4026194</v>
      </c>
      <c r="AQ1472" s="2">
        <v>0</v>
      </c>
      <c r="AR1472" s="2">
        <v>0</v>
      </c>
      <c r="AS1472" s="2">
        <v>0</v>
      </c>
      <c r="AT1472" s="2">
        <v>0</v>
      </c>
      <c r="AU1472" s="2">
        <v>0</v>
      </c>
      <c r="AV1472" s="2">
        <v>0</v>
      </c>
      <c r="AW1472" s="4"/>
      <c r="AX1472" t="s">
        <v>75</v>
      </c>
      <c r="AZ1472" t="s">
        <v>3586</v>
      </c>
      <c r="BA1472" t="s">
        <v>67</v>
      </c>
      <c r="BB1472" t="s">
        <v>3587</v>
      </c>
      <c r="BC1472" t="s">
        <v>2469</v>
      </c>
      <c r="BD1472" t="s">
        <v>79</v>
      </c>
      <c r="BE1472" t="s">
        <v>378</v>
      </c>
      <c r="BF1472" s="5">
        <v>46997</v>
      </c>
      <c r="BH1472">
        <v>1</v>
      </c>
      <c r="BI1472" s="6">
        <v>880000</v>
      </c>
      <c r="BJ1472" s="6">
        <v>47</v>
      </c>
      <c r="BK1472" s="6">
        <v>413600</v>
      </c>
      <c r="BL1472" s="6">
        <v>466400</v>
      </c>
      <c r="BM1472" s="2">
        <v>466400</v>
      </c>
      <c r="BN1472">
        <f>InvoiceTable[[#This Row],[Giảm giá]]*InvoiceTable[[#This Row],[Số lượng]]</f>
        <v>413600</v>
      </c>
    </row>
    <row r="1473" spans="1:66" x14ac:dyDescent="0.25">
      <c r="A1473" t="s">
        <v>65</v>
      </c>
      <c r="B1473" t="s">
        <v>3875</v>
      </c>
      <c r="F1473" s="2"/>
      <c r="G1473" s="3">
        <v>46001.455174039351</v>
      </c>
      <c r="H1473" s="3">
        <v>46001.455174189818</v>
      </c>
      <c r="I1473" s="4" t="s">
        <v>67</v>
      </c>
      <c r="J1473" t="s">
        <v>3876</v>
      </c>
      <c r="K1473" t="s">
        <v>67</v>
      </c>
      <c r="L1473" t="s">
        <v>2053</v>
      </c>
      <c r="M1473" t="s">
        <v>2054</v>
      </c>
      <c r="N1473" t="s">
        <v>2055</v>
      </c>
      <c r="O1473" t="s">
        <v>2056</v>
      </c>
      <c r="P1473" t="s">
        <v>2057</v>
      </c>
      <c r="S1473" s="5"/>
      <c r="T1473" t="s">
        <v>72</v>
      </c>
      <c r="U1473" t="s">
        <v>87</v>
      </c>
      <c r="V1473" t="s">
        <v>74</v>
      </c>
      <c r="W1473" t="s">
        <v>87</v>
      </c>
      <c r="AE1473" s="2"/>
      <c r="AF1473" s="2"/>
      <c r="AG1473" s="2"/>
      <c r="AH1473" s="2"/>
      <c r="AK1473" t="s">
        <v>3877</v>
      </c>
      <c r="AL1473" s="2">
        <v>4026194</v>
      </c>
      <c r="AM1473" s="2">
        <v>0</v>
      </c>
      <c r="AN1473" s="2"/>
      <c r="AO1473" s="2">
        <v>0</v>
      </c>
      <c r="AP1473" s="2">
        <v>4026194</v>
      </c>
      <c r="AQ1473" s="2">
        <v>0</v>
      </c>
      <c r="AR1473" s="2">
        <v>0</v>
      </c>
      <c r="AS1473" s="2">
        <v>0</v>
      </c>
      <c r="AT1473" s="2">
        <v>0</v>
      </c>
      <c r="AU1473" s="2">
        <v>0</v>
      </c>
      <c r="AV1473" s="2">
        <v>0</v>
      </c>
      <c r="AW1473" s="4"/>
      <c r="AX1473" t="s">
        <v>75</v>
      </c>
      <c r="AZ1473" t="s">
        <v>1945</v>
      </c>
      <c r="BA1473" t="s">
        <v>67</v>
      </c>
      <c r="BB1473" t="s">
        <v>1946</v>
      </c>
      <c r="BC1473" t="s">
        <v>173</v>
      </c>
      <c r="BD1473" t="s">
        <v>79</v>
      </c>
      <c r="BE1473" t="s">
        <v>3434</v>
      </c>
      <c r="BF1473" s="5">
        <v>47327</v>
      </c>
      <c r="BG1473" t="s">
        <v>67</v>
      </c>
      <c r="BH1473">
        <v>1</v>
      </c>
      <c r="BI1473" s="6">
        <v>1364727</v>
      </c>
      <c r="BJ1473" s="6">
        <v>43</v>
      </c>
      <c r="BK1473" s="6">
        <v>586832.61</v>
      </c>
      <c r="BL1473" s="6">
        <v>777894.39</v>
      </c>
      <c r="BM1473" s="2">
        <v>777894</v>
      </c>
      <c r="BN1473">
        <f>InvoiceTable[[#This Row],[Giảm giá]]*InvoiceTable[[#This Row],[Số lượng]]</f>
        <v>586832.61</v>
      </c>
    </row>
    <row r="1474" spans="1:66" x14ac:dyDescent="0.25">
      <c r="A1474" t="s">
        <v>65</v>
      </c>
      <c r="B1474" t="s">
        <v>3875</v>
      </c>
      <c r="F1474" s="2"/>
      <c r="G1474" s="3">
        <v>46001.455174039351</v>
      </c>
      <c r="H1474" s="3">
        <v>46001.455174189818</v>
      </c>
      <c r="I1474" s="4" t="s">
        <v>67</v>
      </c>
      <c r="J1474" t="s">
        <v>3876</v>
      </c>
      <c r="K1474" t="s">
        <v>67</v>
      </c>
      <c r="L1474" t="s">
        <v>2053</v>
      </c>
      <c r="M1474" t="s">
        <v>2054</v>
      </c>
      <c r="N1474" t="s">
        <v>2055</v>
      </c>
      <c r="O1474" t="s">
        <v>2056</v>
      </c>
      <c r="P1474" t="s">
        <v>2057</v>
      </c>
      <c r="S1474" s="5"/>
      <c r="T1474" t="s">
        <v>72</v>
      </c>
      <c r="U1474" t="s">
        <v>87</v>
      </c>
      <c r="V1474" t="s">
        <v>74</v>
      </c>
      <c r="W1474" t="s">
        <v>87</v>
      </c>
      <c r="AE1474" s="2"/>
      <c r="AF1474" s="2"/>
      <c r="AG1474" s="2"/>
      <c r="AH1474" s="2"/>
      <c r="AK1474" t="s">
        <v>3877</v>
      </c>
      <c r="AL1474" s="2">
        <v>4026194</v>
      </c>
      <c r="AM1474" s="2">
        <v>0</v>
      </c>
      <c r="AN1474" s="2"/>
      <c r="AO1474" s="2">
        <v>0</v>
      </c>
      <c r="AP1474" s="2">
        <v>4026194</v>
      </c>
      <c r="AQ1474" s="2">
        <v>0</v>
      </c>
      <c r="AR1474" s="2">
        <v>0</v>
      </c>
      <c r="AS1474" s="2">
        <v>0</v>
      </c>
      <c r="AT1474" s="2">
        <v>0</v>
      </c>
      <c r="AU1474" s="2">
        <v>0</v>
      </c>
      <c r="AV1474" s="2">
        <v>0</v>
      </c>
      <c r="AW1474" s="4"/>
      <c r="AX1474" t="s">
        <v>75</v>
      </c>
      <c r="AZ1474" t="s">
        <v>1305</v>
      </c>
      <c r="BA1474" t="s">
        <v>67</v>
      </c>
      <c r="BB1474" t="s">
        <v>1306</v>
      </c>
      <c r="BC1474" t="s">
        <v>1219</v>
      </c>
      <c r="BD1474" t="s">
        <v>79</v>
      </c>
      <c r="BE1474" t="s">
        <v>1307</v>
      </c>
      <c r="BF1474" s="5">
        <v>46979</v>
      </c>
      <c r="BH1474">
        <v>2</v>
      </c>
      <c r="BI1474" s="6">
        <v>150000</v>
      </c>
      <c r="BJ1474" s="6">
        <v>42</v>
      </c>
      <c r="BK1474" s="6">
        <v>63000</v>
      </c>
      <c r="BL1474" s="6">
        <v>87000</v>
      </c>
      <c r="BM1474" s="2">
        <v>174000</v>
      </c>
      <c r="BN1474">
        <f>InvoiceTable[[#This Row],[Giảm giá]]*InvoiceTable[[#This Row],[Số lượng]]</f>
        <v>126000</v>
      </c>
    </row>
    <row r="1475" spans="1:66" x14ac:dyDescent="0.25">
      <c r="A1475" t="s">
        <v>65</v>
      </c>
      <c r="B1475" t="s">
        <v>3875</v>
      </c>
      <c r="F1475" s="2"/>
      <c r="G1475" s="3">
        <v>46001.455174039351</v>
      </c>
      <c r="H1475" s="3">
        <v>46001.455174189818</v>
      </c>
      <c r="I1475" s="4" t="s">
        <v>67</v>
      </c>
      <c r="J1475" t="s">
        <v>3876</v>
      </c>
      <c r="K1475" t="s">
        <v>67</v>
      </c>
      <c r="L1475" t="s">
        <v>2053</v>
      </c>
      <c r="M1475" t="s">
        <v>2054</v>
      </c>
      <c r="N1475" t="s">
        <v>2055</v>
      </c>
      <c r="O1475" t="s">
        <v>2056</v>
      </c>
      <c r="P1475" t="s">
        <v>2057</v>
      </c>
      <c r="S1475" s="5"/>
      <c r="T1475" t="s">
        <v>72</v>
      </c>
      <c r="U1475" t="s">
        <v>87</v>
      </c>
      <c r="V1475" t="s">
        <v>74</v>
      </c>
      <c r="W1475" t="s">
        <v>87</v>
      </c>
      <c r="AE1475" s="2"/>
      <c r="AF1475" s="2"/>
      <c r="AG1475" s="2"/>
      <c r="AH1475" s="2"/>
      <c r="AK1475" t="s">
        <v>3877</v>
      </c>
      <c r="AL1475" s="2">
        <v>4026194</v>
      </c>
      <c r="AM1475" s="2">
        <v>0</v>
      </c>
      <c r="AN1475" s="2"/>
      <c r="AO1475" s="2">
        <v>0</v>
      </c>
      <c r="AP1475" s="2">
        <v>4026194</v>
      </c>
      <c r="AQ1475" s="2">
        <v>0</v>
      </c>
      <c r="AR1475" s="2">
        <v>0</v>
      </c>
      <c r="AS1475" s="2">
        <v>0</v>
      </c>
      <c r="AT1475" s="2">
        <v>0</v>
      </c>
      <c r="AU1475" s="2">
        <v>0</v>
      </c>
      <c r="AV1475" s="2">
        <v>0</v>
      </c>
      <c r="AW1475" s="4"/>
      <c r="AX1475" t="s">
        <v>75</v>
      </c>
      <c r="AZ1475" t="s">
        <v>3878</v>
      </c>
      <c r="BA1475" t="s">
        <v>67</v>
      </c>
      <c r="BB1475" t="s">
        <v>3879</v>
      </c>
      <c r="BC1475" t="s">
        <v>3880</v>
      </c>
      <c r="BD1475" t="s">
        <v>79</v>
      </c>
      <c r="BE1475" t="s">
        <v>188</v>
      </c>
      <c r="BF1475" s="5">
        <v>46905</v>
      </c>
      <c r="BH1475">
        <v>1</v>
      </c>
      <c r="BI1475" s="6">
        <v>2490000</v>
      </c>
      <c r="BJ1475" s="6">
        <v>35</v>
      </c>
      <c r="BK1475" s="6">
        <v>871500</v>
      </c>
      <c r="BL1475" s="6">
        <v>1618500</v>
      </c>
      <c r="BM1475" s="2">
        <v>1618500</v>
      </c>
      <c r="BN1475">
        <f>InvoiceTable[[#This Row],[Giảm giá]]*InvoiceTable[[#This Row],[Số lượng]]</f>
        <v>871500</v>
      </c>
    </row>
    <row r="1476" spans="1:66" x14ac:dyDescent="0.25">
      <c r="A1476" t="s">
        <v>65</v>
      </c>
      <c r="B1476" t="s">
        <v>3875</v>
      </c>
      <c r="F1476" s="2"/>
      <c r="G1476" s="3">
        <v>46001.455174039351</v>
      </c>
      <c r="H1476" s="3">
        <v>46001.455174189818</v>
      </c>
      <c r="I1476" s="4" t="s">
        <v>67</v>
      </c>
      <c r="J1476" t="s">
        <v>3876</v>
      </c>
      <c r="K1476" t="s">
        <v>67</v>
      </c>
      <c r="L1476" t="s">
        <v>2053</v>
      </c>
      <c r="M1476" t="s">
        <v>2054</v>
      </c>
      <c r="N1476" t="s">
        <v>2055</v>
      </c>
      <c r="O1476" t="s">
        <v>2056</v>
      </c>
      <c r="P1476" t="s">
        <v>2057</v>
      </c>
      <c r="S1476" s="5"/>
      <c r="T1476" t="s">
        <v>72</v>
      </c>
      <c r="U1476" t="s">
        <v>87</v>
      </c>
      <c r="V1476" t="s">
        <v>74</v>
      </c>
      <c r="W1476" t="s">
        <v>87</v>
      </c>
      <c r="AE1476" s="2"/>
      <c r="AF1476" s="2"/>
      <c r="AG1476" s="2"/>
      <c r="AH1476" s="2"/>
      <c r="AK1476" t="s">
        <v>3877</v>
      </c>
      <c r="AL1476" s="2">
        <v>4026194</v>
      </c>
      <c r="AM1476" s="2">
        <v>0</v>
      </c>
      <c r="AN1476" s="2"/>
      <c r="AO1476" s="2">
        <v>0</v>
      </c>
      <c r="AP1476" s="2">
        <v>4026194</v>
      </c>
      <c r="AQ1476" s="2">
        <v>0</v>
      </c>
      <c r="AR1476" s="2">
        <v>0</v>
      </c>
      <c r="AS1476" s="2">
        <v>0</v>
      </c>
      <c r="AT1476" s="2">
        <v>0</v>
      </c>
      <c r="AU1476" s="2">
        <v>0</v>
      </c>
      <c r="AV1476" s="2">
        <v>0</v>
      </c>
      <c r="AW1476" s="4"/>
      <c r="AX1476" t="s">
        <v>75</v>
      </c>
      <c r="AZ1476" t="s">
        <v>3881</v>
      </c>
      <c r="BA1476" t="s">
        <v>67</v>
      </c>
      <c r="BB1476" t="s">
        <v>3882</v>
      </c>
      <c r="BC1476" t="s">
        <v>1219</v>
      </c>
      <c r="BD1476" t="s">
        <v>79</v>
      </c>
      <c r="BE1476" t="s">
        <v>3883</v>
      </c>
      <c r="BF1476" s="5">
        <v>47026</v>
      </c>
      <c r="BG1476" t="s">
        <v>67</v>
      </c>
      <c r="BH1476">
        <v>1</v>
      </c>
      <c r="BI1476" s="6">
        <v>680000</v>
      </c>
      <c r="BJ1476" s="6">
        <v>42</v>
      </c>
      <c r="BK1476" s="6">
        <v>285600</v>
      </c>
      <c r="BL1476" s="6">
        <v>394400</v>
      </c>
      <c r="BM1476" s="2">
        <v>394400</v>
      </c>
      <c r="BN1476">
        <f>InvoiceTable[[#This Row],[Giảm giá]]*InvoiceTable[[#This Row],[Số lượng]]</f>
        <v>285600</v>
      </c>
    </row>
    <row r="1477" spans="1:66" x14ac:dyDescent="0.25">
      <c r="A1477" t="s">
        <v>65</v>
      </c>
      <c r="B1477" t="s">
        <v>3884</v>
      </c>
      <c r="F1477" s="2"/>
      <c r="G1477" s="3">
        <v>46001.454821678242</v>
      </c>
      <c r="H1477" s="3">
        <v>46001.454648182873</v>
      </c>
      <c r="I1477" s="4" t="s">
        <v>3885</v>
      </c>
      <c r="J1477" t="s">
        <v>3886</v>
      </c>
      <c r="K1477" t="s">
        <v>3887</v>
      </c>
      <c r="L1477" t="s">
        <v>3888</v>
      </c>
      <c r="M1477" t="s">
        <v>3889</v>
      </c>
      <c r="N1477" t="s">
        <v>67</v>
      </c>
      <c r="O1477" t="s">
        <v>3890</v>
      </c>
      <c r="P1477" t="s">
        <v>3891</v>
      </c>
      <c r="S1477" s="5"/>
      <c r="T1477" t="s">
        <v>72</v>
      </c>
      <c r="U1477" t="s">
        <v>1031</v>
      </c>
      <c r="V1477" t="s">
        <v>74</v>
      </c>
      <c r="W1477" t="s">
        <v>87</v>
      </c>
      <c r="AE1477" s="2"/>
      <c r="AF1477" s="2"/>
      <c r="AG1477" s="2"/>
      <c r="AH1477" s="2"/>
      <c r="AK1477" t="s">
        <v>3724</v>
      </c>
      <c r="AL1477" s="2">
        <v>1290800</v>
      </c>
      <c r="AM1477" s="2">
        <v>0</v>
      </c>
      <c r="AN1477" s="2"/>
      <c r="AO1477" s="2">
        <v>0</v>
      </c>
      <c r="AP1477" s="2">
        <v>1290800</v>
      </c>
      <c r="AQ1477" s="2">
        <v>0</v>
      </c>
      <c r="AR1477" s="2">
        <v>0</v>
      </c>
      <c r="AS1477" s="2">
        <v>0</v>
      </c>
      <c r="AT1477" s="2">
        <v>0</v>
      </c>
      <c r="AU1477" s="2">
        <v>0</v>
      </c>
      <c r="AV1477" s="2">
        <v>0</v>
      </c>
      <c r="AW1477" s="4"/>
      <c r="AX1477" t="s">
        <v>75</v>
      </c>
      <c r="AZ1477" t="s">
        <v>3892</v>
      </c>
      <c r="BA1477" t="s">
        <v>67</v>
      </c>
      <c r="BB1477" t="s">
        <v>3893</v>
      </c>
      <c r="BC1477" t="s">
        <v>3894</v>
      </c>
      <c r="BD1477" t="s">
        <v>79</v>
      </c>
      <c r="BE1477" t="s">
        <v>1035</v>
      </c>
      <c r="BF1477" s="5">
        <v>46204</v>
      </c>
      <c r="BH1477">
        <v>1</v>
      </c>
      <c r="BI1477" s="6">
        <v>519000</v>
      </c>
      <c r="BJ1477" s="6">
        <v>30</v>
      </c>
      <c r="BK1477" s="6">
        <v>155700</v>
      </c>
      <c r="BL1477" s="6">
        <v>363300</v>
      </c>
      <c r="BM1477" s="2">
        <v>363300</v>
      </c>
      <c r="BN1477">
        <f>InvoiceTable[[#This Row],[Giảm giá]]*InvoiceTable[[#This Row],[Số lượng]]</f>
        <v>155700</v>
      </c>
    </row>
    <row r="1478" spans="1:66" x14ac:dyDescent="0.25">
      <c r="A1478" t="s">
        <v>65</v>
      </c>
      <c r="B1478" t="s">
        <v>3884</v>
      </c>
      <c r="F1478" s="2"/>
      <c r="G1478" s="3">
        <v>46001.454821678242</v>
      </c>
      <c r="H1478" s="3">
        <v>46001.454648182873</v>
      </c>
      <c r="I1478" s="4" t="s">
        <v>3885</v>
      </c>
      <c r="J1478" t="s">
        <v>3886</v>
      </c>
      <c r="K1478" t="s">
        <v>3887</v>
      </c>
      <c r="L1478" t="s">
        <v>3888</v>
      </c>
      <c r="M1478" t="s">
        <v>3889</v>
      </c>
      <c r="N1478" t="s">
        <v>67</v>
      </c>
      <c r="O1478" t="s">
        <v>3890</v>
      </c>
      <c r="P1478" t="s">
        <v>3891</v>
      </c>
      <c r="S1478" s="5"/>
      <c r="T1478" t="s">
        <v>72</v>
      </c>
      <c r="U1478" t="s">
        <v>1031</v>
      </c>
      <c r="V1478" t="s">
        <v>74</v>
      </c>
      <c r="W1478" t="s">
        <v>87</v>
      </c>
      <c r="AE1478" s="2"/>
      <c r="AF1478" s="2"/>
      <c r="AG1478" s="2"/>
      <c r="AH1478" s="2"/>
      <c r="AK1478" t="s">
        <v>3724</v>
      </c>
      <c r="AL1478" s="2">
        <v>1290800</v>
      </c>
      <c r="AM1478" s="2">
        <v>0</v>
      </c>
      <c r="AN1478" s="2"/>
      <c r="AO1478" s="2">
        <v>0</v>
      </c>
      <c r="AP1478" s="2">
        <v>1290800</v>
      </c>
      <c r="AQ1478" s="2">
        <v>0</v>
      </c>
      <c r="AR1478" s="2">
        <v>0</v>
      </c>
      <c r="AS1478" s="2">
        <v>0</v>
      </c>
      <c r="AT1478" s="2">
        <v>0</v>
      </c>
      <c r="AU1478" s="2">
        <v>0</v>
      </c>
      <c r="AV1478" s="2">
        <v>0</v>
      </c>
      <c r="AW1478" s="4"/>
      <c r="AX1478" t="s">
        <v>75</v>
      </c>
      <c r="AZ1478" t="s">
        <v>1470</v>
      </c>
      <c r="BA1478" t="s">
        <v>67</v>
      </c>
      <c r="BB1478" t="s">
        <v>1471</v>
      </c>
      <c r="BC1478" t="s">
        <v>204</v>
      </c>
      <c r="BD1478" t="s">
        <v>79</v>
      </c>
      <c r="BE1478" t="s">
        <v>139</v>
      </c>
      <c r="BF1478" s="5">
        <v>46447</v>
      </c>
      <c r="BH1478">
        <v>1</v>
      </c>
      <c r="BI1478" s="6">
        <v>330000</v>
      </c>
      <c r="BJ1478" s="6">
        <v>25</v>
      </c>
      <c r="BK1478" s="6">
        <v>82500</v>
      </c>
      <c r="BL1478" s="6">
        <v>247500</v>
      </c>
      <c r="BM1478" s="2">
        <v>247500</v>
      </c>
      <c r="BN1478">
        <f>InvoiceTable[[#This Row],[Giảm giá]]*InvoiceTable[[#This Row],[Số lượng]]</f>
        <v>82500</v>
      </c>
    </row>
    <row r="1479" spans="1:66" x14ac:dyDescent="0.25">
      <c r="A1479" t="s">
        <v>65</v>
      </c>
      <c r="B1479" t="s">
        <v>3884</v>
      </c>
      <c r="F1479" s="2"/>
      <c r="G1479" s="3">
        <v>46001.454821678242</v>
      </c>
      <c r="H1479" s="3">
        <v>46001.454648182873</v>
      </c>
      <c r="I1479" s="4" t="s">
        <v>3885</v>
      </c>
      <c r="J1479" t="s">
        <v>3886</v>
      </c>
      <c r="K1479" t="s">
        <v>3887</v>
      </c>
      <c r="L1479" t="s">
        <v>3888</v>
      </c>
      <c r="M1479" t="s">
        <v>3889</v>
      </c>
      <c r="N1479" t="s">
        <v>67</v>
      </c>
      <c r="O1479" t="s">
        <v>3890</v>
      </c>
      <c r="P1479" t="s">
        <v>3891</v>
      </c>
      <c r="S1479" s="5"/>
      <c r="T1479" t="s">
        <v>72</v>
      </c>
      <c r="U1479" t="s">
        <v>1031</v>
      </c>
      <c r="V1479" t="s">
        <v>74</v>
      </c>
      <c r="W1479" t="s">
        <v>87</v>
      </c>
      <c r="AE1479" s="2"/>
      <c r="AF1479" s="2"/>
      <c r="AG1479" s="2"/>
      <c r="AH1479" s="2"/>
      <c r="AK1479" t="s">
        <v>3724</v>
      </c>
      <c r="AL1479" s="2">
        <v>1290800</v>
      </c>
      <c r="AM1479" s="2">
        <v>0</v>
      </c>
      <c r="AN1479" s="2"/>
      <c r="AO1479" s="2">
        <v>0</v>
      </c>
      <c r="AP1479" s="2">
        <v>1290800</v>
      </c>
      <c r="AQ1479" s="2">
        <v>0</v>
      </c>
      <c r="AR1479" s="2">
        <v>0</v>
      </c>
      <c r="AS1479" s="2">
        <v>0</v>
      </c>
      <c r="AT1479" s="2">
        <v>0</v>
      </c>
      <c r="AU1479" s="2">
        <v>0</v>
      </c>
      <c r="AV1479" s="2">
        <v>0</v>
      </c>
      <c r="AW1479" s="4"/>
      <c r="AX1479" t="s">
        <v>75</v>
      </c>
      <c r="AZ1479" t="s">
        <v>663</v>
      </c>
      <c r="BA1479" t="s">
        <v>67</v>
      </c>
      <c r="BB1479" t="s">
        <v>664</v>
      </c>
      <c r="BC1479" t="s">
        <v>665</v>
      </c>
      <c r="BD1479" t="s">
        <v>79</v>
      </c>
      <c r="BE1479" t="s">
        <v>159</v>
      </c>
      <c r="BF1479" s="5">
        <v>46478</v>
      </c>
      <c r="BH1479">
        <v>1</v>
      </c>
      <c r="BI1479" s="6">
        <v>380000</v>
      </c>
      <c r="BJ1479" s="6">
        <v>0</v>
      </c>
      <c r="BK1479" s="6">
        <v>200000</v>
      </c>
      <c r="BL1479" s="6">
        <v>180000</v>
      </c>
      <c r="BM1479" s="2">
        <v>180000</v>
      </c>
      <c r="BN1479">
        <f>InvoiceTable[[#This Row],[Giảm giá]]*InvoiceTable[[#This Row],[Số lượng]]</f>
        <v>200000</v>
      </c>
    </row>
    <row r="1480" spans="1:66" x14ac:dyDescent="0.25">
      <c r="A1480" t="s">
        <v>65</v>
      </c>
      <c r="B1480" t="s">
        <v>3884</v>
      </c>
      <c r="F1480" s="2"/>
      <c r="G1480" s="3">
        <v>46001.454821678242</v>
      </c>
      <c r="H1480" s="3">
        <v>46001.454648182873</v>
      </c>
      <c r="I1480" s="4" t="s">
        <v>3885</v>
      </c>
      <c r="J1480" t="s">
        <v>3886</v>
      </c>
      <c r="K1480" t="s">
        <v>3887</v>
      </c>
      <c r="L1480" t="s">
        <v>3888</v>
      </c>
      <c r="M1480" t="s">
        <v>3889</v>
      </c>
      <c r="N1480" t="s">
        <v>67</v>
      </c>
      <c r="O1480" t="s">
        <v>3890</v>
      </c>
      <c r="P1480" t="s">
        <v>3891</v>
      </c>
      <c r="S1480" s="5"/>
      <c r="T1480" t="s">
        <v>72</v>
      </c>
      <c r="U1480" t="s">
        <v>1031</v>
      </c>
      <c r="V1480" t="s">
        <v>74</v>
      </c>
      <c r="W1480" t="s">
        <v>87</v>
      </c>
      <c r="AE1480" s="2"/>
      <c r="AF1480" s="2"/>
      <c r="AG1480" s="2"/>
      <c r="AH1480" s="2"/>
      <c r="AK1480" t="s">
        <v>3724</v>
      </c>
      <c r="AL1480" s="2">
        <v>1290800</v>
      </c>
      <c r="AM1480" s="2">
        <v>0</v>
      </c>
      <c r="AN1480" s="2"/>
      <c r="AO1480" s="2">
        <v>0</v>
      </c>
      <c r="AP1480" s="2">
        <v>1290800</v>
      </c>
      <c r="AQ1480" s="2">
        <v>0</v>
      </c>
      <c r="AR1480" s="2">
        <v>0</v>
      </c>
      <c r="AS1480" s="2">
        <v>0</v>
      </c>
      <c r="AT1480" s="2">
        <v>0</v>
      </c>
      <c r="AU1480" s="2">
        <v>0</v>
      </c>
      <c r="AV1480" s="2">
        <v>0</v>
      </c>
      <c r="AW1480" s="4"/>
      <c r="AX1480" t="s">
        <v>75</v>
      </c>
      <c r="AZ1480" t="s">
        <v>2267</v>
      </c>
      <c r="BA1480" t="s">
        <v>67</v>
      </c>
      <c r="BB1480" t="s">
        <v>2268</v>
      </c>
      <c r="BC1480" t="s">
        <v>2269</v>
      </c>
      <c r="BD1480" t="s">
        <v>79</v>
      </c>
      <c r="BE1480" t="s">
        <v>106</v>
      </c>
      <c r="BF1480" s="5">
        <v>46327</v>
      </c>
      <c r="BH1480">
        <v>1</v>
      </c>
      <c r="BI1480" s="6">
        <v>890000</v>
      </c>
      <c r="BJ1480" s="6">
        <v>0</v>
      </c>
      <c r="BK1480" s="6">
        <v>390000</v>
      </c>
      <c r="BL1480" s="6">
        <v>500000</v>
      </c>
      <c r="BM1480" s="2">
        <v>500000</v>
      </c>
      <c r="BN1480">
        <f>InvoiceTable[[#This Row],[Giảm giá]]*InvoiceTable[[#This Row],[Số lượng]]</f>
        <v>390000</v>
      </c>
    </row>
    <row r="1481" spans="1:66" x14ac:dyDescent="0.25">
      <c r="A1481" t="s">
        <v>65</v>
      </c>
      <c r="B1481" t="s">
        <v>3895</v>
      </c>
      <c r="F1481" s="2"/>
      <c r="G1481" s="3">
        <v>46001.454351423614</v>
      </c>
      <c r="H1481" s="3">
        <v>46001.454235844911</v>
      </c>
      <c r="I1481" s="4" t="s">
        <v>1941</v>
      </c>
      <c r="J1481" t="s">
        <v>3896</v>
      </c>
      <c r="K1481" t="s">
        <v>67</v>
      </c>
      <c r="L1481" t="s">
        <v>474</v>
      </c>
      <c r="M1481" t="s">
        <v>475</v>
      </c>
      <c r="N1481" t="s">
        <v>476</v>
      </c>
      <c r="O1481" t="s">
        <v>477</v>
      </c>
      <c r="P1481" t="s">
        <v>478</v>
      </c>
      <c r="S1481" s="5"/>
      <c r="T1481" t="s">
        <v>72</v>
      </c>
      <c r="U1481" t="s">
        <v>102</v>
      </c>
      <c r="V1481" t="s">
        <v>74</v>
      </c>
      <c r="W1481" t="s">
        <v>87</v>
      </c>
      <c r="AE1481" s="2"/>
      <c r="AF1481" s="2"/>
      <c r="AG1481" s="2"/>
      <c r="AH1481" s="2"/>
      <c r="AK1481" t="s">
        <v>3897</v>
      </c>
      <c r="AL1481" s="2">
        <v>1703808</v>
      </c>
      <c r="AM1481" s="2">
        <v>0</v>
      </c>
      <c r="AN1481" s="2"/>
      <c r="AO1481" s="2">
        <v>0</v>
      </c>
      <c r="AP1481" s="2">
        <v>1703808</v>
      </c>
      <c r="AQ1481" s="2">
        <v>0</v>
      </c>
      <c r="AR1481" s="2">
        <v>0</v>
      </c>
      <c r="AS1481" s="2">
        <v>0</v>
      </c>
      <c r="AT1481" s="2">
        <v>0</v>
      </c>
      <c r="AU1481" s="2">
        <v>0</v>
      </c>
      <c r="AV1481" s="2">
        <v>0</v>
      </c>
      <c r="AW1481" s="4"/>
      <c r="AX1481" t="s">
        <v>75</v>
      </c>
      <c r="AZ1481" t="s">
        <v>777</v>
      </c>
      <c r="BA1481" t="s">
        <v>67</v>
      </c>
      <c r="BB1481" t="s">
        <v>778</v>
      </c>
      <c r="BC1481" t="s">
        <v>779</v>
      </c>
      <c r="BD1481" t="s">
        <v>79</v>
      </c>
      <c r="BE1481" t="s">
        <v>117</v>
      </c>
      <c r="BF1481" s="5">
        <v>46569</v>
      </c>
      <c r="BH1481">
        <v>1</v>
      </c>
      <c r="BI1481" s="6">
        <v>2937600</v>
      </c>
      <c r="BJ1481" s="6">
        <v>42</v>
      </c>
      <c r="BK1481" s="6">
        <v>1233792</v>
      </c>
      <c r="BL1481" s="6">
        <v>1703808</v>
      </c>
      <c r="BM1481" s="2">
        <v>1703808</v>
      </c>
      <c r="BN1481">
        <f>InvoiceTable[[#This Row],[Giảm giá]]*InvoiceTable[[#This Row],[Số lượng]]</f>
        <v>1233792</v>
      </c>
    </row>
    <row r="1482" spans="1:66" x14ac:dyDescent="0.25">
      <c r="A1482" t="s">
        <v>65</v>
      </c>
      <c r="B1482" t="s">
        <v>3898</v>
      </c>
      <c r="F1482" s="2"/>
      <c r="G1482" s="3">
        <v>46001.409442326389</v>
      </c>
      <c r="H1482" s="3">
        <v>46001.412184641202</v>
      </c>
      <c r="I1482" s="4" t="s">
        <v>3281</v>
      </c>
      <c r="J1482" t="s">
        <v>3899</v>
      </c>
      <c r="K1482" t="s">
        <v>67</v>
      </c>
      <c r="L1482" t="s">
        <v>455</v>
      </c>
      <c r="M1482" t="s">
        <v>456</v>
      </c>
      <c r="N1482" t="s">
        <v>67</v>
      </c>
      <c r="O1482" t="s">
        <v>457</v>
      </c>
      <c r="P1482" t="s">
        <v>458</v>
      </c>
      <c r="Q1482" t="s">
        <v>459</v>
      </c>
      <c r="R1482" t="s">
        <v>460</v>
      </c>
      <c r="S1482" s="5"/>
      <c r="T1482" t="s">
        <v>72</v>
      </c>
      <c r="U1482" t="s">
        <v>1031</v>
      </c>
      <c r="V1482" t="s">
        <v>74</v>
      </c>
      <c r="W1482" t="s">
        <v>1031</v>
      </c>
      <c r="AE1482" s="2"/>
      <c r="AF1482" s="2"/>
      <c r="AG1482" s="2"/>
      <c r="AH1482" s="2"/>
      <c r="AK1482" t="s">
        <v>67</v>
      </c>
      <c r="AL1482" s="2">
        <v>741000</v>
      </c>
      <c r="AM1482" s="2">
        <v>0</v>
      </c>
      <c r="AN1482" s="2"/>
      <c r="AO1482" s="2">
        <v>0</v>
      </c>
      <c r="AP1482" s="2">
        <v>741000</v>
      </c>
      <c r="AQ1482" s="2">
        <v>465500</v>
      </c>
      <c r="AR1482" s="2">
        <v>465500</v>
      </c>
      <c r="AS1482" s="2">
        <v>0</v>
      </c>
      <c r="AT1482" s="2">
        <v>0</v>
      </c>
      <c r="AU1482" s="2">
        <v>0</v>
      </c>
      <c r="AV1482" s="2">
        <v>0</v>
      </c>
      <c r="AW1482" s="4"/>
      <c r="AX1482" t="s">
        <v>75</v>
      </c>
      <c r="AZ1482" t="s">
        <v>3453</v>
      </c>
      <c r="BA1482" t="s">
        <v>67</v>
      </c>
      <c r="BB1482" t="s">
        <v>3454</v>
      </c>
      <c r="BC1482" t="s">
        <v>90</v>
      </c>
      <c r="BD1482" t="s">
        <v>79</v>
      </c>
      <c r="BE1482" t="s">
        <v>785</v>
      </c>
      <c r="BF1482" s="5">
        <v>46507</v>
      </c>
      <c r="BG1482" t="s">
        <v>67</v>
      </c>
      <c r="BH1482">
        <v>1</v>
      </c>
      <c r="BI1482" s="6">
        <v>38000</v>
      </c>
      <c r="BJ1482" s="6">
        <v>0</v>
      </c>
      <c r="BK1482" s="6">
        <v>10000</v>
      </c>
      <c r="BL1482" s="6">
        <v>28000</v>
      </c>
      <c r="BM1482" s="2">
        <v>28000</v>
      </c>
      <c r="BN1482">
        <f>InvoiceTable[[#This Row],[Giảm giá]]*InvoiceTable[[#This Row],[Số lượng]]</f>
        <v>10000</v>
      </c>
    </row>
    <row r="1483" spans="1:66" x14ac:dyDescent="0.25">
      <c r="A1483" t="s">
        <v>65</v>
      </c>
      <c r="B1483" t="s">
        <v>3898</v>
      </c>
      <c r="F1483" s="2"/>
      <c r="G1483" s="3">
        <v>46001.409442326389</v>
      </c>
      <c r="H1483" s="3">
        <v>46001.412184641202</v>
      </c>
      <c r="I1483" s="4" t="s">
        <v>3281</v>
      </c>
      <c r="J1483" t="s">
        <v>3899</v>
      </c>
      <c r="K1483" t="s">
        <v>67</v>
      </c>
      <c r="L1483" t="s">
        <v>455</v>
      </c>
      <c r="M1483" t="s">
        <v>456</v>
      </c>
      <c r="N1483" t="s">
        <v>67</v>
      </c>
      <c r="O1483" t="s">
        <v>457</v>
      </c>
      <c r="P1483" t="s">
        <v>458</v>
      </c>
      <c r="Q1483" t="s">
        <v>459</v>
      </c>
      <c r="R1483" t="s">
        <v>460</v>
      </c>
      <c r="S1483" s="5"/>
      <c r="T1483" t="s">
        <v>72</v>
      </c>
      <c r="U1483" t="s">
        <v>1031</v>
      </c>
      <c r="V1483" t="s">
        <v>74</v>
      </c>
      <c r="W1483" t="s">
        <v>1031</v>
      </c>
      <c r="AE1483" s="2"/>
      <c r="AF1483" s="2"/>
      <c r="AG1483" s="2"/>
      <c r="AH1483" s="2"/>
      <c r="AK1483" t="s">
        <v>67</v>
      </c>
      <c r="AL1483" s="2">
        <v>741000</v>
      </c>
      <c r="AM1483" s="2">
        <v>0</v>
      </c>
      <c r="AN1483" s="2"/>
      <c r="AO1483" s="2">
        <v>0</v>
      </c>
      <c r="AP1483" s="2">
        <v>741000</v>
      </c>
      <c r="AQ1483" s="2">
        <v>465500</v>
      </c>
      <c r="AR1483" s="2">
        <v>465500</v>
      </c>
      <c r="AS1483" s="2">
        <v>0</v>
      </c>
      <c r="AT1483" s="2">
        <v>0</v>
      </c>
      <c r="AU1483" s="2">
        <v>0</v>
      </c>
      <c r="AV1483" s="2">
        <v>0</v>
      </c>
      <c r="AW1483" s="4"/>
      <c r="AX1483" t="s">
        <v>75</v>
      </c>
      <c r="AZ1483" t="s">
        <v>3108</v>
      </c>
      <c r="BA1483" t="s">
        <v>67</v>
      </c>
      <c r="BB1483" t="s">
        <v>3109</v>
      </c>
      <c r="BC1483" t="s">
        <v>3110</v>
      </c>
      <c r="BD1483" t="s">
        <v>79</v>
      </c>
      <c r="BE1483" t="s">
        <v>3111</v>
      </c>
      <c r="BF1483" s="5">
        <v>46023</v>
      </c>
      <c r="BG1483" t="s">
        <v>67</v>
      </c>
      <c r="BH1483">
        <v>1</v>
      </c>
      <c r="BI1483" s="6">
        <v>495000</v>
      </c>
      <c r="BJ1483" s="6">
        <v>50</v>
      </c>
      <c r="BK1483" s="6">
        <v>247500</v>
      </c>
      <c r="BL1483" s="6">
        <v>247500</v>
      </c>
      <c r="BM1483" s="2">
        <v>247500</v>
      </c>
      <c r="BN1483">
        <f>InvoiceTable[[#This Row],[Giảm giá]]*InvoiceTable[[#This Row],[Số lượng]]</f>
        <v>247500</v>
      </c>
    </row>
    <row r="1484" spans="1:66" x14ac:dyDescent="0.25">
      <c r="A1484" t="s">
        <v>65</v>
      </c>
      <c r="B1484" t="s">
        <v>3898</v>
      </c>
      <c r="F1484" s="2"/>
      <c r="G1484" s="3">
        <v>46001.409442326389</v>
      </c>
      <c r="H1484" s="3">
        <v>46001.412184641202</v>
      </c>
      <c r="I1484" s="4" t="s">
        <v>3281</v>
      </c>
      <c r="J1484" t="s">
        <v>3899</v>
      </c>
      <c r="K1484" t="s">
        <v>67</v>
      </c>
      <c r="L1484" t="s">
        <v>455</v>
      </c>
      <c r="M1484" t="s">
        <v>456</v>
      </c>
      <c r="N1484" t="s">
        <v>67</v>
      </c>
      <c r="O1484" t="s">
        <v>457</v>
      </c>
      <c r="P1484" t="s">
        <v>458</v>
      </c>
      <c r="Q1484" t="s">
        <v>459</v>
      </c>
      <c r="R1484" t="s">
        <v>460</v>
      </c>
      <c r="S1484" s="5"/>
      <c r="T1484" t="s">
        <v>72</v>
      </c>
      <c r="U1484" t="s">
        <v>1031</v>
      </c>
      <c r="V1484" t="s">
        <v>74</v>
      </c>
      <c r="W1484" t="s">
        <v>1031</v>
      </c>
      <c r="AE1484" s="2"/>
      <c r="AF1484" s="2"/>
      <c r="AG1484" s="2"/>
      <c r="AH1484" s="2"/>
      <c r="AK1484" t="s">
        <v>67</v>
      </c>
      <c r="AL1484" s="2">
        <v>741000</v>
      </c>
      <c r="AM1484" s="2">
        <v>0</v>
      </c>
      <c r="AN1484" s="2"/>
      <c r="AO1484" s="2">
        <v>0</v>
      </c>
      <c r="AP1484" s="2">
        <v>741000</v>
      </c>
      <c r="AQ1484" s="2">
        <v>465500</v>
      </c>
      <c r="AR1484" s="2">
        <v>465500</v>
      </c>
      <c r="AS1484" s="2">
        <v>0</v>
      </c>
      <c r="AT1484" s="2">
        <v>0</v>
      </c>
      <c r="AU1484" s="2">
        <v>0</v>
      </c>
      <c r="AV1484" s="2">
        <v>0</v>
      </c>
      <c r="AW1484" s="4"/>
      <c r="AX1484" t="s">
        <v>75</v>
      </c>
      <c r="AZ1484" t="s">
        <v>270</v>
      </c>
      <c r="BA1484" t="s">
        <v>67</v>
      </c>
      <c r="BB1484" t="s">
        <v>271</v>
      </c>
      <c r="BC1484" t="s">
        <v>272</v>
      </c>
      <c r="BD1484" t="s">
        <v>79</v>
      </c>
      <c r="BE1484" t="s">
        <v>273</v>
      </c>
      <c r="BF1484" s="5">
        <v>46266</v>
      </c>
      <c r="BG1484" t="s">
        <v>67</v>
      </c>
      <c r="BH1484">
        <v>1</v>
      </c>
      <c r="BI1484" s="6">
        <v>665000</v>
      </c>
      <c r="BJ1484" s="6">
        <v>30</v>
      </c>
      <c r="BK1484" s="6">
        <v>199500</v>
      </c>
      <c r="BL1484" s="6">
        <v>465500</v>
      </c>
      <c r="BM1484" s="2">
        <v>465500</v>
      </c>
      <c r="BN1484">
        <f>InvoiceTable[[#This Row],[Giảm giá]]*InvoiceTable[[#This Row],[Số lượng]]</f>
        <v>199500</v>
      </c>
    </row>
    <row r="1485" spans="1:66" x14ac:dyDescent="0.25">
      <c r="A1485" t="s">
        <v>65</v>
      </c>
      <c r="B1485" t="s">
        <v>3900</v>
      </c>
      <c r="F1485" s="2"/>
      <c r="G1485" s="3">
        <v>46001.403137731482</v>
      </c>
      <c r="H1485" s="3">
        <v>46001.406482951388</v>
      </c>
      <c r="I1485" s="4" t="s">
        <v>96</v>
      </c>
      <c r="J1485" t="s">
        <v>67</v>
      </c>
      <c r="K1485" t="s">
        <v>67</v>
      </c>
      <c r="L1485" t="s">
        <v>82</v>
      </c>
      <c r="M1485" t="s">
        <v>83</v>
      </c>
      <c r="N1485" t="s">
        <v>84</v>
      </c>
      <c r="O1485" t="s">
        <v>85</v>
      </c>
      <c r="P1485" t="s">
        <v>86</v>
      </c>
      <c r="S1485" s="5"/>
      <c r="T1485" t="s">
        <v>72</v>
      </c>
      <c r="U1485" t="s">
        <v>87</v>
      </c>
      <c r="V1485" t="s">
        <v>74</v>
      </c>
      <c r="W1485" t="s">
        <v>87</v>
      </c>
      <c r="AE1485" s="2"/>
      <c r="AF1485" s="2"/>
      <c r="AG1485" s="2"/>
      <c r="AH1485" s="2"/>
      <c r="AL1485" s="2">
        <v>2858600</v>
      </c>
      <c r="AM1485" s="2">
        <v>0</v>
      </c>
      <c r="AN1485" s="2"/>
      <c r="AO1485" s="2">
        <v>0</v>
      </c>
      <c r="AP1485" s="2">
        <v>2858600</v>
      </c>
      <c r="AQ1485" s="2">
        <v>0</v>
      </c>
      <c r="AR1485" s="2">
        <v>0</v>
      </c>
      <c r="AS1485" s="2">
        <v>0</v>
      </c>
      <c r="AT1485" s="2">
        <v>0</v>
      </c>
      <c r="AU1485" s="2">
        <v>0</v>
      </c>
      <c r="AV1485" s="2">
        <v>0</v>
      </c>
      <c r="AW1485" s="4"/>
      <c r="AX1485" t="s">
        <v>75</v>
      </c>
      <c r="AZ1485" t="s">
        <v>124</v>
      </c>
      <c r="BA1485" t="s">
        <v>67</v>
      </c>
      <c r="BB1485" t="s">
        <v>125</v>
      </c>
      <c r="BC1485" t="s">
        <v>126</v>
      </c>
      <c r="BD1485" t="s">
        <v>79</v>
      </c>
      <c r="BE1485" t="s">
        <v>3255</v>
      </c>
      <c r="BF1485" s="5">
        <v>46722</v>
      </c>
      <c r="BH1485">
        <v>2</v>
      </c>
      <c r="BI1485" s="6">
        <v>1200000</v>
      </c>
      <c r="BJ1485" s="6">
        <v>0</v>
      </c>
      <c r="BK1485" s="6">
        <v>570000</v>
      </c>
      <c r="BL1485" s="6">
        <v>630000</v>
      </c>
      <c r="BM1485" s="2">
        <v>1260000</v>
      </c>
      <c r="BN1485">
        <f>InvoiceTable[[#This Row],[Giảm giá]]*InvoiceTable[[#This Row],[Số lượng]]</f>
        <v>1140000</v>
      </c>
    </row>
    <row r="1486" spans="1:66" x14ac:dyDescent="0.25">
      <c r="A1486" t="s">
        <v>65</v>
      </c>
      <c r="B1486" t="s">
        <v>3900</v>
      </c>
      <c r="F1486" s="2"/>
      <c r="G1486" s="3">
        <v>46001.403137731482</v>
      </c>
      <c r="H1486" s="3">
        <v>46001.406482951388</v>
      </c>
      <c r="I1486" s="4" t="s">
        <v>96</v>
      </c>
      <c r="J1486" t="s">
        <v>67</v>
      </c>
      <c r="K1486" t="s">
        <v>67</v>
      </c>
      <c r="L1486" t="s">
        <v>82</v>
      </c>
      <c r="M1486" t="s">
        <v>83</v>
      </c>
      <c r="N1486" t="s">
        <v>84</v>
      </c>
      <c r="O1486" t="s">
        <v>85</v>
      </c>
      <c r="P1486" t="s">
        <v>86</v>
      </c>
      <c r="S1486" s="5"/>
      <c r="T1486" t="s">
        <v>72</v>
      </c>
      <c r="U1486" t="s">
        <v>87</v>
      </c>
      <c r="V1486" t="s">
        <v>74</v>
      </c>
      <c r="W1486" t="s">
        <v>87</v>
      </c>
      <c r="AE1486" s="2"/>
      <c r="AF1486" s="2"/>
      <c r="AG1486" s="2"/>
      <c r="AH1486" s="2"/>
      <c r="AL1486" s="2">
        <v>2858600</v>
      </c>
      <c r="AM1486" s="2">
        <v>0</v>
      </c>
      <c r="AN1486" s="2"/>
      <c r="AO1486" s="2">
        <v>0</v>
      </c>
      <c r="AP1486" s="2">
        <v>2858600</v>
      </c>
      <c r="AQ1486" s="2">
        <v>0</v>
      </c>
      <c r="AR1486" s="2">
        <v>0</v>
      </c>
      <c r="AS1486" s="2">
        <v>0</v>
      </c>
      <c r="AT1486" s="2">
        <v>0</v>
      </c>
      <c r="AU1486" s="2">
        <v>0</v>
      </c>
      <c r="AV1486" s="2">
        <v>0</v>
      </c>
      <c r="AW1486" s="4"/>
      <c r="AX1486" t="s">
        <v>75</v>
      </c>
      <c r="AZ1486" t="s">
        <v>3901</v>
      </c>
      <c r="BA1486" t="s">
        <v>67</v>
      </c>
      <c r="BB1486" t="s">
        <v>3902</v>
      </c>
      <c r="BC1486" t="s">
        <v>3903</v>
      </c>
      <c r="BD1486" t="s">
        <v>79</v>
      </c>
      <c r="BE1486" t="s">
        <v>3904</v>
      </c>
      <c r="BF1486" s="5">
        <v>46679</v>
      </c>
      <c r="BH1486">
        <v>2</v>
      </c>
      <c r="BI1486" s="6">
        <v>420000</v>
      </c>
      <c r="BJ1486" s="6">
        <v>0</v>
      </c>
      <c r="BK1486" s="6">
        <v>290000</v>
      </c>
      <c r="BL1486" s="6">
        <v>130000</v>
      </c>
      <c r="BM1486" s="2">
        <v>260000</v>
      </c>
      <c r="BN1486">
        <f>InvoiceTable[[#This Row],[Giảm giá]]*InvoiceTable[[#This Row],[Số lượng]]</f>
        <v>580000</v>
      </c>
    </row>
    <row r="1487" spans="1:66" x14ac:dyDescent="0.25">
      <c r="A1487" t="s">
        <v>65</v>
      </c>
      <c r="B1487" t="s">
        <v>3900</v>
      </c>
      <c r="F1487" s="2"/>
      <c r="G1487" s="3">
        <v>46001.403137731482</v>
      </c>
      <c r="H1487" s="3">
        <v>46001.406482951388</v>
      </c>
      <c r="I1487" s="4" t="s">
        <v>96</v>
      </c>
      <c r="J1487" t="s">
        <v>67</v>
      </c>
      <c r="K1487" t="s">
        <v>67</v>
      </c>
      <c r="L1487" t="s">
        <v>82</v>
      </c>
      <c r="M1487" t="s">
        <v>83</v>
      </c>
      <c r="N1487" t="s">
        <v>84</v>
      </c>
      <c r="O1487" t="s">
        <v>85</v>
      </c>
      <c r="P1487" t="s">
        <v>86</v>
      </c>
      <c r="S1487" s="5"/>
      <c r="T1487" t="s">
        <v>72</v>
      </c>
      <c r="U1487" t="s">
        <v>87</v>
      </c>
      <c r="V1487" t="s">
        <v>74</v>
      </c>
      <c r="W1487" t="s">
        <v>87</v>
      </c>
      <c r="AE1487" s="2"/>
      <c r="AF1487" s="2"/>
      <c r="AG1487" s="2"/>
      <c r="AH1487" s="2"/>
      <c r="AL1487" s="2">
        <v>2858600</v>
      </c>
      <c r="AM1487" s="2">
        <v>0</v>
      </c>
      <c r="AN1487" s="2"/>
      <c r="AO1487" s="2">
        <v>0</v>
      </c>
      <c r="AP1487" s="2">
        <v>2858600</v>
      </c>
      <c r="AQ1487" s="2">
        <v>0</v>
      </c>
      <c r="AR1487" s="2">
        <v>0</v>
      </c>
      <c r="AS1487" s="2">
        <v>0</v>
      </c>
      <c r="AT1487" s="2">
        <v>0</v>
      </c>
      <c r="AU1487" s="2">
        <v>0</v>
      </c>
      <c r="AV1487" s="2">
        <v>0</v>
      </c>
      <c r="AW1487" s="4"/>
      <c r="AX1487" t="s">
        <v>75</v>
      </c>
      <c r="AZ1487" t="s">
        <v>1768</v>
      </c>
      <c r="BA1487" t="s">
        <v>67</v>
      </c>
      <c r="BB1487" t="s">
        <v>1769</v>
      </c>
      <c r="BC1487" t="s">
        <v>187</v>
      </c>
      <c r="BD1487" t="s">
        <v>79</v>
      </c>
      <c r="BE1487" t="s">
        <v>142</v>
      </c>
      <c r="BF1487" s="5">
        <v>46844</v>
      </c>
      <c r="BH1487">
        <v>2</v>
      </c>
      <c r="BI1487" s="6">
        <v>690000</v>
      </c>
      <c r="BJ1487" s="6">
        <v>50</v>
      </c>
      <c r="BK1487" s="6">
        <v>345000</v>
      </c>
      <c r="BL1487" s="6">
        <v>345000</v>
      </c>
      <c r="BM1487" s="2">
        <v>690000</v>
      </c>
      <c r="BN1487">
        <f>InvoiceTable[[#This Row],[Giảm giá]]*InvoiceTable[[#This Row],[Số lượng]]</f>
        <v>690000</v>
      </c>
    </row>
    <row r="1488" spans="1:66" x14ac:dyDescent="0.25">
      <c r="A1488" t="s">
        <v>65</v>
      </c>
      <c r="B1488" t="s">
        <v>3900</v>
      </c>
      <c r="F1488" s="2"/>
      <c r="G1488" s="3">
        <v>46001.403137731482</v>
      </c>
      <c r="H1488" s="3">
        <v>46001.406482951388</v>
      </c>
      <c r="I1488" s="4" t="s">
        <v>96</v>
      </c>
      <c r="J1488" t="s">
        <v>67</v>
      </c>
      <c r="K1488" t="s">
        <v>67</v>
      </c>
      <c r="L1488" t="s">
        <v>82</v>
      </c>
      <c r="M1488" t="s">
        <v>83</v>
      </c>
      <c r="N1488" t="s">
        <v>84</v>
      </c>
      <c r="O1488" t="s">
        <v>85</v>
      </c>
      <c r="P1488" t="s">
        <v>86</v>
      </c>
      <c r="S1488" s="5"/>
      <c r="T1488" t="s">
        <v>72</v>
      </c>
      <c r="U1488" t="s">
        <v>87</v>
      </c>
      <c r="V1488" t="s">
        <v>74</v>
      </c>
      <c r="W1488" t="s">
        <v>87</v>
      </c>
      <c r="AE1488" s="2"/>
      <c r="AF1488" s="2"/>
      <c r="AG1488" s="2"/>
      <c r="AH1488" s="2"/>
      <c r="AL1488" s="2">
        <v>2858600</v>
      </c>
      <c r="AM1488" s="2">
        <v>0</v>
      </c>
      <c r="AN1488" s="2"/>
      <c r="AO1488" s="2">
        <v>0</v>
      </c>
      <c r="AP1488" s="2">
        <v>2858600</v>
      </c>
      <c r="AQ1488" s="2">
        <v>0</v>
      </c>
      <c r="AR1488" s="2">
        <v>0</v>
      </c>
      <c r="AS1488" s="2">
        <v>0</v>
      </c>
      <c r="AT1488" s="2">
        <v>0</v>
      </c>
      <c r="AU1488" s="2">
        <v>0</v>
      </c>
      <c r="AV1488" s="2">
        <v>0</v>
      </c>
      <c r="AW1488" s="4"/>
      <c r="AX1488" t="s">
        <v>75</v>
      </c>
      <c r="AZ1488" t="s">
        <v>922</v>
      </c>
      <c r="BA1488" t="s">
        <v>67</v>
      </c>
      <c r="BB1488" t="s">
        <v>923</v>
      </c>
      <c r="BC1488" t="s">
        <v>187</v>
      </c>
      <c r="BD1488" t="s">
        <v>79</v>
      </c>
      <c r="BE1488" t="s">
        <v>177</v>
      </c>
      <c r="BF1488" s="5">
        <v>47027</v>
      </c>
      <c r="BH1488">
        <v>2</v>
      </c>
      <c r="BI1488" s="6">
        <v>690000</v>
      </c>
      <c r="BJ1488" s="6">
        <v>53</v>
      </c>
      <c r="BK1488" s="6">
        <v>365700</v>
      </c>
      <c r="BL1488" s="6">
        <v>324300</v>
      </c>
      <c r="BM1488" s="2">
        <v>648600</v>
      </c>
      <c r="BN1488">
        <f>InvoiceTable[[#This Row],[Giảm giá]]*InvoiceTable[[#This Row],[Số lượng]]</f>
        <v>731400</v>
      </c>
    </row>
    <row r="1489" spans="1:66" x14ac:dyDescent="0.25">
      <c r="A1489" t="s">
        <v>65</v>
      </c>
      <c r="B1489" t="s">
        <v>3905</v>
      </c>
      <c r="F1489" s="2"/>
      <c r="G1489" s="3">
        <v>46000.734761458334</v>
      </c>
      <c r="H1489" s="3">
        <v>46000.734761574073</v>
      </c>
      <c r="I1489" s="4" t="s">
        <v>67</v>
      </c>
      <c r="J1489" t="s">
        <v>67</v>
      </c>
      <c r="K1489" t="s">
        <v>67</v>
      </c>
      <c r="L1489" t="s">
        <v>569</v>
      </c>
      <c r="M1489" t="s">
        <v>570</v>
      </c>
      <c r="N1489" t="s">
        <v>67</v>
      </c>
      <c r="O1489" t="s">
        <v>571</v>
      </c>
      <c r="P1489" t="s">
        <v>572</v>
      </c>
      <c r="S1489" s="5"/>
      <c r="T1489" t="s">
        <v>72</v>
      </c>
      <c r="U1489" t="s">
        <v>87</v>
      </c>
      <c r="V1489" t="s">
        <v>74</v>
      </c>
      <c r="W1489" t="s">
        <v>87</v>
      </c>
      <c r="AE1489" s="2"/>
      <c r="AF1489" s="2"/>
      <c r="AG1489" s="2"/>
      <c r="AH1489" s="2"/>
      <c r="AL1489" s="2">
        <v>13936000</v>
      </c>
      <c r="AM1489" s="2">
        <v>0</v>
      </c>
      <c r="AN1489" s="2"/>
      <c r="AO1489" s="2">
        <v>0</v>
      </c>
      <c r="AP1489" s="2">
        <v>13936000</v>
      </c>
      <c r="AQ1489" s="2">
        <v>0</v>
      </c>
      <c r="AR1489" s="2">
        <v>0</v>
      </c>
      <c r="AS1489" s="2">
        <v>0</v>
      </c>
      <c r="AT1489" s="2">
        <v>0</v>
      </c>
      <c r="AU1489" s="2">
        <v>0</v>
      </c>
      <c r="AV1489" s="2">
        <v>0</v>
      </c>
      <c r="AW1489" s="4"/>
      <c r="AX1489" t="s">
        <v>75</v>
      </c>
      <c r="AZ1489" t="s">
        <v>1132</v>
      </c>
      <c r="BA1489" t="s">
        <v>67</v>
      </c>
      <c r="BB1489" t="s">
        <v>1133</v>
      </c>
      <c r="BC1489" t="s">
        <v>1134</v>
      </c>
      <c r="BD1489" t="s">
        <v>79</v>
      </c>
      <c r="BE1489" t="s">
        <v>293</v>
      </c>
      <c r="BF1489" s="5">
        <v>46722</v>
      </c>
      <c r="BH1489">
        <v>10</v>
      </c>
      <c r="BI1489" s="6">
        <v>2680000</v>
      </c>
      <c r="BJ1489" s="6">
        <v>48</v>
      </c>
      <c r="BK1489" s="6">
        <v>1286400</v>
      </c>
      <c r="BL1489" s="6">
        <v>1393600</v>
      </c>
      <c r="BM1489" s="2">
        <v>13936000</v>
      </c>
      <c r="BN1489">
        <f>InvoiceTable[[#This Row],[Giảm giá]]*InvoiceTable[[#This Row],[Số lượng]]</f>
        <v>12864000</v>
      </c>
    </row>
    <row r="1490" spans="1:66" x14ac:dyDescent="0.25">
      <c r="A1490" t="s">
        <v>65</v>
      </c>
      <c r="B1490" t="s">
        <v>3905</v>
      </c>
      <c r="F1490" s="2"/>
      <c r="G1490" s="3">
        <v>46000.734761458334</v>
      </c>
      <c r="H1490" s="3">
        <v>46000.734761574073</v>
      </c>
      <c r="I1490" s="4" t="s">
        <v>67</v>
      </c>
      <c r="J1490" t="s">
        <v>67</v>
      </c>
      <c r="K1490" t="s">
        <v>67</v>
      </c>
      <c r="L1490" t="s">
        <v>569</v>
      </c>
      <c r="M1490" t="s">
        <v>570</v>
      </c>
      <c r="N1490" t="s">
        <v>67</v>
      </c>
      <c r="O1490" t="s">
        <v>571</v>
      </c>
      <c r="P1490" t="s">
        <v>572</v>
      </c>
      <c r="S1490" s="5"/>
      <c r="T1490" t="s">
        <v>72</v>
      </c>
      <c r="U1490" t="s">
        <v>87</v>
      </c>
      <c r="V1490" t="s">
        <v>74</v>
      </c>
      <c r="W1490" t="s">
        <v>87</v>
      </c>
      <c r="AE1490" s="2"/>
      <c r="AF1490" s="2"/>
      <c r="AG1490" s="2"/>
      <c r="AH1490" s="2"/>
      <c r="AL1490" s="2">
        <v>13936000</v>
      </c>
      <c r="AM1490" s="2">
        <v>0</v>
      </c>
      <c r="AN1490" s="2"/>
      <c r="AO1490" s="2">
        <v>0</v>
      </c>
      <c r="AP1490" s="2">
        <v>13936000</v>
      </c>
      <c r="AQ1490" s="2">
        <v>0</v>
      </c>
      <c r="AR1490" s="2">
        <v>0</v>
      </c>
      <c r="AS1490" s="2">
        <v>0</v>
      </c>
      <c r="AT1490" s="2">
        <v>0</v>
      </c>
      <c r="AU1490" s="2">
        <v>0</v>
      </c>
      <c r="AV1490" s="2">
        <v>0</v>
      </c>
      <c r="AW1490" s="4"/>
      <c r="AX1490" t="s">
        <v>75</v>
      </c>
      <c r="AZ1490" t="s">
        <v>1132</v>
      </c>
      <c r="BA1490" t="s">
        <v>67</v>
      </c>
      <c r="BB1490" t="s">
        <v>1133</v>
      </c>
      <c r="BC1490" t="s">
        <v>1134</v>
      </c>
      <c r="BD1490" t="s">
        <v>79</v>
      </c>
      <c r="BE1490" t="s">
        <v>293</v>
      </c>
      <c r="BF1490" s="5">
        <v>46722</v>
      </c>
      <c r="BG1490" t="s">
        <v>67</v>
      </c>
      <c r="BH1490">
        <v>1</v>
      </c>
      <c r="BI1490" s="6">
        <v>2680000</v>
      </c>
      <c r="BJ1490" s="6">
        <v>0</v>
      </c>
      <c r="BK1490" s="6">
        <v>2680000</v>
      </c>
      <c r="BL1490" s="6">
        <v>0</v>
      </c>
      <c r="BM1490" s="2">
        <v>0</v>
      </c>
      <c r="BN1490">
        <f>InvoiceTable[[#This Row],[Giảm giá]]*InvoiceTable[[#This Row],[Số lượng]]</f>
        <v>2680000</v>
      </c>
    </row>
    <row r="1491" spans="1:66" x14ac:dyDescent="0.25">
      <c r="A1491" t="s">
        <v>65</v>
      </c>
      <c r="B1491" t="s">
        <v>3906</v>
      </c>
      <c r="F1491" s="2"/>
      <c r="G1491" s="3">
        <v>46000.733709293978</v>
      </c>
      <c r="H1491" s="3">
        <v>46000.733709375003</v>
      </c>
      <c r="I1491" s="4" t="s">
        <v>67</v>
      </c>
      <c r="J1491" t="s">
        <v>67</v>
      </c>
      <c r="K1491" t="s">
        <v>67</v>
      </c>
      <c r="L1491" t="s">
        <v>1233</v>
      </c>
      <c r="M1491" t="s">
        <v>1234</v>
      </c>
      <c r="N1491" t="s">
        <v>67</v>
      </c>
      <c r="O1491" t="s">
        <v>1235</v>
      </c>
      <c r="P1491" t="s">
        <v>1236</v>
      </c>
      <c r="Q1491" t="s">
        <v>67</v>
      </c>
      <c r="R1491" t="s">
        <v>67</v>
      </c>
      <c r="S1491" s="5"/>
      <c r="T1491" t="s">
        <v>72</v>
      </c>
      <c r="U1491" t="s">
        <v>87</v>
      </c>
      <c r="V1491" t="s">
        <v>74</v>
      </c>
      <c r="W1491" t="s">
        <v>87</v>
      </c>
      <c r="AE1491" s="2"/>
      <c r="AF1491" s="2"/>
      <c r="AG1491" s="2"/>
      <c r="AH1491" s="2"/>
      <c r="AL1491" s="2">
        <v>41808000</v>
      </c>
      <c r="AM1491" s="2">
        <v>0</v>
      </c>
      <c r="AN1491" s="2"/>
      <c r="AO1491" s="2">
        <v>0</v>
      </c>
      <c r="AP1491" s="2">
        <v>41808000</v>
      </c>
      <c r="AQ1491" s="2">
        <v>7123200</v>
      </c>
      <c r="AR1491" s="2">
        <v>0</v>
      </c>
      <c r="AS1491" s="2">
        <v>0</v>
      </c>
      <c r="AT1491" s="2">
        <v>0</v>
      </c>
      <c r="AU1491" s="2">
        <v>7123200</v>
      </c>
      <c r="AV1491" s="2">
        <v>0</v>
      </c>
      <c r="AW1491" s="4"/>
      <c r="AX1491" t="s">
        <v>75</v>
      </c>
      <c r="AZ1491" t="s">
        <v>1132</v>
      </c>
      <c r="BA1491" t="s">
        <v>67</v>
      </c>
      <c r="BB1491" t="s">
        <v>1133</v>
      </c>
      <c r="BC1491" t="s">
        <v>1134</v>
      </c>
      <c r="BD1491" t="s">
        <v>79</v>
      </c>
      <c r="BE1491" t="s">
        <v>293</v>
      </c>
      <c r="BF1491" s="5">
        <v>46722</v>
      </c>
      <c r="BH1491">
        <v>30</v>
      </c>
      <c r="BI1491" s="6">
        <v>2680000</v>
      </c>
      <c r="BJ1491" s="6">
        <v>48</v>
      </c>
      <c r="BK1491" s="6">
        <v>1286400</v>
      </c>
      <c r="BL1491" s="6">
        <v>1393600</v>
      </c>
      <c r="BM1491" s="2">
        <v>41808000</v>
      </c>
      <c r="BN1491">
        <f>InvoiceTable[[#This Row],[Giảm giá]]*InvoiceTable[[#This Row],[Số lượng]]</f>
        <v>38592000</v>
      </c>
    </row>
    <row r="1492" spans="1:66" x14ac:dyDescent="0.25">
      <c r="A1492" t="s">
        <v>65</v>
      </c>
      <c r="B1492" t="s">
        <v>3906</v>
      </c>
      <c r="F1492" s="2"/>
      <c r="G1492" s="3">
        <v>46000.733709293978</v>
      </c>
      <c r="H1492" s="3">
        <v>46000.733709375003</v>
      </c>
      <c r="I1492" s="4" t="s">
        <v>67</v>
      </c>
      <c r="J1492" t="s">
        <v>67</v>
      </c>
      <c r="K1492" t="s">
        <v>67</v>
      </c>
      <c r="L1492" t="s">
        <v>1233</v>
      </c>
      <c r="M1492" t="s">
        <v>1234</v>
      </c>
      <c r="N1492" t="s">
        <v>67</v>
      </c>
      <c r="O1492" t="s">
        <v>1235</v>
      </c>
      <c r="P1492" t="s">
        <v>1236</v>
      </c>
      <c r="Q1492" t="s">
        <v>67</v>
      </c>
      <c r="R1492" t="s">
        <v>67</v>
      </c>
      <c r="S1492" s="5"/>
      <c r="T1492" t="s">
        <v>72</v>
      </c>
      <c r="U1492" t="s">
        <v>87</v>
      </c>
      <c r="V1492" t="s">
        <v>74</v>
      </c>
      <c r="W1492" t="s">
        <v>87</v>
      </c>
      <c r="AE1492" s="2"/>
      <c r="AF1492" s="2"/>
      <c r="AG1492" s="2"/>
      <c r="AH1492" s="2"/>
      <c r="AL1492" s="2">
        <v>41808000</v>
      </c>
      <c r="AM1492" s="2">
        <v>0</v>
      </c>
      <c r="AN1492" s="2"/>
      <c r="AO1492" s="2">
        <v>0</v>
      </c>
      <c r="AP1492" s="2">
        <v>41808000</v>
      </c>
      <c r="AQ1492" s="2">
        <v>7123200</v>
      </c>
      <c r="AR1492" s="2">
        <v>0</v>
      </c>
      <c r="AS1492" s="2">
        <v>0</v>
      </c>
      <c r="AT1492" s="2">
        <v>0</v>
      </c>
      <c r="AU1492" s="2">
        <v>7123200</v>
      </c>
      <c r="AV1492" s="2">
        <v>0</v>
      </c>
      <c r="AW1492" s="4"/>
      <c r="AX1492" t="s">
        <v>75</v>
      </c>
      <c r="AZ1492" t="s">
        <v>1132</v>
      </c>
      <c r="BA1492" t="s">
        <v>67</v>
      </c>
      <c r="BB1492" t="s">
        <v>1133</v>
      </c>
      <c r="BC1492" t="s">
        <v>1134</v>
      </c>
      <c r="BD1492" t="s">
        <v>79</v>
      </c>
      <c r="BE1492" t="s">
        <v>293</v>
      </c>
      <c r="BF1492" s="5">
        <v>46722</v>
      </c>
      <c r="BG1492" t="s">
        <v>67</v>
      </c>
      <c r="BH1492">
        <v>3</v>
      </c>
      <c r="BI1492" s="6">
        <v>2680000</v>
      </c>
      <c r="BJ1492" s="6">
        <v>0</v>
      </c>
      <c r="BK1492" s="6">
        <v>2680000</v>
      </c>
      <c r="BL1492" s="6">
        <v>0</v>
      </c>
      <c r="BM1492" s="2">
        <v>0</v>
      </c>
      <c r="BN1492">
        <f>InvoiceTable[[#This Row],[Giảm giá]]*InvoiceTable[[#This Row],[Số lượng]]</f>
        <v>8040000</v>
      </c>
    </row>
    <row r="1493" spans="1:66" x14ac:dyDescent="0.25">
      <c r="A1493" t="s">
        <v>65</v>
      </c>
      <c r="B1493" t="s">
        <v>3907</v>
      </c>
      <c r="F1493" s="2"/>
      <c r="G1493" s="3">
        <v>46000.704946759259</v>
      </c>
      <c r="H1493" s="3">
        <v>46000.7048659375</v>
      </c>
      <c r="I1493" s="4" t="s">
        <v>2585</v>
      </c>
      <c r="J1493" t="s">
        <v>3908</v>
      </c>
      <c r="K1493" t="s">
        <v>67</v>
      </c>
      <c r="L1493" t="s">
        <v>3703</v>
      </c>
      <c r="M1493" t="s">
        <v>3704</v>
      </c>
      <c r="N1493" t="s">
        <v>67</v>
      </c>
      <c r="O1493" t="s">
        <v>3705</v>
      </c>
      <c r="P1493" t="s">
        <v>3706</v>
      </c>
      <c r="S1493" s="5"/>
      <c r="T1493" t="s">
        <v>72</v>
      </c>
      <c r="U1493" t="s">
        <v>102</v>
      </c>
      <c r="V1493" t="s">
        <v>74</v>
      </c>
      <c r="W1493" t="s">
        <v>87</v>
      </c>
      <c r="AE1493" s="2"/>
      <c r="AF1493" s="2"/>
      <c r="AG1493" s="2"/>
      <c r="AH1493" s="2"/>
      <c r="AK1493" t="s">
        <v>3909</v>
      </c>
      <c r="AL1493" s="2">
        <v>2270000</v>
      </c>
      <c r="AM1493" s="2">
        <v>0</v>
      </c>
      <c r="AN1493" s="2"/>
      <c r="AO1493" s="2">
        <v>0</v>
      </c>
      <c r="AP1493" s="2">
        <v>2270000</v>
      </c>
      <c r="AQ1493" s="2">
        <v>0</v>
      </c>
      <c r="AR1493" s="2">
        <v>0</v>
      </c>
      <c r="AS1493" s="2">
        <v>0</v>
      </c>
      <c r="AT1493" s="2">
        <v>0</v>
      </c>
      <c r="AU1493" s="2">
        <v>0</v>
      </c>
      <c r="AV1493" s="2">
        <v>0</v>
      </c>
      <c r="AW1493" s="4"/>
      <c r="AX1493" t="s">
        <v>75</v>
      </c>
      <c r="AZ1493" t="s">
        <v>370</v>
      </c>
      <c r="BA1493" t="s">
        <v>67</v>
      </c>
      <c r="BB1493" t="s">
        <v>371</v>
      </c>
      <c r="BC1493" t="s">
        <v>372</v>
      </c>
      <c r="BD1493" t="s">
        <v>79</v>
      </c>
      <c r="BE1493" t="s">
        <v>168</v>
      </c>
      <c r="BF1493" s="5">
        <v>46388</v>
      </c>
      <c r="BH1493">
        <v>10</v>
      </c>
      <c r="BI1493" s="6">
        <v>30000</v>
      </c>
      <c r="BJ1493" s="6">
        <v>0</v>
      </c>
      <c r="BK1493" s="6">
        <v>13000</v>
      </c>
      <c r="BL1493" s="6">
        <v>17000</v>
      </c>
      <c r="BM1493" s="2">
        <v>170000</v>
      </c>
      <c r="BN1493">
        <f>InvoiceTable[[#This Row],[Giảm giá]]*InvoiceTable[[#This Row],[Số lượng]]</f>
        <v>130000</v>
      </c>
    </row>
    <row r="1494" spans="1:66" x14ac:dyDescent="0.25">
      <c r="A1494" t="s">
        <v>65</v>
      </c>
      <c r="B1494" t="s">
        <v>3907</v>
      </c>
      <c r="F1494" s="2"/>
      <c r="G1494" s="3">
        <v>46000.704946759259</v>
      </c>
      <c r="H1494" s="3">
        <v>46000.7048659375</v>
      </c>
      <c r="I1494" s="4" t="s">
        <v>2585</v>
      </c>
      <c r="J1494" t="s">
        <v>3908</v>
      </c>
      <c r="K1494" t="s">
        <v>67</v>
      </c>
      <c r="L1494" t="s">
        <v>3703</v>
      </c>
      <c r="M1494" t="s">
        <v>3704</v>
      </c>
      <c r="N1494" t="s">
        <v>67</v>
      </c>
      <c r="O1494" t="s">
        <v>3705</v>
      </c>
      <c r="P1494" t="s">
        <v>3706</v>
      </c>
      <c r="S1494" s="5"/>
      <c r="T1494" t="s">
        <v>72</v>
      </c>
      <c r="U1494" t="s">
        <v>102</v>
      </c>
      <c r="V1494" t="s">
        <v>74</v>
      </c>
      <c r="W1494" t="s">
        <v>87</v>
      </c>
      <c r="AE1494" s="2"/>
      <c r="AF1494" s="2"/>
      <c r="AG1494" s="2"/>
      <c r="AH1494" s="2"/>
      <c r="AK1494" t="s">
        <v>3909</v>
      </c>
      <c r="AL1494" s="2">
        <v>2270000</v>
      </c>
      <c r="AM1494" s="2">
        <v>0</v>
      </c>
      <c r="AN1494" s="2"/>
      <c r="AO1494" s="2">
        <v>0</v>
      </c>
      <c r="AP1494" s="2">
        <v>2270000</v>
      </c>
      <c r="AQ1494" s="2">
        <v>0</v>
      </c>
      <c r="AR1494" s="2">
        <v>0</v>
      </c>
      <c r="AS1494" s="2">
        <v>0</v>
      </c>
      <c r="AT1494" s="2">
        <v>0</v>
      </c>
      <c r="AU1494" s="2">
        <v>0</v>
      </c>
      <c r="AV1494" s="2">
        <v>0</v>
      </c>
      <c r="AW1494" s="4"/>
      <c r="AX1494" t="s">
        <v>75</v>
      </c>
      <c r="AZ1494" t="s">
        <v>581</v>
      </c>
      <c r="BA1494" t="s">
        <v>67</v>
      </c>
      <c r="BB1494" t="s">
        <v>582</v>
      </c>
      <c r="BC1494" t="s">
        <v>583</v>
      </c>
      <c r="BD1494" t="s">
        <v>79</v>
      </c>
      <c r="BE1494" t="s">
        <v>155</v>
      </c>
      <c r="BF1494" s="5">
        <v>46600</v>
      </c>
      <c r="BH1494">
        <v>1</v>
      </c>
      <c r="BI1494" s="6">
        <v>2600000</v>
      </c>
      <c r="BJ1494" s="6">
        <v>0</v>
      </c>
      <c r="BK1494" s="6">
        <v>500000</v>
      </c>
      <c r="BL1494" s="6">
        <v>2100000</v>
      </c>
      <c r="BM1494" s="2">
        <v>2100000</v>
      </c>
      <c r="BN1494">
        <f>InvoiceTable[[#This Row],[Giảm giá]]*InvoiceTable[[#This Row],[Số lượng]]</f>
        <v>500000</v>
      </c>
    </row>
    <row r="1495" spans="1:66" x14ac:dyDescent="0.25">
      <c r="A1495" t="s">
        <v>65</v>
      </c>
      <c r="B1495" t="s">
        <v>3910</v>
      </c>
      <c r="F1495" s="2"/>
      <c r="G1495" s="3">
        <v>46000.680541122689</v>
      </c>
      <c r="H1495" s="3">
        <v>46000.680541319445</v>
      </c>
      <c r="I1495" s="4" t="s">
        <v>67</v>
      </c>
      <c r="J1495" t="s">
        <v>3911</v>
      </c>
      <c r="K1495" t="s">
        <v>67</v>
      </c>
      <c r="L1495" t="s">
        <v>119</v>
      </c>
      <c r="M1495" t="s">
        <v>120</v>
      </c>
      <c r="N1495" t="s">
        <v>67</v>
      </c>
      <c r="O1495" t="s">
        <v>121</v>
      </c>
      <c r="Q1495" t="s">
        <v>122</v>
      </c>
      <c r="R1495" t="s">
        <v>123</v>
      </c>
      <c r="S1495" s="5"/>
      <c r="T1495" t="s">
        <v>72</v>
      </c>
      <c r="U1495" t="s">
        <v>102</v>
      </c>
      <c r="V1495" t="s">
        <v>74</v>
      </c>
      <c r="W1495" t="s">
        <v>87</v>
      </c>
      <c r="AE1495" s="2"/>
      <c r="AF1495" s="2"/>
      <c r="AG1495" s="2"/>
      <c r="AH1495" s="2"/>
      <c r="AK1495" t="s">
        <v>3912</v>
      </c>
      <c r="AL1495" s="2">
        <v>2046000</v>
      </c>
      <c r="AM1495" s="2">
        <v>0</v>
      </c>
      <c r="AN1495" s="2"/>
      <c r="AO1495" s="2">
        <v>0</v>
      </c>
      <c r="AP1495" s="2">
        <v>2046000</v>
      </c>
      <c r="AQ1495" s="2">
        <v>0</v>
      </c>
      <c r="AR1495" s="2">
        <v>0</v>
      </c>
      <c r="AS1495" s="2">
        <v>0</v>
      </c>
      <c r="AT1495" s="2">
        <v>0</v>
      </c>
      <c r="AU1495" s="2">
        <v>0</v>
      </c>
      <c r="AV1495" s="2">
        <v>0</v>
      </c>
      <c r="AW1495" s="4"/>
      <c r="AX1495" t="s">
        <v>75</v>
      </c>
      <c r="AZ1495" t="s">
        <v>683</v>
      </c>
      <c r="BB1495" t="s">
        <v>684</v>
      </c>
      <c r="BC1495" t="s">
        <v>681</v>
      </c>
      <c r="BD1495" t="s">
        <v>79</v>
      </c>
      <c r="BE1495" t="s">
        <v>155</v>
      </c>
      <c r="BF1495" s="5">
        <v>46600</v>
      </c>
      <c r="BG1495" t="s">
        <v>67</v>
      </c>
      <c r="BH1495">
        <v>1</v>
      </c>
      <c r="BI1495" s="6">
        <v>3100000</v>
      </c>
      <c r="BJ1495" s="6">
        <v>34</v>
      </c>
      <c r="BK1495" s="6">
        <v>1054000</v>
      </c>
      <c r="BL1495" s="6">
        <v>2046000</v>
      </c>
      <c r="BM1495" s="2">
        <v>2046000</v>
      </c>
      <c r="BN1495">
        <f>InvoiceTable[[#This Row],[Giảm giá]]*InvoiceTable[[#This Row],[Số lượng]]</f>
        <v>1054000</v>
      </c>
    </row>
    <row r="1496" spans="1:66" x14ac:dyDescent="0.25">
      <c r="A1496" t="s">
        <v>65</v>
      </c>
      <c r="B1496" t="s">
        <v>3913</v>
      </c>
      <c r="F1496" s="2"/>
      <c r="G1496" s="3">
        <v>46000.674851770833</v>
      </c>
      <c r="H1496" s="3">
        <v>46000.674828935182</v>
      </c>
      <c r="I1496" s="4" t="s">
        <v>3914</v>
      </c>
      <c r="J1496" t="s">
        <v>67</v>
      </c>
      <c r="K1496" t="s">
        <v>67</v>
      </c>
      <c r="L1496" t="s">
        <v>2108</v>
      </c>
      <c r="M1496" t="s">
        <v>2109</v>
      </c>
      <c r="N1496" t="s">
        <v>2110</v>
      </c>
      <c r="O1496" t="s">
        <v>2111</v>
      </c>
      <c r="S1496" s="5"/>
      <c r="T1496" t="s">
        <v>72</v>
      </c>
      <c r="U1496" t="s">
        <v>87</v>
      </c>
      <c r="V1496" t="s">
        <v>74</v>
      </c>
      <c r="W1496" t="s">
        <v>87</v>
      </c>
      <c r="AE1496" s="2"/>
      <c r="AF1496" s="2"/>
      <c r="AG1496" s="2"/>
      <c r="AH1496" s="2"/>
      <c r="AK1496" t="s">
        <v>3915</v>
      </c>
      <c r="AL1496" s="2">
        <v>1038200</v>
      </c>
      <c r="AM1496" s="2">
        <v>0</v>
      </c>
      <c r="AN1496" s="2"/>
      <c r="AO1496" s="2">
        <v>0</v>
      </c>
      <c r="AP1496" s="2">
        <v>1038200</v>
      </c>
      <c r="AQ1496" s="2">
        <v>0</v>
      </c>
      <c r="AR1496" s="2">
        <v>0</v>
      </c>
      <c r="AS1496" s="2">
        <v>0</v>
      </c>
      <c r="AT1496" s="2">
        <v>0</v>
      </c>
      <c r="AU1496" s="2">
        <v>0</v>
      </c>
      <c r="AV1496" s="2">
        <v>0</v>
      </c>
      <c r="AW1496" s="4"/>
      <c r="AX1496" t="s">
        <v>75</v>
      </c>
      <c r="AZ1496" t="s">
        <v>2278</v>
      </c>
      <c r="BA1496" t="s">
        <v>67</v>
      </c>
      <c r="BB1496" t="s">
        <v>2279</v>
      </c>
      <c r="BC1496" t="s">
        <v>1292</v>
      </c>
      <c r="BD1496" t="s">
        <v>79</v>
      </c>
      <c r="BE1496" t="s">
        <v>715</v>
      </c>
      <c r="BF1496" s="5">
        <v>46631</v>
      </c>
      <c r="BG1496" t="s">
        <v>67</v>
      </c>
      <c r="BH1496">
        <v>1</v>
      </c>
      <c r="BI1496" s="6">
        <v>1790000</v>
      </c>
      <c r="BJ1496" s="6">
        <v>42</v>
      </c>
      <c r="BK1496" s="6">
        <v>751800</v>
      </c>
      <c r="BL1496" s="6">
        <v>1038200</v>
      </c>
      <c r="BM1496" s="2">
        <v>1038200</v>
      </c>
      <c r="BN1496">
        <f>InvoiceTable[[#This Row],[Giảm giá]]*InvoiceTable[[#This Row],[Số lượng]]</f>
        <v>751800</v>
      </c>
    </row>
    <row r="1497" spans="1:66" x14ac:dyDescent="0.25">
      <c r="A1497" t="s">
        <v>65</v>
      </c>
      <c r="B1497" t="s">
        <v>3916</v>
      </c>
      <c r="F1497" s="2"/>
      <c r="G1497" s="3">
        <v>46000.672945057871</v>
      </c>
      <c r="H1497" s="3">
        <v>46000.672945370374</v>
      </c>
      <c r="I1497" s="4" t="s">
        <v>67</v>
      </c>
      <c r="J1497" t="s">
        <v>67</v>
      </c>
      <c r="K1497" t="s">
        <v>67</v>
      </c>
      <c r="L1497" t="s">
        <v>1301</v>
      </c>
      <c r="M1497" t="s">
        <v>1302</v>
      </c>
      <c r="N1497" t="s">
        <v>67</v>
      </c>
      <c r="O1497" t="s">
        <v>1303</v>
      </c>
      <c r="P1497" t="s">
        <v>1304</v>
      </c>
      <c r="S1497" s="5"/>
      <c r="T1497" t="s">
        <v>72</v>
      </c>
      <c r="U1497" t="s">
        <v>87</v>
      </c>
      <c r="V1497" t="s">
        <v>74</v>
      </c>
      <c r="W1497" t="s">
        <v>87</v>
      </c>
      <c r="AE1497" s="2"/>
      <c r="AF1497" s="2"/>
      <c r="AG1497" s="2"/>
      <c r="AH1497" s="2"/>
      <c r="AL1497" s="2">
        <v>47000</v>
      </c>
      <c r="AM1497" s="2">
        <v>0</v>
      </c>
      <c r="AN1497" s="2"/>
      <c r="AO1497" s="2">
        <v>0</v>
      </c>
      <c r="AP1497" s="2">
        <v>47000</v>
      </c>
      <c r="AQ1497" s="2">
        <v>0</v>
      </c>
      <c r="AR1497" s="2">
        <v>0</v>
      </c>
      <c r="AS1497" s="2">
        <v>0</v>
      </c>
      <c r="AT1497" s="2">
        <v>0</v>
      </c>
      <c r="AU1497" s="2">
        <v>0</v>
      </c>
      <c r="AV1497" s="2">
        <v>0</v>
      </c>
      <c r="AW1497" s="4"/>
      <c r="AX1497" t="s">
        <v>75</v>
      </c>
      <c r="AZ1497" t="s">
        <v>88</v>
      </c>
      <c r="BB1497" t="s">
        <v>89</v>
      </c>
      <c r="BC1497" t="s">
        <v>90</v>
      </c>
      <c r="BF1497" s="5"/>
      <c r="BG1497" t="s">
        <v>67</v>
      </c>
      <c r="BH1497">
        <v>1</v>
      </c>
      <c r="BI1497" s="6">
        <v>47000</v>
      </c>
      <c r="BJ1497" s="6">
        <v>0</v>
      </c>
      <c r="BK1497" s="6">
        <v>0</v>
      </c>
      <c r="BL1497" s="6">
        <v>47000</v>
      </c>
      <c r="BM1497" s="2">
        <v>47000</v>
      </c>
      <c r="BN1497">
        <f>InvoiceTable[[#This Row],[Giảm giá]]*InvoiceTable[[#This Row],[Số lượng]]</f>
        <v>0</v>
      </c>
    </row>
    <row r="1498" spans="1:66" x14ac:dyDescent="0.25">
      <c r="A1498" t="s">
        <v>65</v>
      </c>
      <c r="B1498" t="s">
        <v>3917</v>
      </c>
      <c r="F1498" s="2"/>
      <c r="G1498" s="3">
        <v>46000.672850543982</v>
      </c>
      <c r="H1498" s="3">
        <v>46000.672665509257</v>
      </c>
      <c r="I1498" s="4" t="s">
        <v>96</v>
      </c>
      <c r="J1498" t="s">
        <v>67</v>
      </c>
      <c r="K1498" t="s">
        <v>67</v>
      </c>
      <c r="L1498" t="s">
        <v>1301</v>
      </c>
      <c r="M1498" t="s">
        <v>1302</v>
      </c>
      <c r="N1498" t="s">
        <v>67</v>
      </c>
      <c r="O1498" t="s">
        <v>1303</v>
      </c>
      <c r="P1498" t="s">
        <v>1304</v>
      </c>
      <c r="S1498" s="5"/>
      <c r="T1498" t="s">
        <v>72</v>
      </c>
      <c r="U1498" t="s">
        <v>87</v>
      </c>
      <c r="V1498" t="s">
        <v>74</v>
      </c>
      <c r="W1498" t="s">
        <v>87</v>
      </c>
      <c r="AE1498" s="2"/>
      <c r="AF1498" s="2"/>
      <c r="AG1498" s="2"/>
      <c r="AH1498" s="2"/>
      <c r="AL1498" s="2">
        <v>663200</v>
      </c>
      <c r="AM1498" s="2">
        <v>0</v>
      </c>
      <c r="AN1498" s="2"/>
      <c r="AO1498" s="2">
        <v>0</v>
      </c>
      <c r="AP1498" s="2">
        <v>663200</v>
      </c>
      <c r="AQ1498" s="2">
        <v>0</v>
      </c>
      <c r="AR1498" s="2">
        <v>0</v>
      </c>
      <c r="AS1498" s="2">
        <v>0</v>
      </c>
      <c r="AT1498" s="2">
        <v>0</v>
      </c>
      <c r="AU1498" s="2">
        <v>0</v>
      </c>
      <c r="AV1498" s="2">
        <v>0</v>
      </c>
      <c r="AW1498" s="4"/>
      <c r="AX1498" t="s">
        <v>75</v>
      </c>
      <c r="AZ1498" t="s">
        <v>3918</v>
      </c>
      <c r="BA1498" t="s">
        <v>67</v>
      </c>
      <c r="BB1498" t="s">
        <v>3919</v>
      </c>
      <c r="BC1498" t="s">
        <v>126</v>
      </c>
      <c r="BD1498" t="s">
        <v>79</v>
      </c>
      <c r="BE1498" t="s">
        <v>142</v>
      </c>
      <c r="BF1498" s="5">
        <v>46844</v>
      </c>
      <c r="BH1498">
        <v>1</v>
      </c>
      <c r="BI1498" s="6">
        <v>120000</v>
      </c>
      <c r="BJ1498" s="6">
        <v>0</v>
      </c>
      <c r="BK1498" s="6">
        <v>60000</v>
      </c>
      <c r="BL1498" s="6">
        <v>60000</v>
      </c>
      <c r="BM1498" s="2">
        <v>60000</v>
      </c>
      <c r="BN1498">
        <f>InvoiceTable[[#This Row],[Giảm giá]]*InvoiceTable[[#This Row],[Số lượng]]</f>
        <v>60000</v>
      </c>
    </row>
    <row r="1499" spans="1:66" x14ac:dyDescent="0.25">
      <c r="A1499" t="s">
        <v>65</v>
      </c>
      <c r="B1499" t="s">
        <v>3917</v>
      </c>
      <c r="F1499" s="2"/>
      <c r="G1499" s="3">
        <v>46000.672850543982</v>
      </c>
      <c r="H1499" s="3">
        <v>46000.672665509257</v>
      </c>
      <c r="I1499" s="4" t="s">
        <v>96</v>
      </c>
      <c r="J1499" t="s">
        <v>67</v>
      </c>
      <c r="K1499" t="s">
        <v>67</v>
      </c>
      <c r="L1499" t="s">
        <v>1301</v>
      </c>
      <c r="M1499" t="s">
        <v>1302</v>
      </c>
      <c r="N1499" t="s">
        <v>67</v>
      </c>
      <c r="O1499" t="s">
        <v>1303</v>
      </c>
      <c r="P1499" t="s">
        <v>1304</v>
      </c>
      <c r="S1499" s="5"/>
      <c r="T1499" t="s">
        <v>72</v>
      </c>
      <c r="U1499" t="s">
        <v>87</v>
      </c>
      <c r="V1499" t="s">
        <v>74</v>
      </c>
      <c r="W1499" t="s">
        <v>87</v>
      </c>
      <c r="AE1499" s="2"/>
      <c r="AF1499" s="2"/>
      <c r="AG1499" s="2"/>
      <c r="AH1499" s="2"/>
      <c r="AL1499" s="2">
        <v>663200</v>
      </c>
      <c r="AM1499" s="2">
        <v>0</v>
      </c>
      <c r="AN1499" s="2"/>
      <c r="AO1499" s="2">
        <v>0</v>
      </c>
      <c r="AP1499" s="2">
        <v>663200</v>
      </c>
      <c r="AQ1499" s="2">
        <v>0</v>
      </c>
      <c r="AR1499" s="2">
        <v>0</v>
      </c>
      <c r="AS1499" s="2">
        <v>0</v>
      </c>
      <c r="AT1499" s="2">
        <v>0</v>
      </c>
      <c r="AU1499" s="2">
        <v>0</v>
      </c>
      <c r="AV1499" s="2">
        <v>0</v>
      </c>
      <c r="AW1499" s="4"/>
      <c r="AX1499" t="s">
        <v>75</v>
      </c>
      <c r="AZ1499" t="s">
        <v>1310</v>
      </c>
      <c r="BA1499" t="s">
        <v>67</v>
      </c>
      <c r="BB1499" t="s">
        <v>1311</v>
      </c>
      <c r="BC1499" t="s">
        <v>1219</v>
      </c>
      <c r="BD1499" t="s">
        <v>79</v>
      </c>
      <c r="BE1499" t="s">
        <v>1312</v>
      </c>
      <c r="BF1499" s="5">
        <v>46983</v>
      </c>
      <c r="BG1499" t="s">
        <v>67</v>
      </c>
      <c r="BH1499">
        <v>2</v>
      </c>
      <c r="BI1499" s="6">
        <v>520000</v>
      </c>
      <c r="BJ1499" s="6">
        <v>42</v>
      </c>
      <c r="BK1499" s="6">
        <v>218400</v>
      </c>
      <c r="BL1499" s="6">
        <v>301600</v>
      </c>
      <c r="BM1499" s="2">
        <v>603200</v>
      </c>
      <c r="BN1499">
        <f>InvoiceTable[[#This Row],[Giảm giá]]*InvoiceTable[[#This Row],[Số lượng]]</f>
        <v>436800</v>
      </c>
    </row>
    <row r="1500" spans="1:66" x14ac:dyDescent="0.25">
      <c r="A1500" t="s">
        <v>65</v>
      </c>
      <c r="B1500" t="s">
        <v>3920</v>
      </c>
      <c r="F1500" s="2"/>
      <c r="G1500" s="3">
        <v>46000.671601006943</v>
      </c>
      <c r="H1500" s="3">
        <v>46000.671601273149</v>
      </c>
      <c r="I1500" s="4" t="s">
        <v>67</v>
      </c>
      <c r="J1500" t="s">
        <v>67</v>
      </c>
      <c r="K1500" t="s">
        <v>67</v>
      </c>
      <c r="L1500" t="s">
        <v>111</v>
      </c>
      <c r="M1500" t="s">
        <v>112</v>
      </c>
      <c r="N1500" t="s">
        <v>67</v>
      </c>
      <c r="O1500" t="s">
        <v>113</v>
      </c>
      <c r="P1500" t="s">
        <v>114</v>
      </c>
      <c r="Q1500" t="s">
        <v>67</v>
      </c>
      <c r="R1500" t="s">
        <v>67</v>
      </c>
      <c r="S1500" s="5"/>
      <c r="T1500" t="s">
        <v>72</v>
      </c>
      <c r="U1500" t="s">
        <v>87</v>
      </c>
      <c r="V1500" t="s">
        <v>74</v>
      </c>
      <c r="W1500" t="s">
        <v>87</v>
      </c>
      <c r="AE1500" s="2"/>
      <c r="AF1500" s="2"/>
      <c r="AG1500" s="2"/>
      <c r="AH1500" s="2"/>
      <c r="AK1500" t="s">
        <v>3921</v>
      </c>
      <c r="AL1500" s="2">
        <v>32440000</v>
      </c>
      <c r="AM1500" s="2">
        <v>16220000</v>
      </c>
      <c r="AN1500" s="2"/>
      <c r="AO1500" s="2">
        <v>0</v>
      </c>
      <c r="AP1500" s="2">
        <v>16220000</v>
      </c>
      <c r="AQ1500" s="2">
        <v>0</v>
      </c>
      <c r="AR1500" s="2">
        <v>0</v>
      </c>
      <c r="AS1500" s="2">
        <v>0</v>
      </c>
      <c r="AT1500" s="2">
        <v>0</v>
      </c>
      <c r="AU1500" s="2">
        <v>0</v>
      </c>
      <c r="AV1500" s="2">
        <v>0</v>
      </c>
      <c r="AW1500" s="4"/>
      <c r="AX1500" t="s">
        <v>75</v>
      </c>
      <c r="AZ1500" t="s">
        <v>518</v>
      </c>
      <c r="BA1500" t="s">
        <v>67</v>
      </c>
      <c r="BB1500" t="s">
        <v>519</v>
      </c>
      <c r="BC1500" t="s">
        <v>78</v>
      </c>
      <c r="BD1500" t="s">
        <v>79</v>
      </c>
      <c r="BE1500" t="s">
        <v>80</v>
      </c>
      <c r="BF1500" s="5">
        <v>47300</v>
      </c>
      <c r="BH1500">
        <v>1</v>
      </c>
      <c r="BI1500" s="6">
        <v>3500000</v>
      </c>
      <c r="BJ1500" s="6">
        <v>0</v>
      </c>
      <c r="BK1500" s="6">
        <v>0</v>
      </c>
      <c r="BL1500" s="6">
        <v>3500000</v>
      </c>
      <c r="BM1500" s="2">
        <v>3500000</v>
      </c>
      <c r="BN1500">
        <f>InvoiceTable[[#This Row],[Giảm giá]]*InvoiceTable[[#This Row],[Số lượng]]</f>
        <v>0</v>
      </c>
    </row>
    <row r="1501" spans="1:66" x14ac:dyDescent="0.25">
      <c r="A1501" t="s">
        <v>65</v>
      </c>
      <c r="B1501" t="s">
        <v>3920</v>
      </c>
      <c r="F1501" s="2"/>
      <c r="G1501" s="3">
        <v>46000.671601006943</v>
      </c>
      <c r="H1501" s="3">
        <v>46000.671601273149</v>
      </c>
      <c r="I1501" s="4" t="s">
        <v>67</v>
      </c>
      <c r="J1501" t="s">
        <v>67</v>
      </c>
      <c r="K1501" t="s">
        <v>67</v>
      </c>
      <c r="L1501" t="s">
        <v>111</v>
      </c>
      <c r="M1501" t="s">
        <v>112</v>
      </c>
      <c r="N1501" t="s">
        <v>67</v>
      </c>
      <c r="O1501" t="s">
        <v>113</v>
      </c>
      <c r="P1501" t="s">
        <v>114</v>
      </c>
      <c r="Q1501" t="s">
        <v>67</v>
      </c>
      <c r="R1501" t="s">
        <v>67</v>
      </c>
      <c r="S1501" s="5"/>
      <c r="T1501" t="s">
        <v>72</v>
      </c>
      <c r="U1501" t="s">
        <v>87</v>
      </c>
      <c r="V1501" t="s">
        <v>74</v>
      </c>
      <c r="W1501" t="s">
        <v>87</v>
      </c>
      <c r="AE1501" s="2"/>
      <c r="AF1501" s="2"/>
      <c r="AG1501" s="2"/>
      <c r="AH1501" s="2"/>
      <c r="AK1501" t="s">
        <v>3921</v>
      </c>
      <c r="AL1501" s="2">
        <v>32440000</v>
      </c>
      <c r="AM1501" s="2">
        <v>16220000</v>
      </c>
      <c r="AN1501" s="2"/>
      <c r="AO1501" s="2">
        <v>0</v>
      </c>
      <c r="AP1501" s="2">
        <v>16220000</v>
      </c>
      <c r="AQ1501" s="2">
        <v>0</v>
      </c>
      <c r="AR1501" s="2">
        <v>0</v>
      </c>
      <c r="AS1501" s="2">
        <v>0</v>
      </c>
      <c r="AT1501" s="2">
        <v>0</v>
      </c>
      <c r="AU1501" s="2">
        <v>0</v>
      </c>
      <c r="AV1501" s="2">
        <v>0</v>
      </c>
      <c r="AW1501" s="4"/>
      <c r="AX1501" t="s">
        <v>75</v>
      </c>
      <c r="AZ1501" t="s">
        <v>515</v>
      </c>
      <c r="BA1501" t="s">
        <v>67</v>
      </c>
      <c r="BB1501" t="s">
        <v>516</v>
      </c>
      <c r="BC1501" t="s">
        <v>78</v>
      </c>
      <c r="BD1501" t="s">
        <v>79</v>
      </c>
      <c r="BE1501" t="s">
        <v>517</v>
      </c>
      <c r="BF1501" s="5">
        <v>47665</v>
      </c>
      <c r="BG1501" t="s">
        <v>67</v>
      </c>
      <c r="BH1501">
        <v>1</v>
      </c>
      <c r="BI1501" s="6">
        <v>3700000</v>
      </c>
      <c r="BJ1501" s="6">
        <v>0</v>
      </c>
      <c r="BK1501" s="6">
        <v>0</v>
      </c>
      <c r="BL1501" s="6">
        <v>3700000</v>
      </c>
      <c r="BM1501" s="2">
        <v>3700000</v>
      </c>
      <c r="BN1501">
        <f>InvoiceTable[[#This Row],[Giảm giá]]*InvoiceTable[[#This Row],[Số lượng]]</f>
        <v>0</v>
      </c>
    </row>
    <row r="1502" spans="1:66" x14ac:dyDescent="0.25">
      <c r="A1502" t="s">
        <v>65</v>
      </c>
      <c r="B1502" t="s">
        <v>3920</v>
      </c>
      <c r="F1502" s="2"/>
      <c r="G1502" s="3">
        <v>46000.671601006943</v>
      </c>
      <c r="H1502" s="3">
        <v>46000.671601273149</v>
      </c>
      <c r="I1502" s="4" t="s">
        <v>67</v>
      </c>
      <c r="J1502" t="s">
        <v>67</v>
      </c>
      <c r="K1502" t="s">
        <v>67</v>
      </c>
      <c r="L1502" t="s">
        <v>111</v>
      </c>
      <c r="M1502" t="s">
        <v>112</v>
      </c>
      <c r="N1502" t="s">
        <v>67</v>
      </c>
      <c r="O1502" t="s">
        <v>113</v>
      </c>
      <c r="P1502" t="s">
        <v>114</v>
      </c>
      <c r="Q1502" t="s">
        <v>67</v>
      </c>
      <c r="R1502" t="s">
        <v>67</v>
      </c>
      <c r="S1502" s="5"/>
      <c r="T1502" t="s">
        <v>72</v>
      </c>
      <c r="U1502" t="s">
        <v>87</v>
      </c>
      <c r="V1502" t="s">
        <v>74</v>
      </c>
      <c r="W1502" t="s">
        <v>87</v>
      </c>
      <c r="AE1502" s="2"/>
      <c r="AF1502" s="2"/>
      <c r="AG1502" s="2"/>
      <c r="AH1502" s="2"/>
      <c r="AK1502" t="s">
        <v>3921</v>
      </c>
      <c r="AL1502" s="2">
        <v>32440000</v>
      </c>
      <c r="AM1502" s="2">
        <v>16220000</v>
      </c>
      <c r="AN1502" s="2"/>
      <c r="AO1502" s="2">
        <v>0</v>
      </c>
      <c r="AP1502" s="2">
        <v>16220000</v>
      </c>
      <c r="AQ1502" s="2">
        <v>0</v>
      </c>
      <c r="AR1502" s="2">
        <v>0</v>
      </c>
      <c r="AS1502" s="2">
        <v>0</v>
      </c>
      <c r="AT1502" s="2">
        <v>0</v>
      </c>
      <c r="AU1502" s="2">
        <v>0</v>
      </c>
      <c r="AV1502" s="2">
        <v>0</v>
      </c>
      <c r="AW1502" s="4"/>
      <c r="AX1502" t="s">
        <v>75</v>
      </c>
      <c r="AZ1502" t="s">
        <v>129</v>
      </c>
      <c r="BA1502" t="s">
        <v>67</v>
      </c>
      <c r="BB1502" t="s">
        <v>130</v>
      </c>
      <c r="BC1502" t="s">
        <v>78</v>
      </c>
      <c r="BD1502" t="s">
        <v>79</v>
      </c>
      <c r="BE1502" t="s">
        <v>131</v>
      </c>
      <c r="BF1502" s="5">
        <v>46874</v>
      </c>
      <c r="BG1502" t="s">
        <v>67</v>
      </c>
      <c r="BH1502">
        <v>5</v>
      </c>
      <c r="BI1502" s="6">
        <v>3050000</v>
      </c>
      <c r="BJ1502" s="6">
        <v>0</v>
      </c>
      <c r="BK1502" s="6">
        <v>0</v>
      </c>
      <c r="BL1502" s="6">
        <v>3050000</v>
      </c>
      <c r="BM1502" s="2">
        <v>15250000</v>
      </c>
      <c r="BN1502">
        <f>InvoiceTable[[#This Row],[Giảm giá]]*InvoiceTable[[#This Row],[Số lượng]]</f>
        <v>0</v>
      </c>
    </row>
    <row r="1503" spans="1:66" x14ac:dyDescent="0.25">
      <c r="A1503" t="s">
        <v>65</v>
      </c>
      <c r="B1503" t="s">
        <v>3920</v>
      </c>
      <c r="F1503" s="2"/>
      <c r="G1503" s="3">
        <v>46000.671601006943</v>
      </c>
      <c r="H1503" s="3">
        <v>46000.671601273149</v>
      </c>
      <c r="I1503" s="4" t="s">
        <v>67</v>
      </c>
      <c r="J1503" t="s">
        <v>67</v>
      </c>
      <c r="K1503" t="s">
        <v>67</v>
      </c>
      <c r="L1503" t="s">
        <v>111</v>
      </c>
      <c r="M1503" t="s">
        <v>112</v>
      </c>
      <c r="N1503" t="s">
        <v>67</v>
      </c>
      <c r="O1503" t="s">
        <v>113</v>
      </c>
      <c r="P1503" t="s">
        <v>114</v>
      </c>
      <c r="Q1503" t="s">
        <v>67</v>
      </c>
      <c r="R1503" t="s">
        <v>67</v>
      </c>
      <c r="S1503" s="5"/>
      <c r="T1503" t="s">
        <v>72</v>
      </c>
      <c r="U1503" t="s">
        <v>87</v>
      </c>
      <c r="V1503" t="s">
        <v>74</v>
      </c>
      <c r="W1503" t="s">
        <v>87</v>
      </c>
      <c r="AE1503" s="2"/>
      <c r="AF1503" s="2"/>
      <c r="AG1503" s="2"/>
      <c r="AH1503" s="2"/>
      <c r="AK1503" t="s">
        <v>3921</v>
      </c>
      <c r="AL1503" s="2">
        <v>32440000</v>
      </c>
      <c r="AM1503" s="2">
        <v>16220000</v>
      </c>
      <c r="AN1503" s="2"/>
      <c r="AO1503" s="2">
        <v>0</v>
      </c>
      <c r="AP1503" s="2">
        <v>16220000</v>
      </c>
      <c r="AQ1503" s="2">
        <v>0</v>
      </c>
      <c r="AR1503" s="2">
        <v>0</v>
      </c>
      <c r="AS1503" s="2">
        <v>0</v>
      </c>
      <c r="AT1503" s="2">
        <v>0</v>
      </c>
      <c r="AU1503" s="2">
        <v>0</v>
      </c>
      <c r="AV1503" s="2">
        <v>0</v>
      </c>
      <c r="AW1503" s="4"/>
      <c r="AX1503" t="s">
        <v>75</v>
      </c>
      <c r="AZ1503" t="s">
        <v>504</v>
      </c>
      <c r="BA1503" t="s">
        <v>67</v>
      </c>
      <c r="BB1503" t="s">
        <v>505</v>
      </c>
      <c r="BC1503" t="s">
        <v>78</v>
      </c>
      <c r="BD1503" t="s">
        <v>79</v>
      </c>
      <c r="BE1503" t="s">
        <v>1231</v>
      </c>
      <c r="BF1503" s="5">
        <v>47239</v>
      </c>
      <c r="BH1503">
        <v>1</v>
      </c>
      <c r="BI1503" s="6">
        <v>1990000</v>
      </c>
      <c r="BJ1503" s="6">
        <v>0</v>
      </c>
      <c r="BK1503" s="6">
        <v>0</v>
      </c>
      <c r="BL1503" s="6">
        <v>1990000</v>
      </c>
      <c r="BM1503" s="2">
        <v>1990000</v>
      </c>
      <c r="BN1503">
        <f>InvoiceTable[[#This Row],[Giảm giá]]*InvoiceTable[[#This Row],[Số lượng]]</f>
        <v>0</v>
      </c>
    </row>
    <row r="1504" spans="1:66" x14ac:dyDescent="0.25">
      <c r="A1504" t="s">
        <v>65</v>
      </c>
      <c r="B1504" t="s">
        <v>3920</v>
      </c>
      <c r="F1504" s="2"/>
      <c r="G1504" s="3">
        <v>46000.671601006943</v>
      </c>
      <c r="H1504" s="3">
        <v>46000.671601273149</v>
      </c>
      <c r="I1504" s="4" t="s">
        <v>67</v>
      </c>
      <c r="J1504" t="s">
        <v>67</v>
      </c>
      <c r="K1504" t="s">
        <v>67</v>
      </c>
      <c r="L1504" t="s">
        <v>111</v>
      </c>
      <c r="M1504" t="s">
        <v>112</v>
      </c>
      <c r="N1504" t="s">
        <v>67</v>
      </c>
      <c r="O1504" t="s">
        <v>113</v>
      </c>
      <c r="P1504" t="s">
        <v>114</v>
      </c>
      <c r="Q1504" t="s">
        <v>67</v>
      </c>
      <c r="R1504" t="s">
        <v>67</v>
      </c>
      <c r="S1504" s="5"/>
      <c r="T1504" t="s">
        <v>72</v>
      </c>
      <c r="U1504" t="s">
        <v>87</v>
      </c>
      <c r="V1504" t="s">
        <v>74</v>
      </c>
      <c r="W1504" t="s">
        <v>87</v>
      </c>
      <c r="AE1504" s="2"/>
      <c r="AF1504" s="2"/>
      <c r="AG1504" s="2"/>
      <c r="AH1504" s="2"/>
      <c r="AK1504" t="s">
        <v>3921</v>
      </c>
      <c r="AL1504" s="2">
        <v>32440000</v>
      </c>
      <c r="AM1504" s="2">
        <v>16220000</v>
      </c>
      <c r="AN1504" s="2"/>
      <c r="AO1504" s="2">
        <v>0</v>
      </c>
      <c r="AP1504" s="2">
        <v>16220000</v>
      </c>
      <c r="AQ1504" s="2">
        <v>0</v>
      </c>
      <c r="AR1504" s="2">
        <v>0</v>
      </c>
      <c r="AS1504" s="2">
        <v>0</v>
      </c>
      <c r="AT1504" s="2">
        <v>0</v>
      </c>
      <c r="AU1504" s="2">
        <v>0</v>
      </c>
      <c r="AV1504" s="2">
        <v>0</v>
      </c>
      <c r="AW1504" s="4"/>
      <c r="AX1504" t="s">
        <v>75</v>
      </c>
      <c r="AZ1504" t="s">
        <v>1634</v>
      </c>
      <c r="BA1504" t="s">
        <v>67</v>
      </c>
      <c r="BB1504" t="s">
        <v>1635</v>
      </c>
      <c r="BC1504" t="s">
        <v>78</v>
      </c>
      <c r="BD1504" t="s">
        <v>79</v>
      </c>
      <c r="BE1504" t="s">
        <v>142</v>
      </c>
      <c r="BF1504" s="5">
        <v>46844</v>
      </c>
      <c r="BH1504">
        <v>100</v>
      </c>
      <c r="BI1504" s="6">
        <v>80000</v>
      </c>
      <c r="BJ1504" s="6">
        <v>0</v>
      </c>
      <c r="BK1504" s="6">
        <v>0</v>
      </c>
      <c r="BL1504" s="6">
        <v>80000</v>
      </c>
      <c r="BM1504" s="2">
        <v>8000000</v>
      </c>
      <c r="BN1504">
        <f>InvoiceTable[[#This Row],[Giảm giá]]*InvoiceTable[[#This Row],[Số lượng]]</f>
        <v>0</v>
      </c>
    </row>
    <row r="1505" spans="1:66" x14ac:dyDescent="0.25">
      <c r="A1505" t="s">
        <v>65</v>
      </c>
      <c r="B1505" t="s">
        <v>3922</v>
      </c>
      <c r="F1505" s="2"/>
      <c r="G1505" s="3">
        <v>46000.668838888887</v>
      </c>
      <c r="H1505" s="3">
        <v>46000.668839004633</v>
      </c>
      <c r="I1505" s="4" t="s">
        <v>67</v>
      </c>
      <c r="J1505" t="s">
        <v>3923</v>
      </c>
      <c r="K1505" t="s">
        <v>67</v>
      </c>
      <c r="L1505" t="s">
        <v>3924</v>
      </c>
      <c r="M1505" t="s">
        <v>3925</v>
      </c>
      <c r="N1505" t="s">
        <v>3926</v>
      </c>
      <c r="O1505" t="s">
        <v>3927</v>
      </c>
      <c r="P1505" t="s">
        <v>3928</v>
      </c>
      <c r="S1505" s="5"/>
      <c r="T1505" t="s">
        <v>72</v>
      </c>
      <c r="U1505" t="s">
        <v>73</v>
      </c>
      <c r="V1505" t="s">
        <v>74</v>
      </c>
      <c r="W1505" t="s">
        <v>87</v>
      </c>
      <c r="AE1505" s="2"/>
      <c r="AF1505" s="2"/>
      <c r="AG1505" s="2"/>
      <c r="AH1505" s="2"/>
      <c r="AK1505" t="s">
        <v>67</v>
      </c>
      <c r="AL1505" s="2">
        <v>1975000</v>
      </c>
      <c r="AM1505" s="2">
        <v>0</v>
      </c>
      <c r="AN1505" s="2"/>
      <c r="AO1505" s="2">
        <v>0</v>
      </c>
      <c r="AP1505" s="2">
        <v>1975000</v>
      </c>
      <c r="AQ1505" s="2">
        <v>1975000</v>
      </c>
      <c r="AR1505" s="2">
        <v>1975000</v>
      </c>
      <c r="AS1505" s="2">
        <v>0</v>
      </c>
      <c r="AT1505" s="2">
        <v>0</v>
      </c>
      <c r="AU1505" s="2">
        <v>0</v>
      </c>
      <c r="AV1505" s="2">
        <v>0</v>
      </c>
      <c r="AW1505" s="4"/>
      <c r="AX1505" t="s">
        <v>75</v>
      </c>
      <c r="AZ1505" t="s">
        <v>1262</v>
      </c>
      <c r="BA1505" t="s">
        <v>67</v>
      </c>
      <c r="BB1505" t="s">
        <v>1263</v>
      </c>
      <c r="BC1505" t="s">
        <v>1264</v>
      </c>
      <c r="BD1505" t="s">
        <v>79</v>
      </c>
      <c r="BE1505" t="s">
        <v>378</v>
      </c>
      <c r="BF1505" s="5">
        <v>46997</v>
      </c>
      <c r="BG1505" t="s">
        <v>67</v>
      </c>
      <c r="BH1505">
        <v>5</v>
      </c>
      <c r="BI1505" s="6">
        <v>898000</v>
      </c>
      <c r="BJ1505" s="6">
        <v>0</v>
      </c>
      <c r="BK1505" s="6">
        <v>503000</v>
      </c>
      <c r="BL1505" s="6">
        <v>395000</v>
      </c>
      <c r="BM1505" s="2">
        <v>1975000</v>
      </c>
      <c r="BN1505">
        <f>InvoiceTable[[#This Row],[Giảm giá]]*InvoiceTable[[#This Row],[Số lượng]]</f>
        <v>2515000</v>
      </c>
    </row>
    <row r="1506" spans="1:66" x14ac:dyDescent="0.25">
      <c r="A1506" t="s">
        <v>65</v>
      </c>
      <c r="B1506" t="s">
        <v>3929</v>
      </c>
      <c r="F1506" s="2"/>
      <c r="G1506" s="3">
        <v>46000.668476851853</v>
      </c>
      <c r="H1506" s="3">
        <v>46000.668453969905</v>
      </c>
      <c r="I1506" s="4" t="s">
        <v>3493</v>
      </c>
      <c r="J1506" t="s">
        <v>3930</v>
      </c>
      <c r="K1506" t="s">
        <v>67</v>
      </c>
      <c r="L1506" t="s">
        <v>1573</v>
      </c>
      <c r="M1506" t="s">
        <v>1574</v>
      </c>
      <c r="N1506" t="s">
        <v>1575</v>
      </c>
      <c r="O1506" t="s">
        <v>1576</v>
      </c>
      <c r="P1506" t="s">
        <v>1577</v>
      </c>
      <c r="S1506" s="5"/>
      <c r="T1506" t="s">
        <v>72</v>
      </c>
      <c r="U1506" t="s">
        <v>102</v>
      </c>
      <c r="V1506" t="s">
        <v>74</v>
      </c>
      <c r="W1506" t="s">
        <v>87</v>
      </c>
      <c r="AE1506" s="2"/>
      <c r="AF1506" s="2"/>
      <c r="AG1506" s="2"/>
      <c r="AH1506" s="2"/>
      <c r="AK1506" t="s">
        <v>3931</v>
      </c>
      <c r="AL1506" s="2">
        <v>49716100</v>
      </c>
      <c r="AM1506" s="2">
        <v>0</v>
      </c>
      <c r="AN1506" s="2"/>
      <c r="AO1506" s="2">
        <v>0</v>
      </c>
      <c r="AP1506" s="2">
        <v>49716100</v>
      </c>
      <c r="AQ1506" s="2">
        <v>0</v>
      </c>
      <c r="AR1506" s="2">
        <v>0</v>
      </c>
      <c r="AS1506" s="2">
        <v>0</v>
      </c>
      <c r="AT1506" s="2">
        <v>0</v>
      </c>
      <c r="AU1506" s="2">
        <v>0</v>
      </c>
      <c r="AV1506" s="2">
        <v>0</v>
      </c>
      <c r="AW1506" s="4"/>
      <c r="AX1506" t="s">
        <v>75</v>
      </c>
      <c r="AZ1506" t="s">
        <v>404</v>
      </c>
      <c r="BA1506" t="s">
        <v>67</v>
      </c>
      <c r="BB1506" t="s">
        <v>405</v>
      </c>
      <c r="BC1506" t="s">
        <v>406</v>
      </c>
      <c r="BD1506" t="s">
        <v>79</v>
      </c>
      <c r="BE1506" t="s">
        <v>131</v>
      </c>
      <c r="BF1506" s="5">
        <v>46874</v>
      </c>
      <c r="BH1506">
        <v>50</v>
      </c>
      <c r="BI1506" s="6">
        <v>990000</v>
      </c>
      <c r="BJ1506" s="6">
        <v>50</v>
      </c>
      <c r="BK1506" s="6">
        <v>495000</v>
      </c>
      <c r="BL1506" s="6">
        <v>495000</v>
      </c>
      <c r="BM1506" s="2">
        <v>24750000</v>
      </c>
      <c r="BN1506">
        <f>InvoiceTable[[#This Row],[Giảm giá]]*InvoiceTable[[#This Row],[Số lượng]]</f>
        <v>24750000</v>
      </c>
    </row>
    <row r="1507" spans="1:66" x14ac:dyDescent="0.25">
      <c r="A1507" t="s">
        <v>65</v>
      </c>
      <c r="B1507" t="s">
        <v>3929</v>
      </c>
      <c r="F1507" s="2"/>
      <c r="G1507" s="3">
        <v>46000.668476851853</v>
      </c>
      <c r="H1507" s="3">
        <v>46000.668453969905</v>
      </c>
      <c r="I1507" s="4" t="s">
        <v>3493</v>
      </c>
      <c r="J1507" t="s">
        <v>3930</v>
      </c>
      <c r="K1507" t="s">
        <v>67</v>
      </c>
      <c r="L1507" t="s">
        <v>1573</v>
      </c>
      <c r="M1507" t="s">
        <v>1574</v>
      </c>
      <c r="N1507" t="s">
        <v>1575</v>
      </c>
      <c r="O1507" t="s">
        <v>1576</v>
      </c>
      <c r="P1507" t="s">
        <v>1577</v>
      </c>
      <c r="S1507" s="5"/>
      <c r="T1507" t="s">
        <v>72</v>
      </c>
      <c r="U1507" t="s">
        <v>102</v>
      </c>
      <c r="V1507" t="s">
        <v>74</v>
      </c>
      <c r="W1507" t="s">
        <v>87</v>
      </c>
      <c r="AE1507" s="2"/>
      <c r="AF1507" s="2"/>
      <c r="AG1507" s="2"/>
      <c r="AH1507" s="2"/>
      <c r="AK1507" t="s">
        <v>3931</v>
      </c>
      <c r="AL1507" s="2">
        <v>49716100</v>
      </c>
      <c r="AM1507" s="2">
        <v>0</v>
      </c>
      <c r="AN1507" s="2"/>
      <c r="AO1507" s="2">
        <v>0</v>
      </c>
      <c r="AP1507" s="2">
        <v>49716100</v>
      </c>
      <c r="AQ1507" s="2">
        <v>0</v>
      </c>
      <c r="AR1507" s="2">
        <v>0</v>
      </c>
      <c r="AS1507" s="2">
        <v>0</v>
      </c>
      <c r="AT1507" s="2">
        <v>0</v>
      </c>
      <c r="AU1507" s="2">
        <v>0</v>
      </c>
      <c r="AV1507" s="2">
        <v>0</v>
      </c>
      <c r="AW1507" s="4"/>
      <c r="AX1507" t="s">
        <v>75</v>
      </c>
      <c r="AZ1507" t="s">
        <v>2024</v>
      </c>
      <c r="BA1507" t="s">
        <v>67</v>
      </c>
      <c r="BB1507" t="s">
        <v>2025</v>
      </c>
      <c r="BC1507" t="s">
        <v>1991</v>
      </c>
      <c r="BD1507" t="s">
        <v>79</v>
      </c>
      <c r="BE1507" t="s">
        <v>142</v>
      </c>
      <c r="BF1507" s="5">
        <v>46844</v>
      </c>
      <c r="BH1507">
        <v>10</v>
      </c>
      <c r="BI1507" s="6">
        <v>1800000</v>
      </c>
      <c r="BJ1507" s="6">
        <v>38</v>
      </c>
      <c r="BK1507" s="6">
        <v>684000</v>
      </c>
      <c r="BL1507" s="6">
        <v>1116000</v>
      </c>
      <c r="BM1507" s="2">
        <v>11160000</v>
      </c>
      <c r="BN1507">
        <f>InvoiceTable[[#This Row],[Giảm giá]]*InvoiceTable[[#This Row],[Số lượng]]</f>
        <v>6840000</v>
      </c>
    </row>
    <row r="1508" spans="1:66" x14ac:dyDescent="0.25">
      <c r="A1508" t="s">
        <v>65</v>
      </c>
      <c r="B1508" t="s">
        <v>3929</v>
      </c>
      <c r="F1508" s="2"/>
      <c r="G1508" s="3">
        <v>46000.668476851853</v>
      </c>
      <c r="H1508" s="3">
        <v>46000.668453969905</v>
      </c>
      <c r="I1508" s="4" t="s">
        <v>3493</v>
      </c>
      <c r="J1508" t="s">
        <v>3930</v>
      </c>
      <c r="K1508" t="s">
        <v>67</v>
      </c>
      <c r="L1508" t="s">
        <v>1573</v>
      </c>
      <c r="M1508" t="s">
        <v>1574</v>
      </c>
      <c r="N1508" t="s">
        <v>1575</v>
      </c>
      <c r="O1508" t="s">
        <v>1576</v>
      </c>
      <c r="P1508" t="s">
        <v>1577</v>
      </c>
      <c r="S1508" s="5"/>
      <c r="T1508" t="s">
        <v>72</v>
      </c>
      <c r="U1508" t="s">
        <v>102</v>
      </c>
      <c r="V1508" t="s">
        <v>74</v>
      </c>
      <c r="W1508" t="s">
        <v>87</v>
      </c>
      <c r="AE1508" s="2"/>
      <c r="AF1508" s="2"/>
      <c r="AG1508" s="2"/>
      <c r="AH1508" s="2"/>
      <c r="AK1508" t="s">
        <v>3931</v>
      </c>
      <c r="AL1508" s="2">
        <v>49716100</v>
      </c>
      <c r="AM1508" s="2">
        <v>0</v>
      </c>
      <c r="AN1508" s="2"/>
      <c r="AO1508" s="2">
        <v>0</v>
      </c>
      <c r="AP1508" s="2">
        <v>49716100</v>
      </c>
      <c r="AQ1508" s="2">
        <v>0</v>
      </c>
      <c r="AR1508" s="2">
        <v>0</v>
      </c>
      <c r="AS1508" s="2">
        <v>0</v>
      </c>
      <c r="AT1508" s="2">
        <v>0</v>
      </c>
      <c r="AU1508" s="2">
        <v>0</v>
      </c>
      <c r="AV1508" s="2">
        <v>0</v>
      </c>
      <c r="AW1508" s="4"/>
      <c r="AX1508" t="s">
        <v>75</v>
      </c>
      <c r="AZ1508" t="s">
        <v>3932</v>
      </c>
      <c r="BB1508" t="s">
        <v>3933</v>
      </c>
      <c r="BC1508" t="s">
        <v>804</v>
      </c>
      <c r="BD1508" t="s">
        <v>79</v>
      </c>
      <c r="BE1508" t="s">
        <v>715</v>
      </c>
      <c r="BF1508" s="5">
        <v>46631</v>
      </c>
      <c r="BG1508" t="s">
        <v>67</v>
      </c>
      <c r="BH1508">
        <v>5</v>
      </c>
      <c r="BI1508" s="6">
        <v>517000</v>
      </c>
      <c r="BJ1508" s="6">
        <v>34</v>
      </c>
      <c r="BK1508" s="6">
        <v>175780</v>
      </c>
      <c r="BL1508" s="6">
        <v>341220</v>
      </c>
      <c r="BM1508" s="2">
        <v>1706100</v>
      </c>
      <c r="BN1508">
        <f>InvoiceTable[[#This Row],[Giảm giá]]*InvoiceTable[[#This Row],[Số lượng]]</f>
        <v>878900</v>
      </c>
    </row>
    <row r="1509" spans="1:66" x14ac:dyDescent="0.25">
      <c r="A1509" t="s">
        <v>65</v>
      </c>
      <c r="B1509" t="s">
        <v>3929</v>
      </c>
      <c r="F1509" s="2"/>
      <c r="G1509" s="3">
        <v>46000.668476851853</v>
      </c>
      <c r="H1509" s="3">
        <v>46000.668453969905</v>
      </c>
      <c r="I1509" s="4" t="s">
        <v>3493</v>
      </c>
      <c r="J1509" t="s">
        <v>3930</v>
      </c>
      <c r="K1509" t="s">
        <v>67</v>
      </c>
      <c r="L1509" t="s">
        <v>1573</v>
      </c>
      <c r="M1509" t="s">
        <v>1574</v>
      </c>
      <c r="N1509" t="s">
        <v>1575</v>
      </c>
      <c r="O1509" t="s">
        <v>1576</v>
      </c>
      <c r="P1509" t="s">
        <v>1577</v>
      </c>
      <c r="S1509" s="5"/>
      <c r="T1509" t="s">
        <v>72</v>
      </c>
      <c r="U1509" t="s">
        <v>102</v>
      </c>
      <c r="V1509" t="s">
        <v>74</v>
      </c>
      <c r="W1509" t="s">
        <v>87</v>
      </c>
      <c r="AE1509" s="2"/>
      <c r="AF1509" s="2"/>
      <c r="AG1509" s="2"/>
      <c r="AH1509" s="2"/>
      <c r="AK1509" t="s">
        <v>3931</v>
      </c>
      <c r="AL1509" s="2">
        <v>49716100</v>
      </c>
      <c r="AM1509" s="2">
        <v>0</v>
      </c>
      <c r="AN1509" s="2"/>
      <c r="AO1509" s="2">
        <v>0</v>
      </c>
      <c r="AP1509" s="2">
        <v>49716100</v>
      </c>
      <c r="AQ1509" s="2">
        <v>0</v>
      </c>
      <c r="AR1509" s="2">
        <v>0</v>
      </c>
      <c r="AS1509" s="2">
        <v>0</v>
      </c>
      <c r="AT1509" s="2">
        <v>0</v>
      </c>
      <c r="AU1509" s="2">
        <v>0</v>
      </c>
      <c r="AV1509" s="2">
        <v>0</v>
      </c>
      <c r="AW1509" s="4"/>
      <c r="AX1509" t="s">
        <v>75</v>
      </c>
      <c r="AZ1509" t="s">
        <v>2021</v>
      </c>
      <c r="BA1509" t="s">
        <v>67</v>
      </c>
      <c r="BB1509" t="s">
        <v>2022</v>
      </c>
      <c r="BC1509" t="s">
        <v>2023</v>
      </c>
      <c r="BD1509" t="s">
        <v>79</v>
      </c>
      <c r="BE1509" t="s">
        <v>117</v>
      </c>
      <c r="BF1509" s="5">
        <v>46569</v>
      </c>
      <c r="BH1509">
        <v>20</v>
      </c>
      <c r="BI1509" s="6">
        <v>1100000</v>
      </c>
      <c r="BJ1509" s="6">
        <v>45</v>
      </c>
      <c r="BK1509" s="6">
        <v>495000</v>
      </c>
      <c r="BL1509" s="6">
        <v>605000</v>
      </c>
      <c r="BM1509" s="2">
        <v>12100000</v>
      </c>
      <c r="BN1509">
        <f>InvoiceTable[[#This Row],[Giảm giá]]*InvoiceTable[[#This Row],[Số lượng]]</f>
        <v>9900000</v>
      </c>
    </row>
    <row r="1510" spans="1:66" x14ac:dyDescent="0.25">
      <c r="A1510" t="s">
        <v>65</v>
      </c>
      <c r="B1510" t="s">
        <v>3934</v>
      </c>
      <c r="F1510" s="2"/>
      <c r="G1510" s="3">
        <v>46000.66536230324</v>
      </c>
      <c r="H1510" s="3">
        <v>46000.665362465275</v>
      </c>
      <c r="I1510" s="4" t="s">
        <v>67</v>
      </c>
      <c r="J1510" t="s">
        <v>3935</v>
      </c>
      <c r="K1510" t="s">
        <v>67</v>
      </c>
      <c r="L1510" t="s">
        <v>1015</v>
      </c>
      <c r="M1510" t="s">
        <v>1016</v>
      </c>
      <c r="N1510" t="s">
        <v>67</v>
      </c>
      <c r="O1510" t="s">
        <v>1017</v>
      </c>
      <c r="P1510" t="s">
        <v>1018</v>
      </c>
      <c r="S1510" s="5"/>
      <c r="T1510" t="s">
        <v>72</v>
      </c>
      <c r="U1510" t="s">
        <v>102</v>
      </c>
      <c r="V1510" t="s">
        <v>74</v>
      </c>
      <c r="W1510" t="s">
        <v>87</v>
      </c>
      <c r="AE1510" s="2"/>
      <c r="AF1510" s="2"/>
      <c r="AG1510" s="2"/>
      <c r="AH1510" s="2"/>
      <c r="AK1510" t="s">
        <v>3936</v>
      </c>
      <c r="AL1510" s="2">
        <v>616000</v>
      </c>
      <c r="AM1510" s="2">
        <v>0</v>
      </c>
      <c r="AN1510" s="2"/>
      <c r="AO1510" s="2">
        <v>0</v>
      </c>
      <c r="AP1510" s="2">
        <v>616000</v>
      </c>
      <c r="AQ1510" s="2">
        <v>0</v>
      </c>
      <c r="AR1510" s="2">
        <v>0</v>
      </c>
      <c r="AS1510" s="2">
        <v>0</v>
      </c>
      <c r="AT1510" s="2">
        <v>0</v>
      </c>
      <c r="AU1510" s="2">
        <v>0</v>
      </c>
      <c r="AV1510" s="2">
        <v>0</v>
      </c>
      <c r="AW1510" s="4"/>
      <c r="AX1510" t="s">
        <v>75</v>
      </c>
      <c r="AZ1510" t="s">
        <v>3937</v>
      </c>
      <c r="BA1510" t="s">
        <v>67</v>
      </c>
      <c r="BB1510" t="s">
        <v>3938</v>
      </c>
      <c r="BC1510" t="s">
        <v>176</v>
      </c>
      <c r="BD1510" t="s">
        <v>79</v>
      </c>
      <c r="BE1510" t="s">
        <v>228</v>
      </c>
      <c r="BF1510" s="5">
        <v>46813</v>
      </c>
      <c r="BG1510" t="s">
        <v>67</v>
      </c>
      <c r="BH1510">
        <v>1</v>
      </c>
      <c r="BI1510" s="6">
        <v>1100000</v>
      </c>
      <c r="BJ1510" s="6">
        <v>44</v>
      </c>
      <c r="BK1510" s="6">
        <v>484000</v>
      </c>
      <c r="BL1510" s="6">
        <v>616000</v>
      </c>
      <c r="BM1510" s="2">
        <v>616000</v>
      </c>
      <c r="BN1510">
        <f>InvoiceTable[[#This Row],[Giảm giá]]*InvoiceTable[[#This Row],[Số lượng]]</f>
        <v>484000</v>
      </c>
    </row>
    <row r="1511" spans="1:66" x14ac:dyDescent="0.25">
      <c r="A1511" t="s">
        <v>65</v>
      </c>
      <c r="B1511" t="s">
        <v>3939</v>
      </c>
      <c r="F1511" s="2"/>
      <c r="G1511" s="3">
        <v>46000.654472685186</v>
      </c>
      <c r="H1511" s="3">
        <v>46000.654472800925</v>
      </c>
      <c r="I1511" s="4" t="s">
        <v>67</v>
      </c>
      <c r="J1511" t="s">
        <v>3940</v>
      </c>
      <c r="K1511" t="s">
        <v>67</v>
      </c>
      <c r="L1511" t="s">
        <v>3941</v>
      </c>
      <c r="M1511" t="s">
        <v>3942</v>
      </c>
      <c r="N1511" t="s">
        <v>67</v>
      </c>
      <c r="O1511" t="s">
        <v>3943</v>
      </c>
      <c r="P1511" t="s">
        <v>3944</v>
      </c>
      <c r="Q1511" t="s">
        <v>67</v>
      </c>
      <c r="R1511" t="s">
        <v>67</v>
      </c>
      <c r="S1511" s="5"/>
      <c r="T1511" t="s">
        <v>72</v>
      </c>
      <c r="U1511" t="s">
        <v>102</v>
      </c>
      <c r="V1511" t="s">
        <v>74</v>
      </c>
      <c r="W1511" t="s">
        <v>87</v>
      </c>
      <c r="AE1511" s="2"/>
      <c r="AF1511" s="2"/>
      <c r="AG1511" s="2"/>
      <c r="AH1511" s="2"/>
      <c r="AK1511" t="s">
        <v>3945</v>
      </c>
      <c r="AL1511" s="2">
        <v>568400</v>
      </c>
      <c r="AM1511" s="2">
        <v>0</v>
      </c>
      <c r="AN1511" s="2"/>
      <c r="AO1511" s="2">
        <v>0</v>
      </c>
      <c r="AP1511" s="2">
        <v>568400</v>
      </c>
      <c r="AQ1511" s="2">
        <v>0</v>
      </c>
      <c r="AR1511" s="2">
        <v>0</v>
      </c>
      <c r="AS1511" s="2">
        <v>0</v>
      </c>
      <c r="AT1511" s="2">
        <v>0</v>
      </c>
      <c r="AU1511" s="2">
        <v>0</v>
      </c>
      <c r="AV1511" s="2">
        <v>0</v>
      </c>
      <c r="AW1511" s="4"/>
      <c r="AX1511" t="s">
        <v>75</v>
      </c>
      <c r="AZ1511" t="s">
        <v>3248</v>
      </c>
      <c r="BA1511" t="s">
        <v>67</v>
      </c>
      <c r="BB1511" t="s">
        <v>3249</v>
      </c>
      <c r="BC1511" t="s">
        <v>721</v>
      </c>
      <c r="BD1511" t="s">
        <v>79</v>
      </c>
      <c r="BE1511" t="s">
        <v>216</v>
      </c>
      <c r="BF1511" s="5">
        <v>46784</v>
      </c>
      <c r="BH1511">
        <v>1</v>
      </c>
      <c r="BI1511" s="6">
        <v>980000</v>
      </c>
      <c r="BJ1511" s="6">
        <v>42</v>
      </c>
      <c r="BK1511" s="6">
        <v>411600</v>
      </c>
      <c r="BL1511" s="6">
        <v>568400</v>
      </c>
      <c r="BM1511" s="2">
        <v>568400</v>
      </c>
      <c r="BN1511">
        <f>InvoiceTable[[#This Row],[Giảm giá]]*InvoiceTable[[#This Row],[Số lượng]]</f>
        <v>411600</v>
      </c>
    </row>
    <row r="1512" spans="1:66" x14ac:dyDescent="0.25">
      <c r="A1512" t="s">
        <v>65</v>
      </c>
      <c r="B1512" t="s">
        <v>3946</v>
      </c>
      <c r="F1512" s="2"/>
      <c r="G1512" s="3">
        <v>46000.654434027776</v>
      </c>
      <c r="H1512" s="3">
        <v>46000.654306944445</v>
      </c>
      <c r="I1512" s="4" t="s">
        <v>1465</v>
      </c>
      <c r="J1512" t="s">
        <v>3947</v>
      </c>
      <c r="K1512" t="s">
        <v>67</v>
      </c>
      <c r="L1512" t="s">
        <v>3948</v>
      </c>
      <c r="M1512" t="s">
        <v>3949</v>
      </c>
      <c r="N1512" t="s">
        <v>67</v>
      </c>
      <c r="O1512" t="s">
        <v>3950</v>
      </c>
      <c r="P1512" t="s">
        <v>3951</v>
      </c>
      <c r="Q1512" t="s">
        <v>67</v>
      </c>
      <c r="R1512" t="s">
        <v>67</v>
      </c>
      <c r="S1512" s="5"/>
      <c r="T1512" t="s">
        <v>72</v>
      </c>
      <c r="U1512" t="s">
        <v>102</v>
      </c>
      <c r="V1512" t="s">
        <v>74</v>
      </c>
      <c r="W1512" t="s">
        <v>87</v>
      </c>
      <c r="AE1512" s="2"/>
      <c r="AF1512" s="2"/>
      <c r="AG1512" s="2"/>
      <c r="AH1512" s="2"/>
      <c r="AK1512" t="s">
        <v>3952</v>
      </c>
      <c r="AL1512" s="2">
        <v>1380000</v>
      </c>
      <c r="AM1512" s="2">
        <v>0</v>
      </c>
      <c r="AN1512" s="2"/>
      <c r="AO1512" s="2">
        <v>0</v>
      </c>
      <c r="AP1512" s="2">
        <v>1380000</v>
      </c>
      <c r="AQ1512" s="2">
        <v>0</v>
      </c>
      <c r="AR1512" s="2">
        <v>0</v>
      </c>
      <c r="AS1512" s="2">
        <v>0</v>
      </c>
      <c r="AT1512" s="2">
        <v>0</v>
      </c>
      <c r="AU1512" s="2">
        <v>0</v>
      </c>
      <c r="AV1512" s="2">
        <v>0</v>
      </c>
      <c r="AW1512" s="4"/>
      <c r="AX1512" t="s">
        <v>75</v>
      </c>
      <c r="AZ1512" t="s">
        <v>469</v>
      </c>
      <c r="BA1512" t="s">
        <v>67</v>
      </c>
      <c r="BB1512" t="s">
        <v>470</v>
      </c>
      <c r="BC1512" t="s">
        <v>223</v>
      </c>
      <c r="BD1512" t="s">
        <v>79</v>
      </c>
      <c r="BE1512" t="s">
        <v>117</v>
      </c>
      <c r="BF1512" s="5">
        <v>46569</v>
      </c>
      <c r="BH1512">
        <v>1</v>
      </c>
      <c r="BI1512" s="6">
        <v>2100000</v>
      </c>
      <c r="BJ1512" s="6">
        <v>0</v>
      </c>
      <c r="BK1512" s="6">
        <v>720000</v>
      </c>
      <c r="BL1512" s="6">
        <v>1380000</v>
      </c>
      <c r="BM1512" s="2">
        <v>1380000</v>
      </c>
      <c r="BN1512">
        <f>InvoiceTable[[#This Row],[Giảm giá]]*InvoiceTable[[#This Row],[Số lượng]]</f>
        <v>720000</v>
      </c>
    </row>
    <row r="1513" spans="1:66" x14ac:dyDescent="0.25">
      <c r="A1513" t="s">
        <v>65</v>
      </c>
      <c r="B1513" t="s">
        <v>3953</v>
      </c>
      <c r="F1513" s="2"/>
      <c r="G1513" s="3">
        <v>46000.654155787037</v>
      </c>
      <c r="H1513" s="3">
        <v>46000.654121180552</v>
      </c>
      <c r="I1513" s="4" t="s">
        <v>3298</v>
      </c>
      <c r="J1513" t="s">
        <v>3954</v>
      </c>
      <c r="K1513" t="s">
        <v>67</v>
      </c>
      <c r="L1513" t="s">
        <v>2118</v>
      </c>
      <c r="M1513" t="s">
        <v>2119</v>
      </c>
      <c r="N1513" t="s">
        <v>2120</v>
      </c>
      <c r="O1513" t="s">
        <v>2121</v>
      </c>
      <c r="P1513" t="s">
        <v>2122</v>
      </c>
      <c r="S1513" s="5"/>
      <c r="T1513" t="s">
        <v>72</v>
      </c>
      <c r="U1513" t="s">
        <v>73</v>
      </c>
      <c r="V1513" t="s">
        <v>74</v>
      </c>
      <c r="W1513" t="s">
        <v>87</v>
      </c>
      <c r="AE1513" s="2"/>
      <c r="AF1513" s="2"/>
      <c r="AG1513" s="2"/>
      <c r="AH1513" s="2"/>
      <c r="AK1513" t="s">
        <v>258</v>
      </c>
      <c r="AL1513" s="2">
        <v>1442300</v>
      </c>
      <c r="AM1513" s="2">
        <v>0</v>
      </c>
      <c r="AN1513" s="2"/>
      <c r="AO1513" s="2">
        <v>0</v>
      </c>
      <c r="AP1513" s="2">
        <v>1442300</v>
      </c>
      <c r="AQ1513" s="2">
        <v>1442300</v>
      </c>
      <c r="AR1513" s="2">
        <v>1442300</v>
      </c>
      <c r="AS1513" s="2">
        <v>0</v>
      </c>
      <c r="AT1513" s="2">
        <v>0</v>
      </c>
      <c r="AU1513" s="2">
        <v>0</v>
      </c>
      <c r="AV1513" s="2">
        <v>0</v>
      </c>
      <c r="AW1513" s="4"/>
      <c r="AX1513" t="s">
        <v>75</v>
      </c>
      <c r="AZ1513" t="s">
        <v>3328</v>
      </c>
      <c r="BA1513" t="s">
        <v>67</v>
      </c>
      <c r="BB1513" t="s">
        <v>3329</v>
      </c>
      <c r="BC1513" t="s">
        <v>2169</v>
      </c>
      <c r="BD1513" t="s">
        <v>79</v>
      </c>
      <c r="BE1513" t="s">
        <v>159</v>
      </c>
      <c r="BF1513" s="5">
        <v>46478</v>
      </c>
      <c r="BH1513">
        <v>1</v>
      </c>
      <c r="BI1513" s="6">
        <v>990000</v>
      </c>
      <c r="BJ1513" s="6">
        <v>40</v>
      </c>
      <c r="BK1513" s="6">
        <v>396000</v>
      </c>
      <c r="BL1513" s="6">
        <v>594000</v>
      </c>
      <c r="BM1513" s="2">
        <v>594000</v>
      </c>
      <c r="BN1513">
        <f>InvoiceTable[[#This Row],[Giảm giá]]*InvoiceTable[[#This Row],[Số lượng]]</f>
        <v>396000</v>
      </c>
    </row>
    <row r="1514" spans="1:66" x14ac:dyDescent="0.25">
      <c r="A1514" t="s">
        <v>65</v>
      </c>
      <c r="B1514" t="s">
        <v>3953</v>
      </c>
      <c r="F1514" s="2"/>
      <c r="G1514" s="3">
        <v>46000.654155787037</v>
      </c>
      <c r="H1514" s="3">
        <v>46000.654121180552</v>
      </c>
      <c r="I1514" s="4" t="s">
        <v>3298</v>
      </c>
      <c r="J1514" t="s">
        <v>3954</v>
      </c>
      <c r="K1514" t="s">
        <v>67</v>
      </c>
      <c r="L1514" t="s">
        <v>2118</v>
      </c>
      <c r="M1514" t="s">
        <v>2119</v>
      </c>
      <c r="N1514" t="s">
        <v>2120</v>
      </c>
      <c r="O1514" t="s">
        <v>2121</v>
      </c>
      <c r="P1514" t="s">
        <v>2122</v>
      </c>
      <c r="S1514" s="5"/>
      <c r="T1514" t="s">
        <v>72</v>
      </c>
      <c r="U1514" t="s">
        <v>73</v>
      </c>
      <c r="V1514" t="s">
        <v>74</v>
      </c>
      <c r="W1514" t="s">
        <v>87</v>
      </c>
      <c r="AE1514" s="2"/>
      <c r="AF1514" s="2"/>
      <c r="AG1514" s="2"/>
      <c r="AH1514" s="2"/>
      <c r="AK1514" t="s">
        <v>258</v>
      </c>
      <c r="AL1514" s="2">
        <v>1442300</v>
      </c>
      <c r="AM1514" s="2">
        <v>0</v>
      </c>
      <c r="AN1514" s="2"/>
      <c r="AO1514" s="2">
        <v>0</v>
      </c>
      <c r="AP1514" s="2">
        <v>1442300</v>
      </c>
      <c r="AQ1514" s="2">
        <v>1442300</v>
      </c>
      <c r="AR1514" s="2">
        <v>1442300</v>
      </c>
      <c r="AS1514" s="2">
        <v>0</v>
      </c>
      <c r="AT1514" s="2">
        <v>0</v>
      </c>
      <c r="AU1514" s="2">
        <v>0</v>
      </c>
      <c r="AV1514" s="2">
        <v>0</v>
      </c>
      <c r="AW1514" s="4"/>
      <c r="AX1514" t="s">
        <v>75</v>
      </c>
      <c r="AZ1514" t="s">
        <v>1537</v>
      </c>
      <c r="BA1514" t="s">
        <v>67</v>
      </c>
      <c r="BB1514" t="s">
        <v>1538</v>
      </c>
      <c r="BC1514" t="s">
        <v>126</v>
      </c>
      <c r="BD1514" t="s">
        <v>79</v>
      </c>
      <c r="BE1514" t="s">
        <v>195</v>
      </c>
      <c r="BF1514" s="5">
        <v>46419</v>
      </c>
      <c r="BG1514" t="s">
        <v>67</v>
      </c>
      <c r="BH1514">
        <v>1</v>
      </c>
      <c r="BI1514" s="6">
        <v>180000</v>
      </c>
      <c r="BJ1514" s="6">
        <v>0</v>
      </c>
      <c r="BK1514" s="6">
        <v>100000</v>
      </c>
      <c r="BL1514" s="6">
        <v>80000</v>
      </c>
      <c r="BM1514" s="2">
        <v>80000</v>
      </c>
      <c r="BN1514">
        <f>InvoiceTable[[#This Row],[Giảm giá]]*InvoiceTable[[#This Row],[Số lượng]]</f>
        <v>100000</v>
      </c>
    </row>
    <row r="1515" spans="1:66" x14ac:dyDescent="0.25">
      <c r="A1515" t="s">
        <v>65</v>
      </c>
      <c r="B1515" t="s">
        <v>3953</v>
      </c>
      <c r="F1515" s="2"/>
      <c r="G1515" s="3">
        <v>46000.654155787037</v>
      </c>
      <c r="H1515" s="3">
        <v>46000.654121180552</v>
      </c>
      <c r="I1515" s="4" t="s">
        <v>3298</v>
      </c>
      <c r="J1515" t="s">
        <v>3954</v>
      </c>
      <c r="K1515" t="s">
        <v>67</v>
      </c>
      <c r="L1515" t="s">
        <v>2118</v>
      </c>
      <c r="M1515" t="s">
        <v>2119</v>
      </c>
      <c r="N1515" t="s">
        <v>2120</v>
      </c>
      <c r="O1515" t="s">
        <v>2121</v>
      </c>
      <c r="P1515" t="s">
        <v>2122</v>
      </c>
      <c r="S1515" s="5"/>
      <c r="T1515" t="s">
        <v>72</v>
      </c>
      <c r="U1515" t="s">
        <v>73</v>
      </c>
      <c r="V1515" t="s">
        <v>74</v>
      </c>
      <c r="W1515" t="s">
        <v>87</v>
      </c>
      <c r="AE1515" s="2"/>
      <c r="AF1515" s="2"/>
      <c r="AG1515" s="2"/>
      <c r="AH1515" s="2"/>
      <c r="AK1515" t="s">
        <v>258</v>
      </c>
      <c r="AL1515" s="2">
        <v>1442300</v>
      </c>
      <c r="AM1515" s="2">
        <v>0</v>
      </c>
      <c r="AN1515" s="2"/>
      <c r="AO1515" s="2">
        <v>0</v>
      </c>
      <c r="AP1515" s="2">
        <v>1442300</v>
      </c>
      <c r="AQ1515" s="2">
        <v>1442300</v>
      </c>
      <c r="AR1515" s="2">
        <v>1442300</v>
      </c>
      <c r="AS1515" s="2">
        <v>0</v>
      </c>
      <c r="AT1515" s="2">
        <v>0</v>
      </c>
      <c r="AU1515" s="2">
        <v>0</v>
      </c>
      <c r="AV1515" s="2">
        <v>0</v>
      </c>
      <c r="AW1515" s="4"/>
      <c r="AX1515" t="s">
        <v>75</v>
      </c>
      <c r="AZ1515" t="s">
        <v>3955</v>
      </c>
      <c r="BA1515" t="s">
        <v>67</v>
      </c>
      <c r="BB1515" t="s">
        <v>3956</v>
      </c>
      <c r="BC1515" t="s">
        <v>1219</v>
      </c>
      <c r="BD1515" t="s">
        <v>79</v>
      </c>
      <c r="BE1515" t="s">
        <v>3957</v>
      </c>
      <c r="BF1515" s="5">
        <v>46907</v>
      </c>
      <c r="BG1515" t="s">
        <v>67</v>
      </c>
      <c r="BH1515">
        <v>1</v>
      </c>
      <c r="BI1515" s="6">
        <v>390000</v>
      </c>
      <c r="BJ1515" s="6">
        <v>40</v>
      </c>
      <c r="BK1515" s="6">
        <v>156000</v>
      </c>
      <c r="BL1515" s="6">
        <v>234000</v>
      </c>
      <c r="BM1515" s="2">
        <v>234000</v>
      </c>
      <c r="BN1515">
        <f>InvoiceTable[[#This Row],[Giảm giá]]*InvoiceTable[[#This Row],[Số lượng]]</f>
        <v>156000</v>
      </c>
    </row>
    <row r="1516" spans="1:66" x14ac:dyDescent="0.25">
      <c r="A1516" t="s">
        <v>65</v>
      </c>
      <c r="B1516" t="s">
        <v>3953</v>
      </c>
      <c r="F1516" s="2"/>
      <c r="G1516" s="3">
        <v>46000.654155787037</v>
      </c>
      <c r="H1516" s="3">
        <v>46000.654121180552</v>
      </c>
      <c r="I1516" s="4" t="s">
        <v>3298</v>
      </c>
      <c r="J1516" t="s">
        <v>3954</v>
      </c>
      <c r="K1516" t="s">
        <v>67</v>
      </c>
      <c r="L1516" t="s">
        <v>2118</v>
      </c>
      <c r="M1516" t="s">
        <v>2119</v>
      </c>
      <c r="N1516" t="s">
        <v>2120</v>
      </c>
      <c r="O1516" t="s">
        <v>2121</v>
      </c>
      <c r="P1516" t="s">
        <v>2122</v>
      </c>
      <c r="S1516" s="5"/>
      <c r="T1516" t="s">
        <v>72</v>
      </c>
      <c r="U1516" t="s">
        <v>73</v>
      </c>
      <c r="V1516" t="s">
        <v>74</v>
      </c>
      <c r="W1516" t="s">
        <v>87</v>
      </c>
      <c r="AE1516" s="2"/>
      <c r="AF1516" s="2"/>
      <c r="AG1516" s="2"/>
      <c r="AH1516" s="2"/>
      <c r="AK1516" t="s">
        <v>258</v>
      </c>
      <c r="AL1516" s="2">
        <v>1442300</v>
      </c>
      <c r="AM1516" s="2">
        <v>0</v>
      </c>
      <c r="AN1516" s="2"/>
      <c r="AO1516" s="2">
        <v>0</v>
      </c>
      <c r="AP1516" s="2">
        <v>1442300</v>
      </c>
      <c r="AQ1516" s="2">
        <v>1442300</v>
      </c>
      <c r="AR1516" s="2">
        <v>1442300</v>
      </c>
      <c r="AS1516" s="2">
        <v>0</v>
      </c>
      <c r="AT1516" s="2">
        <v>0</v>
      </c>
      <c r="AU1516" s="2">
        <v>0</v>
      </c>
      <c r="AV1516" s="2">
        <v>0</v>
      </c>
      <c r="AW1516" s="4"/>
      <c r="AX1516" t="s">
        <v>75</v>
      </c>
      <c r="AZ1516" t="s">
        <v>3958</v>
      </c>
      <c r="BA1516" t="s">
        <v>67</v>
      </c>
      <c r="BB1516" t="s">
        <v>3959</v>
      </c>
      <c r="BC1516" t="s">
        <v>3960</v>
      </c>
      <c r="BD1516" t="s">
        <v>79</v>
      </c>
      <c r="BE1516" t="s">
        <v>1012</v>
      </c>
      <c r="BF1516" s="5">
        <v>46296</v>
      </c>
      <c r="BH1516">
        <v>2</v>
      </c>
      <c r="BI1516" s="6">
        <v>411000</v>
      </c>
      <c r="BJ1516" s="6">
        <v>35</v>
      </c>
      <c r="BK1516" s="6">
        <v>143850</v>
      </c>
      <c r="BL1516" s="6">
        <v>267150</v>
      </c>
      <c r="BM1516" s="2">
        <v>534300</v>
      </c>
      <c r="BN1516">
        <f>InvoiceTable[[#This Row],[Giảm giá]]*InvoiceTable[[#This Row],[Số lượng]]</f>
        <v>287700</v>
      </c>
    </row>
    <row r="1517" spans="1:66" x14ac:dyDescent="0.25">
      <c r="A1517" t="s">
        <v>65</v>
      </c>
      <c r="B1517" t="s">
        <v>3961</v>
      </c>
      <c r="F1517" s="2"/>
      <c r="G1517" s="3">
        <v>46000.644399733799</v>
      </c>
      <c r="H1517" s="3">
        <v>46000.644249386576</v>
      </c>
      <c r="I1517" s="4" t="s">
        <v>1050</v>
      </c>
      <c r="J1517" t="s">
        <v>67</v>
      </c>
      <c r="K1517" t="s">
        <v>67</v>
      </c>
      <c r="L1517" t="s">
        <v>3606</v>
      </c>
      <c r="M1517" t="s">
        <v>3607</v>
      </c>
      <c r="N1517" t="s">
        <v>67</v>
      </c>
      <c r="O1517" t="s">
        <v>3608</v>
      </c>
      <c r="P1517" t="s">
        <v>3609</v>
      </c>
      <c r="Q1517" t="s">
        <v>459</v>
      </c>
      <c r="R1517" t="s">
        <v>3610</v>
      </c>
      <c r="S1517" s="5"/>
      <c r="T1517" t="s">
        <v>72</v>
      </c>
      <c r="U1517" t="s">
        <v>87</v>
      </c>
      <c r="V1517" t="s">
        <v>74</v>
      </c>
      <c r="W1517" t="s">
        <v>87</v>
      </c>
      <c r="AE1517" s="2"/>
      <c r="AF1517" s="2"/>
      <c r="AG1517" s="2"/>
      <c r="AH1517" s="2"/>
      <c r="AL1517" s="2">
        <v>429000</v>
      </c>
      <c r="AM1517" s="2">
        <v>0</v>
      </c>
      <c r="AN1517" s="2"/>
      <c r="AO1517" s="2">
        <v>0</v>
      </c>
      <c r="AP1517" s="2">
        <v>429000</v>
      </c>
      <c r="AQ1517" s="2">
        <v>0</v>
      </c>
      <c r="AR1517" s="2">
        <v>0</v>
      </c>
      <c r="AS1517" s="2">
        <v>0</v>
      </c>
      <c r="AT1517" s="2">
        <v>0</v>
      </c>
      <c r="AU1517" s="2">
        <v>0</v>
      </c>
      <c r="AV1517" s="2">
        <v>0</v>
      </c>
      <c r="AW1517" s="4"/>
      <c r="AX1517" t="s">
        <v>75</v>
      </c>
      <c r="AZ1517" t="s">
        <v>889</v>
      </c>
      <c r="BA1517" t="s">
        <v>67</v>
      </c>
      <c r="BB1517" t="s">
        <v>890</v>
      </c>
      <c r="BC1517" t="s">
        <v>285</v>
      </c>
      <c r="BD1517" t="s">
        <v>79</v>
      </c>
      <c r="BE1517" t="s">
        <v>117</v>
      </c>
      <c r="BF1517" s="5">
        <v>46569</v>
      </c>
      <c r="BH1517">
        <v>1</v>
      </c>
      <c r="BI1517" s="6">
        <v>780000</v>
      </c>
      <c r="BJ1517" s="6">
        <v>45</v>
      </c>
      <c r="BK1517" s="6">
        <v>351000</v>
      </c>
      <c r="BL1517" s="6">
        <v>429000</v>
      </c>
      <c r="BM1517" s="2">
        <v>429000</v>
      </c>
      <c r="BN1517">
        <f>InvoiceTable[[#This Row],[Giảm giá]]*InvoiceTable[[#This Row],[Số lượng]]</f>
        <v>351000</v>
      </c>
    </row>
    <row r="1518" spans="1:66" x14ac:dyDescent="0.25">
      <c r="A1518" t="s">
        <v>65</v>
      </c>
      <c r="B1518" t="s">
        <v>3962</v>
      </c>
      <c r="F1518" s="2"/>
      <c r="G1518" s="3">
        <v>46000.643188969909</v>
      </c>
      <c r="H1518" s="3">
        <v>46000.648117094905</v>
      </c>
      <c r="I1518" s="4" t="s">
        <v>3857</v>
      </c>
      <c r="J1518" t="s">
        <v>67</v>
      </c>
      <c r="K1518" t="s">
        <v>67</v>
      </c>
      <c r="L1518" t="s">
        <v>1647</v>
      </c>
      <c r="M1518" t="s">
        <v>1648</v>
      </c>
      <c r="N1518" t="s">
        <v>1649</v>
      </c>
      <c r="O1518" t="s">
        <v>1650</v>
      </c>
      <c r="P1518" t="s">
        <v>1651</v>
      </c>
      <c r="S1518" s="5"/>
      <c r="T1518" t="s">
        <v>72</v>
      </c>
      <c r="U1518" t="s">
        <v>87</v>
      </c>
      <c r="V1518" t="s">
        <v>74</v>
      </c>
      <c r="W1518" t="s">
        <v>87</v>
      </c>
      <c r="AE1518" s="2"/>
      <c r="AF1518" s="2"/>
      <c r="AG1518" s="2"/>
      <c r="AH1518" s="2"/>
      <c r="AL1518" s="2">
        <v>12960000</v>
      </c>
      <c r="AM1518" s="2">
        <v>0</v>
      </c>
      <c r="AN1518" s="2"/>
      <c r="AO1518" s="2">
        <v>0</v>
      </c>
      <c r="AP1518" s="2">
        <v>12960000</v>
      </c>
      <c r="AQ1518" s="2">
        <v>12960000</v>
      </c>
      <c r="AR1518" s="2">
        <v>0</v>
      </c>
      <c r="AS1518" s="2">
        <v>0</v>
      </c>
      <c r="AT1518" s="2">
        <v>0</v>
      </c>
      <c r="AU1518" s="2">
        <v>12960000</v>
      </c>
      <c r="AV1518" s="2">
        <v>0</v>
      </c>
      <c r="AW1518" s="4"/>
      <c r="AX1518" t="s">
        <v>75</v>
      </c>
      <c r="AZ1518" t="s">
        <v>1494</v>
      </c>
      <c r="BA1518" t="s">
        <v>67</v>
      </c>
      <c r="BB1518" t="s">
        <v>1495</v>
      </c>
      <c r="BC1518" t="s">
        <v>676</v>
      </c>
      <c r="BD1518" t="s">
        <v>79</v>
      </c>
      <c r="BE1518" t="s">
        <v>117</v>
      </c>
      <c r="BF1518" s="5">
        <v>46569</v>
      </c>
      <c r="BH1518">
        <v>5</v>
      </c>
      <c r="BI1518" s="6">
        <v>1690000</v>
      </c>
      <c r="BJ1518" s="6">
        <v>0</v>
      </c>
      <c r="BK1518" s="6">
        <v>610000</v>
      </c>
      <c r="BL1518" s="6">
        <v>1080000</v>
      </c>
      <c r="BM1518" s="2">
        <v>5400000</v>
      </c>
      <c r="BN1518">
        <f>InvoiceTable[[#This Row],[Giảm giá]]*InvoiceTable[[#This Row],[Số lượng]]</f>
        <v>3050000</v>
      </c>
    </row>
    <row r="1519" spans="1:66" x14ac:dyDescent="0.25">
      <c r="A1519" t="s">
        <v>65</v>
      </c>
      <c r="B1519" t="s">
        <v>3962</v>
      </c>
      <c r="F1519" s="2"/>
      <c r="G1519" s="3">
        <v>46000.643188969909</v>
      </c>
      <c r="H1519" s="3">
        <v>46000.648117094905</v>
      </c>
      <c r="I1519" s="4" t="s">
        <v>3857</v>
      </c>
      <c r="J1519" t="s">
        <v>67</v>
      </c>
      <c r="K1519" t="s">
        <v>67</v>
      </c>
      <c r="L1519" t="s">
        <v>1647</v>
      </c>
      <c r="M1519" t="s">
        <v>1648</v>
      </c>
      <c r="N1519" t="s">
        <v>1649</v>
      </c>
      <c r="O1519" t="s">
        <v>1650</v>
      </c>
      <c r="P1519" t="s">
        <v>1651</v>
      </c>
      <c r="S1519" s="5"/>
      <c r="T1519" t="s">
        <v>72</v>
      </c>
      <c r="U1519" t="s">
        <v>87</v>
      </c>
      <c r="V1519" t="s">
        <v>74</v>
      </c>
      <c r="W1519" t="s">
        <v>87</v>
      </c>
      <c r="AE1519" s="2"/>
      <c r="AF1519" s="2"/>
      <c r="AG1519" s="2"/>
      <c r="AH1519" s="2"/>
      <c r="AL1519" s="2">
        <v>12960000</v>
      </c>
      <c r="AM1519" s="2">
        <v>0</v>
      </c>
      <c r="AN1519" s="2"/>
      <c r="AO1519" s="2">
        <v>0</v>
      </c>
      <c r="AP1519" s="2">
        <v>12960000</v>
      </c>
      <c r="AQ1519" s="2">
        <v>12960000</v>
      </c>
      <c r="AR1519" s="2">
        <v>0</v>
      </c>
      <c r="AS1519" s="2">
        <v>0</v>
      </c>
      <c r="AT1519" s="2">
        <v>0</v>
      </c>
      <c r="AU1519" s="2">
        <v>12960000</v>
      </c>
      <c r="AV1519" s="2">
        <v>0</v>
      </c>
      <c r="AW1519" s="4"/>
      <c r="AX1519" t="s">
        <v>75</v>
      </c>
      <c r="AZ1519" t="s">
        <v>1019</v>
      </c>
      <c r="BA1519" t="s">
        <v>67</v>
      </c>
      <c r="BB1519" t="s">
        <v>1020</v>
      </c>
      <c r="BC1519" t="s">
        <v>676</v>
      </c>
      <c r="BD1519" t="s">
        <v>79</v>
      </c>
      <c r="BE1519" t="s">
        <v>131</v>
      </c>
      <c r="BF1519" s="5">
        <v>46874</v>
      </c>
      <c r="BH1519">
        <v>2</v>
      </c>
      <c r="BI1519" s="6">
        <v>1690000</v>
      </c>
      <c r="BJ1519" s="6">
        <v>0</v>
      </c>
      <c r="BK1519" s="6">
        <v>610000</v>
      </c>
      <c r="BL1519" s="6">
        <v>1080000</v>
      </c>
      <c r="BM1519" s="2">
        <v>2160000</v>
      </c>
      <c r="BN1519">
        <f>InvoiceTable[[#This Row],[Giảm giá]]*InvoiceTable[[#This Row],[Số lượng]]</f>
        <v>1220000</v>
      </c>
    </row>
    <row r="1520" spans="1:66" x14ac:dyDescent="0.25">
      <c r="A1520" t="s">
        <v>65</v>
      </c>
      <c r="B1520" t="s">
        <v>3962</v>
      </c>
      <c r="F1520" s="2"/>
      <c r="G1520" s="3">
        <v>46000.643188969909</v>
      </c>
      <c r="H1520" s="3">
        <v>46000.648117094905</v>
      </c>
      <c r="I1520" s="4" t="s">
        <v>3857</v>
      </c>
      <c r="J1520" t="s">
        <v>67</v>
      </c>
      <c r="K1520" t="s">
        <v>67</v>
      </c>
      <c r="L1520" t="s">
        <v>1647</v>
      </c>
      <c r="M1520" t="s">
        <v>1648</v>
      </c>
      <c r="N1520" t="s">
        <v>1649</v>
      </c>
      <c r="O1520" t="s">
        <v>1650</v>
      </c>
      <c r="P1520" t="s">
        <v>1651</v>
      </c>
      <c r="S1520" s="5"/>
      <c r="T1520" t="s">
        <v>72</v>
      </c>
      <c r="U1520" t="s">
        <v>87</v>
      </c>
      <c r="V1520" t="s">
        <v>74</v>
      </c>
      <c r="W1520" t="s">
        <v>87</v>
      </c>
      <c r="AE1520" s="2"/>
      <c r="AF1520" s="2"/>
      <c r="AG1520" s="2"/>
      <c r="AH1520" s="2"/>
      <c r="AL1520" s="2">
        <v>12960000</v>
      </c>
      <c r="AM1520" s="2">
        <v>0</v>
      </c>
      <c r="AN1520" s="2"/>
      <c r="AO1520" s="2">
        <v>0</v>
      </c>
      <c r="AP1520" s="2">
        <v>12960000</v>
      </c>
      <c r="AQ1520" s="2">
        <v>12960000</v>
      </c>
      <c r="AR1520" s="2">
        <v>0</v>
      </c>
      <c r="AS1520" s="2">
        <v>0</v>
      </c>
      <c r="AT1520" s="2">
        <v>0</v>
      </c>
      <c r="AU1520" s="2">
        <v>12960000</v>
      </c>
      <c r="AV1520" s="2">
        <v>0</v>
      </c>
      <c r="AW1520" s="4"/>
      <c r="AX1520" t="s">
        <v>75</v>
      </c>
      <c r="AZ1520" t="s">
        <v>674</v>
      </c>
      <c r="BA1520" t="s">
        <v>67</v>
      </c>
      <c r="BB1520" t="s">
        <v>675</v>
      </c>
      <c r="BC1520" t="s">
        <v>676</v>
      </c>
      <c r="BD1520" t="s">
        <v>79</v>
      </c>
      <c r="BE1520" t="s">
        <v>677</v>
      </c>
      <c r="BF1520" s="5">
        <v>46943</v>
      </c>
      <c r="BH1520">
        <v>5</v>
      </c>
      <c r="BI1520" s="6">
        <v>1690000</v>
      </c>
      <c r="BJ1520" s="6">
        <v>0</v>
      </c>
      <c r="BK1520" s="6">
        <v>610000</v>
      </c>
      <c r="BL1520" s="6">
        <v>1080000</v>
      </c>
      <c r="BM1520" s="2">
        <v>5400000</v>
      </c>
      <c r="BN1520">
        <f>InvoiceTable[[#This Row],[Giảm giá]]*InvoiceTable[[#This Row],[Số lượng]]</f>
        <v>3050000</v>
      </c>
    </row>
    <row r="1521" spans="1:66" x14ac:dyDescent="0.25">
      <c r="A1521" t="s">
        <v>65</v>
      </c>
      <c r="B1521" t="s">
        <v>3963</v>
      </c>
      <c r="F1521" s="2"/>
      <c r="G1521" s="3">
        <v>46000.640006747686</v>
      </c>
      <c r="H1521" s="3">
        <v>46000.640007719907</v>
      </c>
      <c r="I1521" s="4" t="s">
        <v>67</v>
      </c>
      <c r="J1521" t="s">
        <v>67</v>
      </c>
      <c r="K1521" t="s">
        <v>67</v>
      </c>
      <c r="L1521" t="s">
        <v>876</v>
      </c>
      <c r="M1521" t="s">
        <v>877</v>
      </c>
      <c r="N1521" t="s">
        <v>67</v>
      </c>
      <c r="O1521" t="s">
        <v>878</v>
      </c>
      <c r="P1521" t="s">
        <v>879</v>
      </c>
      <c r="Q1521" t="s">
        <v>880</v>
      </c>
      <c r="R1521" t="s">
        <v>881</v>
      </c>
      <c r="S1521" s="5"/>
      <c r="T1521" t="s">
        <v>72</v>
      </c>
      <c r="U1521" t="s">
        <v>87</v>
      </c>
      <c r="V1521" t="s">
        <v>74</v>
      </c>
      <c r="W1521" t="s">
        <v>87</v>
      </c>
      <c r="AE1521" s="2"/>
      <c r="AF1521" s="2"/>
      <c r="AG1521" s="2"/>
      <c r="AH1521" s="2"/>
      <c r="AL1521" s="2">
        <v>9639543</v>
      </c>
      <c r="AM1521" s="2">
        <v>0</v>
      </c>
      <c r="AN1521" s="2"/>
      <c r="AO1521" s="2">
        <v>0</v>
      </c>
      <c r="AP1521" s="2">
        <v>9639543</v>
      </c>
      <c r="AQ1521" s="2">
        <v>0</v>
      </c>
      <c r="AR1521" s="2">
        <v>0</v>
      </c>
      <c r="AS1521" s="2">
        <v>0</v>
      </c>
      <c r="AT1521" s="2">
        <v>0</v>
      </c>
      <c r="AU1521" s="2">
        <v>0</v>
      </c>
      <c r="AV1521" s="2">
        <v>0</v>
      </c>
      <c r="AW1521" s="4"/>
      <c r="AX1521" t="s">
        <v>75</v>
      </c>
      <c r="AZ1521" t="s">
        <v>768</v>
      </c>
      <c r="BA1521" t="s">
        <v>67</v>
      </c>
      <c r="BB1521" t="s">
        <v>769</v>
      </c>
      <c r="BC1521" t="s">
        <v>770</v>
      </c>
      <c r="BD1521" t="s">
        <v>79</v>
      </c>
      <c r="BE1521" t="s">
        <v>80</v>
      </c>
      <c r="BF1521" s="5">
        <v>47300</v>
      </c>
      <c r="BH1521">
        <v>5</v>
      </c>
      <c r="BI1521" s="6">
        <v>374000</v>
      </c>
      <c r="BJ1521" s="6">
        <v>48</v>
      </c>
      <c r="BK1521" s="6">
        <v>179520</v>
      </c>
      <c r="BL1521" s="6">
        <v>194480</v>
      </c>
      <c r="BM1521" s="2">
        <v>972400</v>
      </c>
      <c r="BN1521">
        <f>InvoiceTable[[#This Row],[Giảm giá]]*InvoiceTable[[#This Row],[Số lượng]]</f>
        <v>897600</v>
      </c>
    </row>
    <row r="1522" spans="1:66" x14ac:dyDescent="0.25">
      <c r="A1522" t="s">
        <v>65</v>
      </c>
      <c r="B1522" t="s">
        <v>3963</v>
      </c>
      <c r="F1522" s="2"/>
      <c r="G1522" s="3">
        <v>46000.640006747686</v>
      </c>
      <c r="H1522" s="3">
        <v>46000.640007719907</v>
      </c>
      <c r="I1522" s="4" t="s">
        <v>67</v>
      </c>
      <c r="J1522" t="s">
        <v>67</v>
      </c>
      <c r="K1522" t="s">
        <v>67</v>
      </c>
      <c r="L1522" t="s">
        <v>876</v>
      </c>
      <c r="M1522" t="s">
        <v>877</v>
      </c>
      <c r="N1522" t="s">
        <v>67</v>
      </c>
      <c r="O1522" t="s">
        <v>878</v>
      </c>
      <c r="P1522" t="s">
        <v>879</v>
      </c>
      <c r="Q1522" t="s">
        <v>880</v>
      </c>
      <c r="R1522" t="s">
        <v>881</v>
      </c>
      <c r="S1522" s="5"/>
      <c r="T1522" t="s">
        <v>72</v>
      </c>
      <c r="U1522" t="s">
        <v>87</v>
      </c>
      <c r="V1522" t="s">
        <v>74</v>
      </c>
      <c r="W1522" t="s">
        <v>87</v>
      </c>
      <c r="AE1522" s="2"/>
      <c r="AF1522" s="2"/>
      <c r="AG1522" s="2"/>
      <c r="AH1522" s="2"/>
      <c r="AL1522" s="2">
        <v>9639543</v>
      </c>
      <c r="AM1522" s="2">
        <v>0</v>
      </c>
      <c r="AN1522" s="2"/>
      <c r="AO1522" s="2">
        <v>0</v>
      </c>
      <c r="AP1522" s="2">
        <v>9639543</v>
      </c>
      <c r="AQ1522" s="2">
        <v>0</v>
      </c>
      <c r="AR1522" s="2">
        <v>0</v>
      </c>
      <c r="AS1522" s="2">
        <v>0</v>
      </c>
      <c r="AT1522" s="2">
        <v>0</v>
      </c>
      <c r="AU1522" s="2">
        <v>0</v>
      </c>
      <c r="AV1522" s="2">
        <v>0</v>
      </c>
      <c r="AW1522" s="4"/>
      <c r="AX1522" t="s">
        <v>75</v>
      </c>
      <c r="AZ1522" t="s">
        <v>1268</v>
      </c>
      <c r="BA1522" t="s">
        <v>67</v>
      </c>
      <c r="BB1522" t="s">
        <v>1269</v>
      </c>
      <c r="BC1522" t="s">
        <v>770</v>
      </c>
      <c r="BD1522" t="s">
        <v>79</v>
      </c>
      <c r="BE1522" t="s">
        <v>715</v>
      </c>
      <c r="BF1522" s="5">
        <v>46631</v>
      </c>
      <c r="BH1522">
        <v>10</v>
      </c>
      <c r="BI1522" s="6">
        <v>690000</v>
      </c>
      <c r="BJ1522" s="6">
        <v>48</v>
      </c>
      <c r="BK1522" s="6">
        <v>331200</v>
      </c>
      <c r="BL1522" s="6">
        <v>358800</v>
      </c>
      <c r="BM1522" s="2">
        <v>3588000</v>
      </c>
      <c r="BN1522">
        <f>InvoiceTable[[#This Row],[Giảm giá]]*InvoiceTable[[#This Row],[Số lượng]]</f>
        <v>3312000</v>
      </c>
    </row>
    <row r="1523" spans="1:66" x14ac:dyDescent="0.25">
      <c r="A1523" t="s">
        <v>65</v>
      </c>
      <c r="B1523" t="s">
        <v>3963</v>
      </c>
      <c r="F1523" s="2"/>
      <c r="G1523" s="3">
        <v>46000.640006747686</v>
      </c>
      <c r="H1523" s="3">
        <v>46000.640007719907</v>
      </c>
      <c r="I1523" s="4" t="s">
        <v>67</v>
      </c>
      <c r="J1523" t="s">
        <v>67</v>
      </c>
      <c r="K1523" t="s">
        <v>67</v>
      </c>
      <c r="L1523" t="s">
        <v>876</v>
      </c>
      <c r="M1523" t="s">
        <v>877</v>
      </c>
      <c r="N1523" t="s">
        <v>67</v>
      </c>
      <c r="O1523" t="s">
        <v>878</v>
      </c>
      <c r="P1523" t="s">
        <v>879</v>
      </c>
      <c r="Q1523" t="s">
        <v>880</v>
      </c>
      <c r="R1523" t="s">
        <v>881</v>
      </c>
      <c r="S1523" s="5"/>
      <c r="T1523" t="s">
        <v>72</v>
      </c>
      <c r="U1523" t="s">
        <v>87</v>
      </c>
      <c r="V1523" t="s">
        <v>74</v>
      </c>
      <c r="W1523" t="s">
        <v>87</v>
      </c>
      <c r="AE1523" s="2"/>
      <c r="AF1523" s="2"/>
      <c r="AG1523" s="2"/>
      <c r="AH1523" s="2"/>
      <c r="AL1523" s="2">
        <v>9639543</v>
      </c>
      <c r="AM1523" s="2">
        <v>0</v>
      </c>
      <c r="AN1523" s="2"/>
      <c r="AO1523" s="2">
        <v>0</v>
      </c>
      <c r="AP1523" s="2">
        <v>9639543</v>
      </c>
      <c r="AQ1523" s="2">
        <v>0</v>
      </c>
      <c r="AR1523" s="2">
        <v>0</v>
      </c>
      <c r="AS1523" s="2">
        <v>0</v>
      </c>
      <c r="AT1523" s="2">
        <v>0</v>
      </c>
      <c r="AU1523" s="2">
        <v>0</v>
      </c>
      <c r="AV1523" s="2">
        <v>0</v>
      </c>
      <c r="AW1523" s="4"/>
      <c r="AX1523" t="s">
        <v>75</v>
      </c>
      <c r="AZ1523" t="s">
        <v>860</v>
      </c>
      <c r="BA1523" t="s">
        <v>67</v>
      </c>
      <c r="BB1523" t="s">
        <v>861</v>
      </c>
      <c r="BC1523" t="s">
        <v>191</v>
      </c>
      <c r="BD1523" t="s">
        <v>79</v>
      </c>
      <c r="BE1523" t="s">
        <v>862</v>
      </c>
      <c r="BF1523" s="5">
        <v>47515</v>
      </c>
      <c r="BH1523">
        <v>20</v>
      </c>
      <c r="BI1523" s="6">
        <v>470291</v>
      </c>
      <c r="BJ1523" s="6">
        <v>46</v>
      </c>
      <c r="BK1523" s="6">
        <v>216333.86</v>
      </c>
      <c r="BL1523" s="6">
        <v>253957.14</v>
      </c>
      <c r="BM1523" s="2">
        <v>5079143</v>
      </c>
      <c r="BN1523">
        <f>InvoiceTable[[#This Row],[Giảm giá]]*InvoiceTable[[#This Row],[Số lượng]]</f>
        <v>4326677.1999999993</v>
      </c>
    </row>
    <row r="1524" spans="1:66" x14ac:dyDescent="0.25">
      <c r="A1524" t="s">
        <v>65</v>
      </c>
      <c r="B1524" t="s">
        <v>3964</v>
      </c>
      <c r="F1524" s="2"/>
      <c r="G1524" s="3">
        <v>46000.625599039355</v>
      </c>
      <c r="H1524" s="3">
        <v>46000.625599155093</v>
      </c>
      <c r="I1524" s="4" t="s">
        <v>67</v>
      </c>
      <c r="J1524" t="s">
        <v>67</v>
      </c>
      <c r="K1524" t="s">
        <v>67</v>
      </c>
      <c r="L1524" t="s">
        <v>111</v>
      </c>
      <c r="M1524" t="s">
        <v>112</v>
      </c>
      <c r="N1524" t="s">
        <v>67</v>
      </c>
      <c r="O1524" t="s">
        <v>113</v>
      </c>
      <c r="P1524" t="s">
        <v>114</v>
      </c>
      <c r="Q1524" t="s">
        <v>67</v>
      </c>
      <c r="R1524" t="s">
        <v>67</v>
      </c>
      <c r="S1524" s="5"/>
      <c r="T1524" t="s">
        <v>72</v>
      </c>
      <c r="U1524" t="s">
        <v>87</v>
      </c>
      <c r="V1524" t="s">
        <v>74</v>
      </c>
      <c r="W1524" t="s">
        <v>87</v>
      </c>
      <c r="AE1524" s="2"/>
      <c r="AF1524" s="2"/>
      <c r="AG1524" s="2"/>
      <c r="AH1524" s="2"/>
      <c r="AK1524" t="s">
        <v>3965</v>
      </c>
      <c r="AL1524" s="2">
        <v>990000</v>
      </c>
      <c r="AM1524" s="2">
        <v>0</v>
      </c>
      <c r="AN1524" s="2"/>
      <c r="AO1524" s="2">
        <v>0</v>
      </c>
      <c r="AP1524" s="2">
        <v>990000</v>
      </c>
      <c r="AQ1524" s="2">
        <v>0</v>
      </c>
      <c r="AR1524" s="2">
        <v>0</v>
      </c>
      <c r="AS1524" s="2">
        <v>0</v>
      </c>
      <c r="AT1524" s="2">
        <v>0</v>
      </c>
      <c r="AU1524" s="2">
        <v>0</v>
      </c>
      <c r="AV1524" s="2">
        <v>0</v>
      </c>
      <c r="AW1524" s="4"/>
      <c r="AX1524" t="s">
        <v>75</v>
      </c>
      <c r="AZ1524" t="s">
        <v>2656</v>
      </c>
      <c r="BA1524" t="s">
        <v>67</v>
      </c>
      <c r="BB1524" t="s">
        <v>2657</v>
      </c>
      <c r="BC1524" t="s">
        <v>138</v>
      </c>
      <c r="BD1524" t="s">
        <v>79</v>
      </c>
      <c r="BE1524" t="s">
        <v>434</v>
      </c>
      <c r="BF1524" s="5">
        <v>46661</v>
      </c>
      <c r="BH1524">
        <v>2</v>
      </c>
      <c r="BI1524" s="6">
        <v>990000</v>
      </c>
      <c r="BJ1524" s="6">
        <v>50</v>
      </c>
      <c r="BK1524" s="6">
        <v>495000</v>
      </c>
      <c r="BL1524" s="6">
        <v>495000</v>
      </c>
      <c r="BM1524" s="2">
        <v>990000</v>
      </c>
      <c r="BN1524">
        <f>InvoiceTable[[#This Row],[Giảm giá]]*InvoiceTable[[#This Row],[Số lượng]]</f>
        <v>990000</v>
      </c>
    </row>
    <row r="1525" spans="1:66" x14ac:dyDescent="0.25">
      <c r="A1525" t="s">
        <v>65</v>
      </c>
      <c r="B1525" t="s">
        <v>3966</v>
      </c>
      <c r="F1525" s="2"/>
      <c r="G1525" s="3">
        <v>46000.624573923611</v>
      </c>
      <c r="H1525" s="3">
        <v>46000.62457403935</v>
      </c>
      <c r="I1525" s="4" t="s">
        <v>67</v>
      </c>
      <c r="J1525" t="s">
        <v>67</v>
      </c>
      <c r="K1525" t="s">
        <v>67</v>
      </c>
      <c r="L1525" t="s">
        <v>111</v>
      </c>
      <c r="M1525" t="s">
        <v>112</v>
      </c>
      <c r="N1525" t="s">
        <v>67</v>
      </c>
      <c r="O1525" t="s">
        <v>113</v>
      </c>
      <c r="P1525" t="s">
        <v>114</v>
      </c>
      <c r="Q1525" t="s">
        <v>67</v>
      </c>
      <c r="R1525" t="s">
        <v>67</v>
      </c>
      <c r="S1525" s="5"/>
      <c r="T1525" t="s">
        <v>72</v>
      </c>
      <c r="U1525" t="s">
        <v>87</v>
      </c>
      <c r="V1525" t="s">
        <v>74</v>
      </c>
      <c r="W1525" t="s">
        <v>87</v>
      </c>
      <c r="AE1525" s="2"/>
      <c r="AF1525" s="2"/>
      <c r="AG1525" s="2"/>
      <c r="AH1525" s="2"/>
      <c r="AK1525" t="s">
        <v>3967</v>
      </c>
      <c r="AL1525" s="2">
        <v>1680000</v>
      </c>
      <c r="AM1525" s="2">
        <v>0</v>
      </c>
      <c r="AN1525" s="2"/>
      <c r="AO1525" s="2">
        <v>0</v>
      </c>
      <c r="AP1525" s="2">
        <v>1680000</v>
      </c>
      <c r="AQ1525" s="2">
        <v>0</v>
      </c>
      <c r="AR1525" s="2">
        <v>0</v>
      </c>
      <c r="AS1525" s="2">
        <v>0</v>
      </c>
      <c r="AT1525" s="2">
        <v>0</v>
      </c>
      <c r="AU1525" s="2">
        <v>0</v>
      </c>
      <c r="AV1525" s="2">
        <v>0</v>
      </c>
      <c r="AW1525" s="4"/>
      <c r="AX1525" t="s">
        <v>75</v>
      </c>
      <c r="AZ1525" t="s">
        <v>88</v>
      </c>
      <c r="BB1525" t="s">
        <v>89</v>
      </c>
      <c r="BC1525" t="s">
        <v>90</v>
      </c>
      <c r="BF1525" s="5"/>
      <c r="BG1525" t="s">
        <v>67</v>
      </c>
      <c r="BH1525">
        <v>1</v>
      </c>
      <c r="BI1525" s="6">
        <v>5000</v>
      </c>
      <c r="BJ1525" s="6">
        <v>0</v>
      </c>
      <c r="BK1525" s="6">
        <v>0</v>
      </c>
      <c r="BL1525" s="6">
        <v>5000</v>
      </c>
      <c r="BM1525" s="2">
        <v>5000</v>
      </c>
      <c r="BN1525">
        <f>InvoiceTable[[#This Row],[Giảm giá]]*InvoiceTable[[#This Row],[Số lượng]]</f>
        <v>0</v>
      </c>
    </row>
    <row r="1526" spans="1:66" x14ac:dyDescent="0.25">
      <c r="A1526" t="s">
        <v>65</v>
      </c>
      <c r="B1526" t="s">
        <v>3966</v>
      </c>
      <c r="F1526" s="2"/>
      <c r="G1526" s="3">
        <v>46000.624573923611</v>
      </c>
      <c r="H1526" s="3">
        <v>46000.62457403935</v>
      </c>
      <c r="I1526" s="4" t="s">
        <v>67</v>
      </c>
      <c r="J1526" t="s">
        <v>67</v>
      </c>
      <c r="K1526" t="s">
        <v>67</v>
      </c>
      <c r="L1526" t="s">
        <v>111</v>
      </c>
      <c r="M1526" t="s">
        <v>112</v>
      </c>
      <c r="N1526" t="s">
        <v>67</v>
      </c>
      <c r="O1526" t="s">
        <v>113</v>
      </c>
      <c r="P1526" t="s">
        <v>114</v>
      </c>
      <c r="Q1526" t="s">
        <v>67</v>
      </c>
      <c r="R1526" t="s">
        <v>67</v>
      </c>
      <c r="S1526" s="5"/>
      <c r="T1526" t="s">
        <v>72</v>
      </c>
      <c r="U1526" t="s">
        <v>87</v>
      </c>
      <c r="V1526" t="s">
        <v>74</v>
      </c>
      <c r="W1526" t="s">
        <v>87</v>
      </c>
      <c r="AE1526" s="2"/>
      <c r="AF1526" s="2"/>
      <c r="AG1526" s="2"/>
      <c r="AH1526" s="2"/>
      <c r="AK1526" t="s">
        <v>3967</v>
      </c>
      <c r="AL1526" s="2">
        <v>1680000</v>
      </c>
      <c r="AM1526" s="2">
        <v>0</v>
      </c>
      <c r="AN1526" s="2"/>
      <c r="AO1526" s="2">
        <v>0</v>
      </c>
      <c r="AP1526" s="2">
        <v>1680000</v>
      </c>
      <c r="AQ1526" s="2">
        <v>0</v>
      </c>
      <c r="AR1526" s="2">
        <v>0</v>
      </c>
      <c r="AS1526" s="2">
        <v>0</v>
      </c>
      <c r="AT1526" s="2">
        <v>0</v>
      </c>
      <c r="AU1526" s="2">
        <v>0</v>
      </c>
      <c r="AV1526" s="2">
        <v>0</v>
      </c>
      <c r="AW1526" s="4"/>
      <c r="AX1526" t="s">
        <v>75</v>
      </c>
      <c r="AZ1526" t="s">
        <v>1041</v>
      </c>
      <c r="BB1526" t="s">
        <v>1042</v>
      </c>
      <c r="BC1526" t="s">
        <v>78</v>
      </c>
      <c r="BD1526" t="s">
        <v>79</v>
      </c>
      <c r="BE1526" t="s">
        <v>216</v>
      </c>
      <c r="BF1526" s="5">
        <v>46784</v>
      </c>
      <c r="BG1526" t="s">
        <v>67</v>
      </c>
      <c r="BH1526">
        <v>1</v>
      </c>
      <c r="BI1526" s="6">
        <v>3350000</v>
      </c>
      <c r="BJ1526" s="6">
        <v>50</v>
      </c>
      <c r="BK1526" s="6">
        <v>1675000</v>
      </c>
      <c r="BL1526" s="6">
        <v>1675000</v>
      </c>
      <c r="BM1526" s="2">
        <v>1675000</v>
      </c>
      <c r="BN1526">
        <f>InvoiceTable[[#This Row],[Giảm giá]]*InvoiceTable[[#This Row],[Số lượng]]</f>
        <v>1675000</v>
      </c>
    </row>
    <row r="1527" spans="1:66" x14ac:dyDescent="0.25">
      <c r="A1527" t="s">
        <v>65</v>
      </c>
      <c r="B1527" t="s">
        <v>3968</v>
      </c>
      <c r="F1527" s="2"/>
      <c r="G1527" s="3">
        <v>46000.605843668978</v>
      </c>
      <c r="H1527" s="3">
        <v>46000.605843784724</v>
      </c>
      <c r="I1527" s="4" t="s">
        <v>67</v>
      </c>
      <c r="J1527" t="s">
        <v>67</v>
      </c>
      <c r="K1527" t="s">
        <v>67</v>
      </c>
      <c r="L1527" t="s">
        <v>1647</v>
      </c>
      <c r="M1527" t="s">
        <v>1648</v>
      </c>
      <c r="N1527" t="s">
        <v>1649</v>
      </c>
      <c r="O1527" t="s">
        <v>1650</v>
      </c>
      <c r="P1527" t="s">
        <v>1651</v>
      </c>
      <c r="S1527" s="5"/>
      <c r="T1527" t="s">
        <v>72</v>
      </c>
      <c r="U1527" t="s">
        <v>87</v>
      </c>
      <c r="V1527" t="s">
        <v>74</v>
      </c>
      <c r="W1527" t="s">
        <v>87</v>
      </c>
      <c r="AE1527" s="2"/>
      <c r="AF1527" s="2"/>
      <c r="AG1527" s="2"/>
      <c r="AH1527" s="2"/>
      <c r="AL1527" s="2">
        <v>652800</v>
      </c>
      <c r="AM1527" s="2">
        <v>0</v>
      </c>
      <c r="AN1527" s="2"/>
      <c r="AO1527" s="2">
        <v>0</v>
      </c>
      <c r="AP1527" s="2">
        <v>652800</v>
      </c>
      <c r="AQ1527" s="2">
        <v>652800</v>
      </c>
      <c r="AR1527" s="2">
        <v>0</v>
      </c>
      <c r="AS1527" s="2">
        <v>0</v>
      </c>
      <c r="AT1527" s="2">
        <v>0</v>
      </c>
      <c r="AU1527" s="2">
        <v>652800</v>
      </c>
      <c r="AV1527" s="2">
        <v>0</v>
      </c>
      <c r="AW1527" s="4"/>
      <c r="AX1527" t="s">
        <v>75</v>
      </c>
      <c r="AZ1527" t="s">
        <v>1212</v>
      </c>
      <c r="BA1527" t="s">
        <v>67</v>
      </c>
      <c r="BB1527" t="s">
        <v>1213</v>
      </c>
      <c r="BC1527" t="s">
        <v>770</v>
      </c>
      <c r="BD1527" t="s">
        <v>79</v>
      </c>
      <c r="BE1527" t="s">
        <v>1214</v>
      </c>
      <c r="BF1527" s="5">
        <v>47696</v>
      </c>
      <c r="BH1527">
        <v>3</v>
      </c>
      <c r="BI1527" s="6">
        <v>320000</v>
      </c>
      <c r="BJ1527" s="6">
        <v>32</v>
      </c>
      <c r="BK1527" s="6">
        <v>102400</v>
      </c>
      <c r="BL1527" s="6">
        <v>217600</v>
      </c>
      <c r="BM1527" s="2">
        <v>652800</v>
      </c>
      <c r="BN1527">
        <f>InvoiceTable[[#This Row],[Giảm giá]]*InvoiceTable[[#This Row],[Số lượng]]</f>
        <v>307200</v>
      </c>
    </row>
    <row r="1528" spans="1:66" x14ac:dyDescent="0.25">
      <c r="A1528" t="s">
        <v>65</v>
      </c>
      <c r="B1528" t="s">
        <v>3969</v>
      </c>
      <c r="F1528" s="2"/>
      <c r="G1528" s="3">
        <v>46000.601796643517</v>
      </c>
      <c r="H1528" s="3">
        <v>46000.601797025462</v>
      </c>
      <c r="I1528" s="4" t="s">
        <v>67</v>
      </c>
      <c r="J1528" t="s">
        <v>3970</v>
      </c>
      <c r="K1528" t="s">
        <v>67</v>
      </c>
      <c r="L1528" t="s">
        <v>3703</v>
      </c>
      <c r="M1528" t="s">
        <v>3704</v>
      </c>
      <c r="N1528" t="s">
        <v>67</v>
      </c>
      <c r="O1528" t="s">
        <v>3705</v>
      </c>
      <c r="P1528" t="s">
        <v>3706</v>
      </c>
      <c r="S1528" s="5"/>
      <c r="T1528" t="s">
        <v>72</v>
      </c>
      <c r="U1528" t="s">
        <v>102</v>
      </c>
      <c r="V1528" t="s">
        <v>74</v>
      </c>
      <c r="W1528" t="s">
        <v>87</v>
      </c>
      <c r="AE1528" s="2"/>
      <c r="AF1528" s="2"/>
      <c r="AG1528" s="2"/>
      <c r="AH1528" s="2"/>
      <c r="AK1528" t="s">
        <v>3971</v>
      </c>
      <c r="AL1528" s="2">
        <v>714400</v>
      </c>
      <c r="AM1528" s="2">
        <v>0</v>
      </c>
      <c r="AN1528" s="2"/>
      <c r="AO1528" s="2">
        <v>0</v>
      </c>
      <c r="AP1528" s="2">
        <v>714400</v>
      </c>
      <c r="AQ1528" s="2">
        <v>0</v>
      </c>
      <c r="AR1528" s="2">
        <v>0</v>
      </c>
      <c r="AS1528" s="2">
        <v>0</v>
      </c>
      <c r="AT1528" s="2">
        <v>0</v>
      </c>
      <c r="AU1528" s="2">
        <v>0</v>
      </c>
      <c r="AV1528" s="2">
        <v>0</v>
      </c>
      <c r="AW1528" s="4"/>
      <c r="AX1528" t="s">
        <v>75</v>
      </c>
      <c r="AZ1528" t="s">
        <v>213</v>
      </c>
      <c r="BA1528" t="s">
        <v>67</v>
      </c>
      <c r="BB1528" t="s">
        <v>214</v>
      </c>
      <c r="BC1528" t="s">
        <v>215</v>
      </c>
      <c r="BD1528" t="s">
        <v>79</v>
      </c>
      <c r="BE1528" t="s">
        <v>216</v>
      </c>
      <c r="BF1528" s="5">
        <v>46784</v>
      </c>
      <c r="BH1528">
        <v>2</v>
      </c>
      <c r="BI1528" s="6">
        <v>760000</v>
      </c>
      <c r="BJ1528" s="6">
        <v>53</v>
      </c>
      <c r="BK1528" s="6">
        <v>402800</v>
      </c>
      <c r="BL1528" s="6">
        <v>357200</v>
      </c>
      <c r="BM1528" s="2">
        <v>714400</v>
      </c>
      <c r="BN1528">
        <f>InvoiceTable[[#This Row],[Giảm giá]]*InvoiceTable[[#This Row],[Số lượng]]</f>
        <v>805600</v>
      </c>
    </row>
    <row r="1529" spans="1:66" x14ac:dyDescent="0.25">
      <c r="A1529" t="s">
        <v>65</v>
      </c>
      <c r="B1529" t="s">
        <v>3972</v>
      </c>
      <c r="F1529" s="2"/>
      <c r="G1529" s="3">
        <v>46000.601651504629</v>
      </c>
      <c r="H1529" s="3">
        <v>46000.60165193287</v>
      </c>
      <c r="I1529" s="4" t="s">
        <v>67</v>
      </c>
      <c r="J1529" t="s">
        <v>3973</v>
      </c>
      <c r="K1529" t="s">
        <v>67</v>
      </c>
      <c r="L1529" t="s">
        <v>3974</v>
      </c>
      <c r="M1529" t="s">
        <v>3975</v>
      </c>
      <c r="N1529" t="s">
        <v>67</v>
      </c>
      <c r="O1529" t="s">
        <v>3976</v>
      </c>
      <c r="P1529" t="s">
        <v>3977</v>
      </c>
      <c r="S1529" s="5"/>
      <c r="T1529" t="s">
        <v>72</v>
      </c>
      <c r="U1529" t="s">
        <v>73</v>
      </c>
      <c r="V1529" t="s">
        <v>74</v>
      </c>
      <c r="W1529" t="s">
        <v>87</v>
      </c>
      <c r="AE1529" s="2"/>
      <c r="AF1529" s="2"/>
      <c r="AG1529" s="2"/>
      <c r="AH1529" s="2"/>
      <c r="AK1529" t="s">
        <v>258</v>
      </c>
      <c r="AL1529" s="2">
        <v>797500</v>
      </c>
      <c r="AM1529" s="2">
        <v>0</v>
      </c>
      <c r="AN1529" s="2"/>
      <c r="AO1529" s="2">
        <v>0</v>
      </c>
      <c r="AP1529" s="2">
        <v>797500</v>
      </c>
      <c r="AQ1529" s="2">
        <v>797500</v>
      </c>
      <c r="AR1529" s="2">
        <v>797500</v>
      </c>
      <c r="AS1529" s="2">
        <v>0</v>
      </c>
      <c r="AT1529" s="2">
        <v>0</v>
      </c>
      <c r="AU1529" s="2">
        <v>0</v>
      </c>
      <c r="AV1529" s="2">
        <v>0</v>
      </c>
      <c r="AW1529" s="4"/>
      <c r="AX1529" t="s">
        <v>75</v>
      </c>
      <c r="AZ1529" t="s">
        <v>3978</v>
      </c>
      <c r="BA1529" t="s">
        <v>67</v>
      </c>
      <c r="BB1529" t="s">
        <v>3979</v>
      </c>
      <c r="BC1529" t="s">
        <v>223</v>
      </c>
      <c r="BD1529" t="s">
        <v>79</v>
      </c>
      <c r="BE1529" t="s">
        <v>1012</v>
      </c>
      <c r="BF1529" s="5">
        <v>46296</v>
      </c>
      <c r="BH1529">
        <v>1</v>
      </c>
      <c r="BI1529" s="6">
        <v>1450000</v>
      </c>
      <c r="BJ1529" s="6">
        <v>45</v>
      </c>
      <c r="BK1529" s="6">
        <v>652500</v>
      </c>
      <c r="BL1529" s="6">
        <v>797500</v>
      </c>
      <c r="BM1529" s="2">
        <v>797500</v>
      </c>
      <c r="BN1529">
        <f>InvoiceTable[[#This Row],[Giảm giá]]*InvoiceTable[[#This Row],[Số lượng]]</f>
        <v>652500</v>
      </c>
    </row>
    <row r="1530" spans="1:66" x14ac:dyDescent="0.25">
      <c r="A1530" t="s">
        <v>65</v>
      </c>
      <c r="B1530" t="s">
        <v>3980</v>
      </c>
      <c r="F1530" s="2"/>
      <c r="G1530" s="3">
        <v>46000.584833368055</v>
      </c>
      <c r="H1530" s="3">
        <v>46000.584810335647</v>
      </c>
      <c r="I1530" s="4" t="s">
        <v>3493</v>
      </c>
      <c r="J1530" t="s">
        <v>3981</v>
      </c>
      <c r="K1530" t="s">
        <v>67</v>
      </c>
      <c r="L1530" t="s">
        <v>884</v>
      </c>
      <c r="M1530" t="s">
        <v>885</v>
      </c>
      <c r="N1530" t="s">
        <v>67</v>
      </c>
      <c r="O1530" t="s">
        <v>886</v>
      </c>
      <c r="P1530" t="s">
        <v>887</v>
      </c>
      <c r="Q1530" t="s">
        <v>67</v>
      </c>
      <c r="R1530" t="s">
        <v>67</v>
      </c>
      <c r="S1530" s="5"/>
      <c r="T1530" t="s">
        <v>72</v>
      </c>
      <c r="U1530" t="s">
        <v>102</v>
      </c>
      <c r="V1530" t="s">
        <v>74</v>
      </c>
      <c r="W1530" t="s">
        <v>87</v>
      </c>
      <c r="AE1530" s="2"/>
      <c r="AF1530" s="2"/>
      <c r="AG1530" s="2"/>
      <c r="AH1530" s="2"/>
      <c r="AK1530" t="s">
        <v>1003</v>
      </c>
      <c r="AL1530" s="2">
        <v>3510000</v>
      </c>
      <c r="AM1530" s="2">
        <v>0</v>
      </c>
      <c r="AN1530" s="2"/>
      <c r="AO1530" s="2">
        <v>0</v>
      </c>
      <c r="AP1530" s="2">
        <v>3510000</v>
      </c>
      <c r="AQ1530" s="2">
        <v>0</v>
      </c>
      <c r="AR1530" s="2">
        <v>0</v>
      </c>
      <c r="AS1530" s="2">
        <v>0</v>
      </c>
      <c r="AT1530" s="2">
        <v>0</v>
      </c>
      <c r="AU1530" s="2">
        <v>0</v>
      </c>
      <c r="AV1530" s="2">
        <v>0</v>
      </c>
      <c r="AW1530" s="4"/>
      <c r="AX1530" t="s">
        <v>75</v>
      </c>
      <c r="AZ1530" t="s">
        <v>2676</v>
      </c>
      <c r="BA1530" t="s">
        <v>67</v>
      </c>
      <c r="BB1530" t="s">
        <v>2677</v>
      </c>
      <c r="BC1530" t="s">
        <v>2678</v>
      </c>
      <c r="BD1530" t="s">
        <v>79</v>
      </c>
      <c r="BE1530" t="s">
        <v>168</v>
      </c>
      <c r="BF1530" s="5">
        <v>46388</v>
      </c>
      <c r="BH1530">
        <v>30</v>
      </c>
      <c r="BI1530" s="6">
        <v>25000</v>
      </c>
      <c r="BJ1530" s="6">
        <v>0</v>
      </c>
      <c r="BK1530" s="6">
        <v>13000</v>
      </c>
      <c r="BL1530" s="6">
        <v>12000</v>
      </c>
      <c r="BM1530" s="2">
        <v>360000</v>
      </c>
      <c r="BN1530">
        <f>InvoiceTable[[#This Row],[Giảm giá]]*InvoiceTable[[#This Row],[Số lượng]]</f>
        <v>390000</v>
      </c>
    </row>
    <row r="1531" spans="1:66" x14ac:dyDescent="0.25">
      <c r="A1531" t="s">
        <v>65</v>
      </c>
      <c r="B1531" t="s">
        <v>3980</v>
      </c>
      <c r="F1531" s="2"/>
      <c r="G1531" s="3">
        <v>46000.584833368055</v>
      </c>
      <c r="H1531" s="3">
        <v>46000.584810335647</v>
      </c>
      <c r="I1531" s="4" t="s">
        <v>3493</v>
      </c>
      <c r="J1531" t="s">
        <v>3981</v>
      </c>
      <c r="K1531" t="s">
        <v>67</v>
      </c>
      <c r="L1531" t="s">
        <v>884</v>
      </c>
      <c r="M1531" t="s">
        <v>885</v>
      </c>
      <c r="N1531" t="s">
        <v>67</v>
      </c>
      <c r="O1531" t="s">
        <v>886</v>
      </c>
      <c r="P1531" t="s">
        <v>887</v>
      </c>
      <c r="Q1531" t="s">
        <v>67</v>
      </c>
      <c r="R1531" t="s">
        <v>67</v>
      </c>
      <c r="S1531" s="5"/>
      <c r="T1531" t="s">
        <v>72</v>
      </c>
      <c r="U1531" t="s">
        <v>102</v>
      </c>
      <c r="V1531" t="s">
        <v>74</v>
      </c>
      <c r="W1531" t="s">
        <v>87</v>
      </c>
      <c r="AE1531" s="2"/>
      <c r="AF1531" s="2"/>
      <c r="AG1531" s="2"/>
      <c r="AH1531" s="2"/>
      <c r="AK1531" t="s">
        <v>1003</v>
      </c>
      <c r="AL1531" s="2">
        <v>3510000</v>
      </c>
      <c r="AM1531" s="2">
        <v>0</v>
      </c>
      <c r="AN1531" s="2"/>
      <c r="AO1531" s="2">
        <v>0</v>
      </c>
      <c r="AP1531" s="2">
        <v>3510000</v>
      </c>
      <c r="AQ1531" s="2">
        <v>0</v>
      </c>
      <c r="AR1531" s="2">
        <v>0</v>
      </c>
      <c r="AS1531" s="2">
        <v>0</v>
      </c>
      <c r="AT1531" s="2">
        <v>0</v>
      </c>
      <c r="AU1531" s="2">
        <v>0</v>
      </c>
      <c r="AV1531" s="2">
        <v>0</v>
      </c>
      <c r="AW1531" s="4"/>
      <c r="AX1531" t="s">
        <v>75</v>
      </c>
      <c r="AZ1531" t="s">
        <v>124</v>
      </c>
      <c r="BA1531" t="s">
        <v>67</v>
      </c>
      <c r="BB1531" t="s">
        <v>125</v>
      </c>
      <c r="BC1531" t="s">
        <v>126</v>
      </c>
      <c r="BD1531" t="s">
        <v>79</v>
      </c>
      <c r="BE1531" t="s">
        <v>3255</v>
      </c>
      <c r="BF1531" s="5">
        <v>46722</v>
      </c>
      <c r="BH1531">
        <v>5</v>
      </c>
      <c r="BI1531" s="6">
        <v>1200000</v>
      </c>
      <c r="BJ1531" s="6">
        <v>0</v>
      </c>
      <c r="BK1531" s="6">
        <v>570000</v>
      </c>
      <c r="BL1531" s="6">
        <v>630000</v>
      </c>
      <c r="BM1531" s="2">
        <v>3150000</v>
      </c>
      <c r="BN1531">
        <f>InvoiceTable[[#This Row],[Giảm giá]]*InvoiceTable[[#This Row],[Số lượng]]</f>
        <v>2850000</v>
      </c>
    </row>
    <row r="1532" spans="1:66" x14ac:dyDescent="0.25">
      <c r="A1532" t="s">
        <v>65</v>
      </c>
      <c r="B1532" t="s">
        <v>3982</v>
      </c>
      <c r="F1532" s="2"/>
      <c r="G1532" s="3">
        <v>46000.584508414351</v>
      </c>
      <c r="H1532" s="3">
        <v>46000.58450853009</v>
      </c>
      <c r="I1532" s="4" t="s">
        <v>67</v>
      </c>
      <c r="J1532" t="s">
        <v>3983</v>
      </c>
      <c r="K1532" t="s">
        <v>67</v>
      </c>
      <c r="L1532" t="s">
        <v>3984</v>
      </c>
      <c r="M1532" t="s">
        <v>3985</v>
      </c>
      <c r="N1532" t="s">
        <v>67</v>
      </c>
      <c r="O1532" t="s">
        <v>3986</v>
      </c>
      <c r="P1532" t="s">
        <v>3987</v>
      </c>
      <c r="Q1532" t="s">
        <v>67</v>
      </c>
      <c r="R1532" t="s">
        <v>67</v>
      </c>
      <c r="S1532" s="5"/>
      <c r="T1532" t="s">
        <v>72</v>
      </c>
      <c r="U1532" t="s">
        <v>73</v>
      </c>
      <c r="V1532" t="s">
        <v>74</v>
      </c>
      <c r="W1532" t="s">
        <v>87</v>
      </c>
      <c r="AE1532" s="2"/>
      <c r="AF1532" s="2"/>
      <c r="AG1532" s="2"/>
      <c r="AH1532" s="2"/>
      <c r="AK1532" t="s">
        <v>258</v>
      </c>
      <c r="AL1532" s="2">
        <v>6655000</v>
      </c>
      <c r="AM1532" s="2">
        <v>0</v>
      </c>
      <c r="AN1532" s="2"/>
      <c r="AO1532" s="2">
        <v>0</v>
      </c>
      <c r="AP1532" s="2">
        <v>6655000</v>
      </c>
      <c r="AQ1532" s="2">
        <v>0</v>
      </c>
      <c r="AR1532" s="2">
        <v>0</v>
      </c>
      <c r="AS1532" s="2">
        <v>0</v>
      </c>
      <c r="AT1532" s="2">
        <v>0</v>
      </c>
      <c r="AU1532" s="2">
        <v>0</v>
      </c>
      <c r="AV1532" s="2">
        <v>0</v>
      </c>
      <c r="AW1532" s="4"/>
      <c r="AX1532" t="s">
        <v>75</v>
      </c>
      <c r="AZ1532" t="s">
        <v>3988</v>
      </c>
      <c r="BA1532" t="s">
        <v>67</v>
      </c>
      <c r="BB1532" t="s">
        <v>3989</v>
      </c>
      <c r="BC1532" t="s">
        <v>3990</v>
      </c>
      <c r="BD1532" t="s">
        <v>79</v>
      </c>
      <c r="BE1532" t="s">
        <v>131</v>
      </c>
      <c r="BF1532" s="5">
        <v>46874</v>
      </c>
      <c r="BH1532">
        <v>5</v>
      </c>
      <c r="BI1532" s="6">
        <v>2420000</v>
      </c>
      <c r="BJ1532" s="6">
        <v>45</v>
      </c>
      <c r="BK1532" s="6">
        <v>1089000</v>
      </c>
      <c r="BL1532" s="6">
        <v>1331000</v>
      </c>
      <c r="BM1532" s="2">
        <v>6655000</v>
      </c>
      <c r="BN1532">
        <f>InvoiceTable[[#This Row],[Giảm giá]]*InvoiceTable[[#This Row],[Số lượng]]</f>
        <v>5445000</v>
      </c>
    </row>
    <row r="1533" spans="1:66" x14ac:dyDescent="0.25">
      <c r="A1533" t="s">
        <v>65</v>
      </c>
      <c r="B1533" t="s">
        <v>3991</v>
      </c>
      <c r="F1533" s="2"/>
      <c r="G1533" s="3">
        <v>46000.584347071759</v>
      </c>
      <c r="H1533" s="3">
        <v>46000.584347766206</v>
      </c>
      <c r="I1533" s="4" t="s">
        <v>67</v>
      </c>
      <c r="J1533" t="s">
        <v>3992</v>
      </c>
      <c r="K1533" t="s">
        <v>67</v>
      </c>
      <c r="L1533" t="s">
        <v>3993</v>
      </c>
      <c r="M1533" t="s">
        <v>3994</v>
      </c>
      <c r="N1533" t="s">
        <v>67</v>
      </c>
      <c r="O1533" t="s">
        <v>3995</v>
      </c>
      <c r="P1533" t="s">
        <v>3996</v>
      </c>
      <c r="Q1533" t="s">
        <v>67</v>
      </c>
      <c r="R1533" t="s">
        <v>67</v>
      </c>
      <c r="S1533" s="5"/>
      <c r="T1533" t="s">
        <v>72</v>
      </c>
      <c r="U1533" t="s">
        <v>102</v>
      </c>
      <c r="V1533" t="s">
        <v>74</v>
      </c>
      <c r="W1533" t="s">
        <v>87</v>
      </c>
      <c r="AE1533" s="2"/>
      <c r="AF1533" s="2"/>
      <c r="AG1533" s="2"/>
      <c r="AH1533" s="2"/>
      <c r="AK1533" t="s">
        <v>3997</v>
      </c>
      <c r="AL1533" s="2">
        <v>650000</v>
      </c>
      <c r="AM1533" s="2">
        <v>0</v>
      </c>
      <c r="AN1533" s="2"/>
      <c r="AO1533" s="2">
        <v>0</v>
      </c>
      <c r="AP1533" s="2">
        <v>650000</v>
      </c>
      <c r="AQ1533" s="2">
        <v>0</v>
      </c>
      <c r="AR1533" s="2">
        <v>0</v>
      </c>
      <c r="AS1533" s="2">
        <v>0</v>
      </c>
      <c r="AT1533" s="2">
        <v>0</v>
      </c>
      <c r="AU1533" s="2">
        <v>0</v>
      </c>
      <c r="AV1533" s="2">
        <v>0</v>
      </c>
      <c r="AW1533" s="4"/>
      <c r="AX1533" t="s">
        <v>75</v>
      </c>
      <c r="AZ1533" t="s">
        <v>659</v>
      </c>
      <c r="BA1533" t="s">
        <v>67</v>
      </c>
      <c r="BB1533" t="s">
        <v>660</v>
      </c>
      <c r="BC1533" t="s">
        <v>223</v>
      </c>
      <c r="BD1533" t="s">
        <v>79</v>
      </c>
      <c r="BE1533" t="s">
        <v>661</v>
      </c>
      <c r="BF1533" s="5">
        <v>47025</v>
      </c>
      <c r="BH1533">
        <v>1</v>
      </c>
      <c r="BI1533" s="6">
        <v>1250000</v>
      </c>
      <c r="BJ1533" s="6">
        <v>48</v>
      </c>
      <c r="BK1533" s="6">
        <v>600000</v>
      </c>
      <c r="BL1533" s="6">
        <v>650000</v>
      </c>
      <c r="BM1533" s="2">
        <v>650000</v>
      </c>
      <c r="BN1533">
        <f>InvoiceTable[[#This Row],[Giảm giá]]*InvoiceTable[[#This Row],[Số lượng]]</f>
        <v>600000</v>
      </c>
    </row>
    <row r="1534" spans="1:66" x14ac:dyDescent="0.25">
      <c r="A1534" t="s">
        <v>65</v>
      </c>
      <c r="B1534" t="s">
        <v>3998</v>
      </c>
      <c r="F1534" s="2"/>
      <c r="G1534" s="3">
        <v>46000.570721412034</v>
      </c>
      <c r="H1534" s="3">
        <v>46000.570582604167</v>
      </c>
      <c r="I1534" s="4" t="s">
        <v>1515</v>
      </c>
      <c r="J1534" t="s">
        <v>67</v>
      </c>
      <c r="K1534" t="s">
        <v>67</v>
      </c>
      <c r="L1534" t="s">
        <v>3999</v>
      </c>
      <c r="M1534" t="s">
        <v>4000</v>
      </c>
      <c r="N1534" t="s">
        <v>4001</v>
      </c>
      <c r="O1534" t="s">
        <v>4002</v>
      </c>
      <c r="P1534" t="s">
        <v>4003</v>
      </c>
      <c r="S1534" s="5"/>
      <c r="T1534" t="s">
        <v>72</v>
      </c>
      <c r="U1534" t="s">
        <v>102</v>
      </c>
      <c r="V1534" t="s">
        <v>74</v>
      </c>
      <c r="W1534" t="s">
        <v>102</v>
      </c>
      <c r="AE1534" s="2"/>
      <c r="AF1534" s="2"/>
      <c r="AG1534" s="2"/>
      <c r="AH1534" s="2"/>
      <c r="AL1534" s="2">
        <v>690000</v>
      </c>
      <c r="AM1534" s="2">
        <v>0</v>
      </c>
      <c r="AN1534" s="2"/>
      <c r="AO1534" s="2">
        <v>0</v>
      </c>
      <c r="AP1534" s="2">
        <v>690000</v>
      </c>
      <c r="AQ1534" s="2">
        <v>0</v>
      </c>
      <c r="AR1534" s="2">
        <v>0</v>
      </c>
      <c r="AS1534" s="2">
        <v>0</v>
      </c>
      <c r="AT1534" s="2">
        <v>0</v>
      </c>
      <c r="AU1534" s="2">
        <v>0</v>
      </c>
      <c r="AV1534" s="2">
        <v>0</v>
      </c>
      <c r="AW1534" s="4"/>
      <c r="AX1534" t="s">
        <v>75</v>
      </c>
      <c r="AZ1534" t="s">
        <v>1181</v>
      </c>
      <c r="BA1534" t="s">
        <v>67</v>
      </c>
      <c r="BB1534" t="s">
        <v>1182</v>
      </c>
      <c r="BC1534" t="s">
        <v>1183</v>
      </c>
      <c r="BD1534" t="s">
        <v>79</v>
      </c>
      <c r="BE1534" t="s">
        <v>715</v>
      </c>
      <c r="BF1534" s="5">
        <v>46631</v>
      </c>
      <c r="BG1534" t="s">
        <v>67</v>
      </c>
      <c r="BH1534">
        <v>1</v>
      </c>
      <c r="BI1534" s="6">
        <v>1380000</v>
      </c>
      <c r="BJ1534" s="6">
        <v>50</v>
      </c>
      <c r="BK1534" s="6">
        <v>690000</v>
      </c>
      <c r="BL1534" s="6">
        <v>690000</v>
      </c>
      <c r="BM1534" s="2">
        <v>690000</v>
      </c>
      <c r="BN1534">
        <f>InvoiceTable[[#This Row],[Giảm giá]]*InvoiceTable[[#This Row],[Số lượng]]</f>
        <v>690000</v>
      </c>
    </row>
    <row r="1535" spans="1:66" x14ac:dyDescent="0.25">
      <c r="A1535" t="s">
        <v>65</v>
      </c>
      <c r="B1535" t="s">
        <v>4004</v>
      </c>
      <c r="F1535" s="2"/>
      <c r="G1535" s="3">
        <v>46000.566167280092</v>
      </c>
      <c r="H1535" s="3">
        <v>46000.566167476849</v>
      </c>
      <c r="I1535" s="4" t="s">
        <v>67</v>
      </c>
      <c r="J1535" t="s">
        <v>67</v>
      </c>
      <c r="K1535" t="s">
        <v>67</v>
      </c>
      <c r="L1535" t="s">
        <v>933</v>
      </c>
      <c r="M1535" t="s">
        <v>934</v>
      </c>
      <c r="N1535" t="s">
        <v>67</v>
      </c>
      <c r="O1535" t="s">
        <v>935</v>
      </c>
      <c r="S1535" s="5"/>
      <c r="T1535" t="s">
        <v>72</v>
      </c>
      <c r="U1535" t="s">
        <v>87</v>
      </c>
      <c r="V1535" t="s">
        <v>74</v>
      </c>
      <c r="W1535" t="s">
        <v>87</v>
      </c>
      <c r="AE1535" s="2"/>
      <c r="AF1535" s="2"/>
      <c r="AG1535" s="2"/>
      <c r="AH1535" s="2"/>
      <c r="AK1535" t="s">
        <v>4005</v>
      </c>
      <c r="AL1535" s="2">
        <v>1869200</v>
      </c>
      <c r="AM1535" s="2">
        <v>0</v>
      </c>
      <c r="AN1535" s="2"/>
      <c r="AO1535" s="2">
        <v>0</v>
      </c>
      <c r="AP1535" s="2">
        <v>1869200</v>
      </c>
      <c r="AQ1535" s="2">
        <v>1869200</v>
      </c>
      <c r="AR1535" s="2">
        <v>0</v>
      </c>
      <c r="AS1535" s="2">
        <v>0</v>
      </c>
      <c r="AT1535" s="2">
        <v>0</v>
      </c>
      <c r="AU1535" s="2">
        <v>1869200</v>
      </c>
      <c r="AV1535" s="2">
        <v>0</v>
      </c>
      <c r="AW1535" s="4"/>
      <c r="AX1535" t="s">
        <v>75</v>
      </c>
      <c r="AZ1535" t="s">
        <v>1365</v>
      </c>
      <c r="BA1535" t="s">
        <v>67</v>
      </c>
      <c r="BB1535" t="s">
        <v>1366</v>
      </c>
      <c r="BC1535" t="s">
        <v>939</v>
      </c>
      <c r="BD1535" t="s">
        <v>79</v>
      </c>
      <c r="BE1535" t="s">
        <v>317</v>
      </c>
      <c r="BF1535" s="5">
        <v>46935</v>
      </c>
      <c r="BH1535">
        <v>1</v>
      </c>
      <c r="BI1535" s="6">
        <v>790000</v>
      </c>
      <c r="BJ1535" s="6">
        <v>38</v>
      </c>
      <c r="BK1535" s="6">
        <v>300200</v>
      </c>
      <c r="BL1535" s="6">
        <v>489800</v>
      </c>
      <c r="BM1535" s="2">
        <v>489800</v>
      </c>
      <c r="BN1535">
        <f>InvoiceTable[[#This Row],[Giảm giá]]*InvoiceTable[[#This Row],[Số lượng]]</f>
        <v>300200</v>
      </c>
    </row>
    <row r="1536" spans="1:66" x14ac:dyDescent="0.25">
      <c r="A1536" t="s">
        <v>65</v>
      </c>
      <c r="B1536" t="s">
        <v>4004</v>
      </c>
      <c r="F1536" s="2"/>
      <c r="G1536" s="3">
        <v>46000.566167280092</v>
      </c>
      <c r="H1536" s="3">
        <v>46000.566167476849</v>
      </c>
      <c r="I1536" s="4" t="s">
        <v>67</v>
      </c>
      <c r="J1536" t="s">
        <v>67</v>
      </c>
      <c r="K1536" t="s">
        <v>67</v>
      </c>
      <c r="L1536" t="s">
        <v>933</v>
      </c>
      <c r="M1536" t="s">
        <v>934</v>
      </c>
      <c r="N1536" t="s">
        <v>67</v>
      </c>
      <c r="O1536" t="s">
        <v>935</v>
      </c>
      <c r="S1536" s="5"/>
      <c r="T1536" t="s">
        <v>72</v>
      </c>
      <c r="U1536" t="s">
        <v>87</v>
      </c>
      <c r="V1536" t="s">
        <v>74</v>
      </c>
      <c r="W1536" t="s">
        <v>87</v>
      </c>
      <c r="AE1536" s="2"/>
      <c r="AF1536" s="2"/>
      <c r="AG1536" s="2"/>
      <c r="AH1536" s="2"/>
      <c r="AK1536" t="s">
        <v>4005</v>
      </c>
      <c r="AL1536" s="2">
        <v>1869200</v>
      </c>
      <c r="AM1536" s="2">
        <v>0</v>
      </c>
      <c r="AN1536" s="2"/>
      <c r="AO1536" s="2">
        <v>0</v>
      </c>
      <c r="AP1536" s="2">
        <v>1869200</v>
      </c>
      <c r="AQ1536" s="2">
        <v>1869200</v>
      </c>
      <c r="AR1536" s="2">
        <v>0</v>
      </c>
      <c r="AS1536" s="2">
        <v>0</v>
      </c>
      <c r="AT1536" s="2">
        <v>0</v>
      </c>
      <c r="AU1536" s="2">
        <v>1869200</v>
      </c>
      <c r="AV1536" s="2">
        <v>0</v>
      </c>
      <c r="AW1536" s="4"/>
      <c r="AX1536" t="s">
        <v>75</v>
      </c>
      <c r="AZ1536" t="s">
        <v>4006</v>
      </c>
      <c r="BA1536" t="s">
        <v>67</v>
      </c>
      <c r="BB1536" t="s">
        <v>4007</v>
      </c>
      <c r="BC1536" t="s">
        <v>3990</v>
      </c>
      <c r="BD1536" t="s">
        <v>79</v>
      </c>
      <c r="BE1536" t="s">
        <v>131</v>
      </c>
      <c r="BF1536" s="5">
        <v>46874</v>
      </c>
      <c r="BH1536">
        <v>1</v>
      </c>
      <c r="BI1536" s="6">
        <v>2420000</v>
      </c>
      <c r="BJ1536" s="6">
        <v>43</v>
      </c>
      <c r="BK1536" s="6">
        <v>1040600</v>
      </c>
      <c r="BL1536" s="6">
        <v>1379400</v>
      </c>
      <c r="BM1536" s="2">
        <v>1379400</v>
      </c>
      <c r="BN1536">
        <f>InvoiceTable[[#This Row],[Giảm giá]]*InvoiceTable[[#This Row],[Số lượng]]</f>
        <v>1040600</v>
      </c>
    </row>
    <row r="1537" spans="1:66" x14ac:dyDescent="0.25">
      <c r="A1537" t="s">
        <v>65</v>
      </c>
      <c r="B1537" t="s">
        <v>4008</v>
      </c>
      <c r="F1537" s="2"/>
      <c r="G1537" s="3">
        <v>46000.542245486111</v>
      </c>
      <c r="H1537" s="3">
        <v>46000.542245567129</v>
      </c>
      <c r="I1537" s="4" t="s">
        <v>67</v>
      </c>
      <c r="J1537" t="s">
        <v>67</v>
      </c>
      <c r="K1537" t="s">
        <v>67</v>
      </c>
      <c r="L1537" t="s">
        <v>569</v>
      </c>
      <c r="M1537" t="s">
        <v>570</v>
      </c>
      <c r="N1537" t="s">
        <v>67</v>
      </c>
      <c r="O1537" t="s">
        <v>571</v>
      </c>
      <c r="P1537" t="s">
        <v>572</v>
      </c>
      <c r="S1537" s="5"/>
      <c r="T1537" t="s">
        <v>72</v>
      </c>
      <c r="U1537" t="s">
        <v>87</v>
      </c>
      <c r="V1537" t="s">
        <v>74</v>
      </c>
      <c r="W1537" t="s">
        <v>87</v>
      </c>
      <c r="AE1537" s="2"/>
      <c r="AF1537" s="2"/>
      <c r="AG1537" s="2"/>
      <c r="AH1537" s="2"/>
      <c r="AK1537" t="s">
        <v>4009</v>
      </c>
      <c r="AL1537" s="2">
        <v>284760</v>
      </c>
      <c r="AM1537" s="2">
        <v>0</v>
      </c>
      <c r="AN1537" s="2"/>
      <c r="AO1537" s="2">
        <v>0</v>
      </c>
      <c r="AP1537" s="2">
        <v>284760</v>
      </c>
      <c r="AQ1537" s="2">
        <v>0</v>
      </c>
      <c r="AR1537" s="2">
        <v>0</v>
      </c>
      <c r="AS1537" s="2">
        <v>0</v>
      </c>
      <c r="AT1537" s="2">
        <v>0</v>
      </c>
      <c r="AU1537" s="2">
        <v>0</v>
      </c>
      <c r="AV1537" s="2">
        <v>0</v>
      </c>
      <c r="AW1537" s="4"/>
      <c r="AX1537" t="s">
        <v>75</v>
      </c>
      <c r="AZ1537" t="s">
        <v>4010</v>
      </c>
      <c r="BA1537" t="s">
        <v>67</v>
      </c>
      <c r="BB1537" t="s">
        <v>4011</v>
      </c>
      <c r="BC1537" t="s">
        <v>93</v>
      </c>
      <c r="BD1537" t="s">
        <v>79</v>
      </c>
      <c r="BE1537" t="s">
        <v>131</v>
      </c>
      <c r="BF1537" s="5">
        <v>46874</v>
      </c>
      <c r="BH1537">
        <v>1</v>
      </c>
      <c r="BI1537" s="6">
        <v>452000</v>
      </c>
      <c r="BJ1537" s="6">
        <v>37</v>
      </c>
      <c r="BK1537" s="6">
        <v>167240</v>
      </c>
      <c r="BL1537" s="6">
        <v>284760</v>
      </c>
      <c r="BM1537" s="2">
        <v>284760</v>
      </c>
      <c r="BN1537">
        <f>InvoiceTable[[#This Row],[Giảm giá]]*InvoiceTable[[#This Row],[Số lượng]]</f>
        <v>167240</v>
      </c>
    </row>
    <row r="1538" spans="1:66" x14ac:dyDescent="0.25">
      <c r="A1538" t="s">
        <v>65</v>
      </c>
      <c r="B1538" t="s">
        <v>4012</v>
      </c>
      <c r="F1538" s="2"/>
      <c r="G1538" s="3">
        <v>46000.541739201391</v>
      </c>
      <c r="H1538" s="3">
        <v>46000.541739351851</v>
      </c>
      <c r="I1538" s="4" t="s">
        <v>67</v>
      </c>
      <c r="J1538" t="s">
        <v>67</v>
      </c>
      <c r="K1538" t="s">
        <v>67</v>
      </c>
      <c r="L1538" t="s">
        <v>569</v>
      </c>
      <c r="M1538" t="s">
        <v>570</v>
      </c>
      <c r="N1538" t="s">
        <v>67</v>
      </c>
      <c r="O1538" t="s">
        <v>571</v>
      </c>
      <c r="P1538" t="s">
        <v>572</v>
      </c>
      <c r="S1538" s="5"/>
      <c r="T1538" t="s">
        <v>72</v>
      </c>
      <c r="U1538" t="s">
        <v>87</v>
      </c>
      <c r="V1538" t="s">
        <v>74</v>
      </c>
      <c r="W1538" t="s">
        <v>87</v>
      </c>
      <c r="AE1538" s="2"/>
      <c r="AF1538" s="2"/>
      <c r="AG1538" s="2"/>
      <c r="AH1538" s="2"/>
      <c r="AK1538" t="s">
        <v>4013</v>
      </c>
      <c r="AL1538" s="2">
        <v>544500</v>
      </c>
      <c r="AM1538" s="2">
        <v>0</v>
      </c>
      <c r="AN1538" s="2"/>
      <c r="AO1538" s="2">
        <v>0</v>
      </c>
      <c r="AP1538" s="2">
        <v>544500</v>
      </c>
      <c r="AQ1538" s="2">
        <v>0</v>
      </c>
      <c r="AR1538" s="2">
        <v>0</v>
      </c>
      <c r="AS1538" s="2">
        <v>0</v>
      </c>
      <c r="AT1538" s="2">
        <v>0</v>
      </c>
      <c r="AU1538" s="2">
        <v>0</v>
      </c>
      <c r="AV1538" s="2">
        <v>0</v>
      </c>
      <c r="AW1538" s="4"/>
      <c r="AX1538" t="s">
        <v>75</v>
      </c>
      <c r="AZ1538" t="s">
        <v>1470</v>
      </c>
      <c r="BA1538" t="s">
        <v>67</v>
      </c>
      <c r="BB1538" t="s">
        <v>1471</v>
      </c>
      <c r="BC1538" t="s">
        <v>204</v>
      </c>
      <c r="BD1538" t="s">
        <v>79</v>
      </c>
      <c r="BE1538" t="s">
        <v>139</v>
      </c>
      <c r="BF1538" s="5">
        <v>46447</v>
      </c>
      <c r="BH1538">
        <v>3</v>
      </c>
      <c r="BI1538" s="6">
        <v>330000</v>
      </c>
      <c r="BJ1538" s="6">
        <v>45</v>
      </c>
      <c r="BK1538" s="6">
        <v>148500</v>
      </c>
      <c r="BL1538" s="6">
        <v>181500</v>
      </c>
      <c r="BM1538" s="2">
        <v>544500</v>
      </c>
      <c r="BN1538">
        <f>InvoiceTable[[#This Row],[Giảm giá]]*InvoiceTable[[#This Row],[Số lượng]]</f>
        <v>445500</v>
      </c>
    </row>
    <row r="1539" spans="1:66" x14ac:dyDescent="0.25">
      <c r="A1539" t="s">
        <v>65</v>
      </c>
      <c r="B1539" t="s">
        <v>4014</v>
      </c>
      <c r="F1539" s="2"/>
      <c r="G1539" s="3">
        <v>46000.540510416664</v>
      </c>
      <c r="H1539" s="3">
        <v>46000.54051053241</v>
      </c>
      <c r="I1539" s="4" t="s">
        <v>67</v>
      </c>
      <c r="J1539" t="s">
        <v>4015</v>
      </c>
      <c r="K1539" t="s">
        <v>67</v>
      </c>
      <c r="L1539" t="s">
        <v>1015</v>
      </c>
      <c r="M1539" t="s">
        <v>1016</v>
      </c>
      <c r="N1539" t="s">
        <v>67</v>
      </c>
      <c r="O1539" t="s">
        <v>1017</v>
      </c>
      <c r="P1539" t="s">
        <v>1018</v>
      </c>
      <c r="S1539" s="5"/>
      <c r="T1539" t="s">
        <v>72</v>
      </c>
      <c r="U1539" t="s">
        <v>102</v>
      </c>
      <c r="V1539" t="s">
        <v>74</v>
      </c>
      <c r="W1539" t="s">
        <v>87</v>
      </c>
      <c r="AE1539" s="2"/>
      <c r="AF1539" s="2"/>
      <c r="AG1539" s="2"/>
      <c r="AH1539" s="2"/>
      <c r="AL1539" s="2">
        <v>3025000</v>
      </c>
      <c r="AM1539" s="2">
        <v>0</v>
      </c>
      <c r="AN1539" s="2"/>
      <c r="AO1539" s="2">
        <v>0</v>
      </c>
      <c r="AP1539" s="2">
        <v>3025000</v>
      </c>
      <c r="AQ1539" s="2">
        <v>0</v>
      </c>
      <c r="AR1539" s="2">
        <v>0</v>
      </c>
      <c r="AS1539" s="2">
        <v>0</v>
      </c>
      <c r="AT1539" s="2">
        <v>0</v>
      </c>
      <c r="AU1539" s="2">
        <v>0</v>
      </c>
      <c r="AV1539" s="2">
        <v>0</v>
      </c>
      <c r="AW1539" s="4"/>
      <c r="AX1539" t="s">
        <v>75</v>
      </c>
      <c r="AZ1539" t="s">
        <v>1804</v>
      </c>
      <c r="BA1539" t="s">
        <v>67</v>
      </c>
      <c r="BB1539" t="s">
        <v>1805</v>
      </c>
      <c r="BC1539" t="s">
        <v>138</v>
      </c>
      <c r="BD1539" t="s">
        <v>79</v>
      </c>
      <c r="BE1539" t="s">
        <v>159</v>
      </c>
      <c r="BF1539" s="5">
        <v>46478</v>
      </c>
      <c r="BG1539" t="s">
        <v>67</v>
      </c>
      <c r="BH1539">
        <v>1</v>
      </c>
      <c r="BI1539" s="6">
        <v>5500000</v>
      </c>
      <c r="BJ1539" s="6">
        <v>45</v>
      </c>
      <c r="BK1539" s="6">
        <v>2475000</v>
      </c>
      <c r="BL1539" s="6">
        <v>3025000</v>
      </c>
      <c r="BM1539" s="2">
        <v>3025000</v>
      </c>
      <c r="BN1539">
        <f>InvoiceTable[[#This Row],[Giảm giá]]*InvoiceTable[[#This Row],[Số lượng]]</f>
        <v>2475000</v>
      </c>
    </row>
    <row r="1540" spans="1:66" x14ac:dyDescent="0.25">
      <c r="A1540" t="s">
        <v>65</v>
      </c>
      <c r="B1540" t="s">
        <v>4016</v>
      </c>
      <c r="F1540" s="2"/>
      <c r="G1540" s="3">
        <v>46000.540340706022</v>
      </c>
      <c r="H1540" s="3">
        <v>46000.540340891203</v>
      </c>
      <c r="I1540" s="4" t="s">
        <v>67</v>
      </c>
      <c r="J1540" t="s">
        <v>4017</v>
      </c>
      <c r="K1540" t="s">
        <v>67</v>
      </c>
      <c r="L1540" t="s">
        <v>2474</v>
      </c>
      <c r="M1540" t="s">
        <v>2475</v>
      </c>
      <c r="N1540" t="s">
        <v>67</v>
      </c>
      <c r="O1540" t="s">
        <v>2476</v>
      </c>
      <c r="P1540" t="s">
        <v>2477</v>
      </c>
      <c r="S1540" s="5"/>
      <c r="T1540" t="s">
        <v>72</v>
      </c>
      <c r="U1540" t="s">
        <v>73</v>
      </c>
      <c r="V1540" t="s">
        <v>74</v>
      </c>
      <c r="W1540" t="s">
        <v>87</v>
      </c>
      <c r="AE1540" s="2"/>
      <c r="AF1540" s="2"/>
      <c r="AG1540" s="2"/>
      <c r="AH1540" s="2"/>
      <c r="AK1540" t="s">
        <v>4018</v>
      </c>
      <c r="AL1540" s="2">
        <v>459000</v>
      </c>
      <c r="AM1540" s="2">
        <v>0</v>
      </c>
      <c r="AN1540" s="2"/>
      <c r="AO1540" s="2">
        <v>0</v>
      </c>
      <c r="AP1540" s="2">
        <v>459000</v>
      </c>
      <c r="AQ1540" s="2">
        <v>459000</v>
      </c>
      <c r="AR1540" s="2">
        <v>459000</v>
      </c>
      <c r="AS1540" s="2">
        <v>0</v>
      </c>
      <c r="AT1540" s="2">
        <v>0</v>
      </c>
      <c r="AU1540" s="2">
        <v>0</v>
      </c>
      <c r="AV1540" s="2">
        <v>0</v>
      </c>
      <c r="AW1540" s="4"/>
      <c r="AX1540" t="s">
        <v>75</v>
      </c>
      <c r="AZ1540" t="s">
        <v>4019</v>
      </c>
      <c r="BA1540" t="s">
        <v>67</v>
      </c>
      <c r="BB1540" t="s">
        <v>4020</v>
      </c>
      <c r="BC1540" t="s">
        <v>2425</v>
      </c>
      <c r="BD1540" t="s">
        <v>79</v>
      </c>
      <c r="BE1540" t="s">
        <v>4021</v>
      </c>
      <c r="BF1540" s="5">
        <v>47013</v>
      </c>
      <c r="BG1540" t="s">
        <v>67</v>
      </c>
      <c r="BH1540">
        <v>1</v>
      </c>
      <c r="BI1540" s="6">
        <v>385000</v>
      </c>
      <c r="BJ1540" s="6">
        <v>40</v>
      </c>
      <c r="BK1540" s="6">
        <v>154000</v>
      </c>
      <c r="BL1540" s="6">
        <v>231000</v>
      </c>
      <c r="BM1540" s="2">
        <v>231000</v>
      </c>
      <c r="BN1540">
        <f>InvoiceTable[[#This Row],[Giảm giá]]*InvoiceTable[[#This Row],[Số lượng]]</f>
        <v>154000</v>
      </c>
    </row>
    <row r="1541" spans="1:66" x14ac:dyDescent="0.25">
      <c r="A1541" t="s">
        <v>65</v>
      </c>
      <c r="B1541" t="s">
        <v>4016</v>
      </c>
      <c r="F1541" s="2"/>
      <c r="G1541" s="3">
        <v>46000.540340706022</v>
      </c>
      <c r="H1541" s="3">
        <v>46000.540340891203</v>
      </c>
      <c r="I1541" s="4" t="s">
        <v>67</v>
      </c>
      <c r="J1541" t="s">
        <v>4017</v>
      </c>
      <c r="K1541" t="s">
        <v>67</v>
      </c>
      <c r="L1541" t="s">
        <v>2474</v>
      </c>
      <c r="M1541" t="s">
        <v>2475</v>
      </c>
      <c r="N1541" t="s">
        <v>67</v>
      </c>
      <c r="O1541" t="s">
        <v>2476</v>
      </c>
      <c r="P1541" t="s">
        <v>2477</v>
      </c>
      <c r="S1541" s="5"/>
      <c r="T1541" t="s">
        <v>72</v>
      </c>
      <c r="U1541" t="s">
        <v>73</v>
      </c>
      <c r="V1541" t="s">
        <v>74</v>
      </c>
      <c r="W1541" t="s">
        <v>87</v>
      </c>
      <c r="AE1541" s="2"/>
      <c r="AF1541" s="2"/>
      <c r="AG1541" s="2"/>
      <c r="AH1541" s="2"/>
      <c r="AK1541" t="s">
        <v>4018</v>
      </c>
      <c r="AL1541" s="2">
        <v>459000</v>
      </c>
      <c r="AM1541" s="2">
        <v>0</v>
      </c>
      <c r="AN1541" s="2"/>
      <c r="AO1541" s="2">
        <v>0</v>
      </c>
      <c r="AP1541" s="2">
        <v>459000</v>
      </c>
      <c r="AQ1541" s="2">
        <v>459000</v>
      </c>
      <c r="AR1541" s="2">
        <v>459000</v>
      </c>
      <c r="AS1541" s="2">
        <v>0</v>
      </c>
      <c r="AT1541" s="2">
        <v>0</v>
      </c>
      <c r="AU1541" s="2">
        <v>0</v>
      </c>
      <c r="AV1541" s="2">
        <v>0</v>
      </c>
      <c r="AW1541" s="4"/>
      <c r="AX1541" t="s">
        <v>75</v>
      </c>
      <c r="AZ1541" t="s">
        <v>4022</v>
      </c>
      <c r="BA1541" t="s">
        <v>67</v>
      </c>
      <c r="BB1541" t="s">
        <v>4023</v>
      </c>
      <c r="BC1541" t="s">
        <v>2425</v>
      </c>
      <c r="BD1541" t="s">
        <v>79</v>
      </c>
      <c r="BE1541" t="s">
        <v>4024</v>
      </c>
      <c r="BF1541" s="5">
        <v>46987</v>
      </c>
      <c r="BG1541" t="s">
        <v>67</v>
      </c>
      <c r="BH1541">
        <v>1</v>
      </c>
      <c r="BI1541" s="6">
        <v>380000</v>
      </c>
      <c r="BJ1541" s="6">
        <v>40</v>
      </c>
      <c r="BK1541" s="6">
        <v>152000</v>
      </c>
      <c r="BL1541" s="6">
        <v>228000</v>
      </c>
      <c r="BM1541" s="2">
        <v>228000</v>
      </c>
      <c r="BN1541">
        <f>InvoiceTable[[#This Row],[Giảm giá]]*InvoiceTable[[#This Row],[Số lượng]]</f>
        <v>152000</v>
      </c>
    </row>
    <row r="1542" spans="1:66" x14ac:dyDescent="0.25">
      <c r="A1542" t="s">
        <v>65</v>
      </c>
      <c r="B1542" t="s">
        <v>4025</v>
      </c>
      <c r="F1542" s="2"/>
      <c r="G1542" s="3">
        <v>46000.540231979168</v>
      </c>
      <c r="H1542" s="3">
        <v>46000.540185879632</v>
      </c>
      <c r="I1542" s="4" t="s">
        <v>3281</v>
      </c>
      <c r="J1542" t="s">
        <v>4026</v>
      </c>
      <c r="K1542" t="s">
        <v>67</v>
      </c>
      <c r="L1542" t="s">
        <v>4027</v>
      </c>
      <c r="M1542" t="s">
        <v>4028</v>
      </c>
      <c r="N1542" t="s">
        <v>67</v>
      </c>
      <c r="O1542" t="s">
        <v>4029</v>
      </c>
      <c r="P1542" t="s">
        <v>4030</v>
      </c>
      <c r="Q1542" t="s">
        <v>67</v>
      </c>
      <c r="R1542" t="s">
        <v>67</v>
      </c>
      <c r="S1542" s="5"/>
      <c r="T1542" t="s">
        <v>72</v>
      </c>
      <c r="U1542" t="s">
        <v>1031</v>
      </c>
      <c r="V1542" t="s">
        <v>74</v>
      </c>
      <c r="W1542" t="s">
        <v>87</v>
      </c>
      <c r="AE1542" s="2"/>
      <c r="AF1542" s="2"/>
      <c r="AG1542" s="2"/>
      <c r="AH1542" s="2"/>
      <c r="AK1542" t="s">
        <v>2132</v>
      </c>
      <c r="AL1542" s="2">
        <v>2408000</v>
      </c>
      <c r="AM1542" s="2">
        <v>0</v>
      </c>
      <c r="AN1542" s="2"/>
      <c r="AO1542" s="2">
        <v>0</v>
      </c>
      <c r="AP1542" s="2">
        <v>2408000</v>
      </c>
      <c r="AQ1542" s="2">
        <v>0</v>
      </c>
      <c r="AR1542" s="2">
        <v>0</v>
      </c>
      <c r="AS1542" s="2">
        <v>0</v>
      </c>
      <c r="AT1542" s="2">
        <v>0</v>
      </c>
      <c r="AU1542" s="2">
        <v>0</v>
      </c>
      <c r="AV1542" s="2">
        <v>0</v>
      </c>
      <c r="AW1542" s="4"/>
      <c r="AX1542" t="s">
        <v>75</v>
      </c>
      <c r="AZ1542" t="s">
        <v>3112</v>
      </c>
      <c r="BA1542" t="s">
        <v>67</v>
      </c>
      <c r="BB1542" t="s">
        <v>3113</v>
      </c>
      <c r="BC1542" t="s">
        <v>3114</v>
      </c>
      <c r="BD1542" t="s">
        <v>79</v>
      </c>
      <c r="BE1542" t="s">
        <v>715</v>
      </c>
      <c r="BF1542" s="5">
        <v>46631</v>
      </c>
      <c r="BG1542" t="s">
        <v>67</v>
      </c>
      <c r="BH1542">
        <v>1</v>
      </c>
      <c r="BI1542" s="6">
        <v>2800000</v>
      </c>
      <c r="BJ1542" s="6">
        <v>35</v>
      </c>
      <c r="BK1542" s="6">
        <v>980000</v>
      </c>
      <c r="BL1542" s="6">
        <v>1820000</v>
      </c>
      <c r="BM1542" s="2">
        <v>1820000</v>
      </c>
      <c r="BN1542">
        <f>InvoiceTable[[#This Row],[Giảm giá]]*InvoiceTable[[#This Row],[Số lượng]]</f>
        <v>980000</v>
      </c>
    </row>
    <row r="1543" spans="1:66" x14ac:dyDescent="0.25">
      <c r="A1543" t="s">
        <v>65</v>
      </c>
      <c r="B1543" t="s">
        <v>4025</v>
      </c>
      <c r="F1543" s="2"/>
      <c r="G1543" s="3">
        <v>46000.540231979168</v>
      </c>
      <c r="H1543" s="3">
        <v>46000.540185879632</v>
      </c>
      <c r="I1543" s="4" t="s">
        <v>3281</v>
      </c>
      <c r="J1543" t="s">
        <v>4026</v>
      </c>
      <c r="K1543" t="s">
        <v>67</v>
      </c>
      <c r="L1543" t="s">
        <v>4027</v>
      </c>
      <c r="M1543" t="s">
        <v>4028</v>
      </c>
      <c r="N1543" t="s">
        <v>67</v>
      </c>
      <c r="O1543" t="s">
        <v>4029</v>
      </c>
      <c r="P1543" t="s">
        <v>4030</v>
      </c>
      <c r="Q1543" t="s">
        <v>67</v>
      </c>
      <c r="R1543" t="s">
        <v>67</v>
      </c>
      <c r="S1543" s="5"/>
      <c r="T1543" t="s">
        <v>72</v>
      </c>
      <c r="U1543" t="s">
        <v>1031</v>
      </c>
      <c r="V1543" t="s">
        <v>74</v>
      </c>
      <c r="W1543" t="s">
        <v>87</v>
      </c>
      <c r="AE1543" s="2"/>
      <c r="AF1543" s="2"/>
      <c r="AG1543" s="2"/>
      <c r="AH1543" s="2"/>
      <c r="AK1543" t="s">
        <v>2132</v>
      </c>
      <c r="AL1543" s="2">
        <v>2408000</v>
      </c>
      <c r="AM1543" s="2">
        <v>0</v>
      </c>
      <c r="AN1543" s="2"/>
      <c r="AO1543" s="2">
        <v>0</v>
      </c>
      <c r="AP1543" s="2">
        <v>2408000</v>
      </c>
      <c r="AQ1543" s="2">
        <v>0</v>
      </c>
      <c r="AR1543" s="2">
        <v>0</v>
      </c>
      <c r="AS1543" s="2">
        <v>0</v>
      </c>
      <c r="AT1543" s="2">
        <v>0</v>
      </c>
      <c r="AU1543" s="2">
        <v>0</v>
      </c>
      <c r="AV1543" s="2">
        <v>0</v>
      </c>
      <c r="AW1543" s="4"/>
      <c r="AX1543" t="s">
        <v>75</v>
      </c>
      <c r="AZ1543" t="s">
        <v>1162</v>
      </c>
      <c r="BA1543" t="s">
        <v>67</v>
      </c>
      <c r="BB1543" t="s">
        <v>1163</v>
      </c>
      <c r="BC1543" t="s">
        <v>1164</v>
      </c>
      <c r="BD1543" t="s">
        <v>79</v>
      </c>
      <c r="BE1543" t="s">
        <v>145</v>
      </c>
      <c r="BF1543" s="5">
        <v>46508</v>
      </c>
      <c r="BG1543" t="s">
        <v>67</v>
      </c>
      <c r="BH1543">
        <v>1</v>
      </c>
      <c r="BI1543" s="6">
        <v>980000</v>
      </c>
      <c r="BJ1543" s="6">
        <v>40</v>
      </c>
      <c r="BK1543" s="6">
        <v>392000</v>
      </c>
      <c r="BL1543" s="6">
        <v>588000</v>
      </c>
      <c r="BM1543" s="2">
        <v>588000</v>
      </c>
      <c r="BN1543">
        <f>InvoiceTable[[#This Row],[Giảm giá]]*InvoiceTable[[#This Row],[Số lượng]]</f>
        <v>392000</v>
      </c>
    </row>
    <row r="1544" spans="1:66" x14ac:dyDescent="0.25">
      <c r="A1544" t="s">
        <v>65</v>
      </c>
      <c r="B1544" t="s">
        <v>4031</v>
      </c>
      <c r="F1544" s="2"/>
      <c r="G1544" s="3">
        <v>46000.540010335651</v>
      </c>
      <c r="H1544" s="3">
        <v>46000.54001045139</v>
      </c>
      <c r="I1544" s="4" t="s">
        <v>67</v>
      </c>
      <c r="J1544" t="s">
        <v>4032</v>
      </c>
      <c r="K1544" t="s">
        <v>67</v>
      </c>
      <c r="L1544" t="s">
        <v>2474</v>
      </c>
      <c r="M1544" t="s">
        <v>2475</v>
      </c>
      <c r="N1544" t="s">
        <v>67</v>
      </c>
      <c r="O1544" t="s">
        <v>2476</v>
      </c>
      <c r="P1544" t="s">
        <v>2477</v>
      </c>
      <c r="S1544" s="5"/>
      <c r="T1544" t="s">
        <v>72</v>
      </c>
      <c r="U1544" t="s">
        <v>73</v>
      </c>
      <c r="V1544" t="s">
        <v>74</v>
      </c>
      <c r="W1544" t="s">
        <v>87</v>
      </c>
      <c r="AE1544" s="2"/>
      <c r="AF1544" s="2"/>
      <c r="AG1544" s="2"/>
      <c r="AH1544" s="2"/>
      <c r="AK1544" t="s">
        <v>613</v>
      </c>
      <c r="AL1544" s="2">
        <v>996400</v>
      </c>
      <c r="AM1544" s="2">
        <v>0</v>
      </c>
      <c r="AN1544" s="2"/>
      <c r="AO1544" s="2">
        <v>0</v>
      </c>
      <c r="AP1544" s="2">
        <v>996400</v>
      </c>
      <c r="AQ1544" s="2">
        <v>996400</v>
      </c>
      <c r="AR1544" s="2">
        <v>996400</v>
      </c>
      <c r="AS1544" s="2">
        <v>0</v>
      </c>
      <c r="AT1544" s="2">
        <v>0</v>
      </c>
      <c r="AU1544" s="2">
        <v>0</v>
      </c>
      <c r="AV1544" s="2">
        <v>0</v>
      </c>
      <c r="AW1544" s="4"/>
      <c r="AX1544" t="s">
        <v>75</v>
      </c>
      <c r="AZ1544" t="s">
        <v>4033</v>
      </c>
      <c r="BA1544" t="s">
        <v>67</v>
      </c>
      <c r="BB1544" t="s">
        <v>4034</v>
      </c>
      <c r="BC1544" t="s">
        <v>4035</v>
      </c>
      <c r="BD1544" t="s">
        <v>79</v>
      </c>
      <c r="BE1544" t="s">
        <v>810</v>
      </c>
      <c r="BF1544" s="5">
        <v>46539</v>
      </c>
      <c r="BG1544" t="s">
        <v>67</v>
      </c>
      <c r="BH1544">
        <v>1</v>
      </c>
      <c r="BI1544" s="6">
        <v>1880000</v>
      </c>
      <c r="BJ1544" s="6">
        <v>47</v>
      </c>
      <c r="BK1544" s="6">
        <v>883600</v>
      </c>
      <c r="BL1544" s="6">
        <v>996400</v>
      </c>
      <c r="BM1544" s="2">
        <v>996400</v>
      </c>
      <c r="BN1544">
        <f>InvoiceTable[[#This Row],[Giảm giá]]*InvoiceTable[[#This Row],[Số lượng]]</f>
        <v>883600</v>
      </c>
    </row>
    <row r="1545" spans="1:66" x14ac:dyDescent="0.25">
      <c r="A1545" t="s">
        <v>65</v>
      </c>
      <c r="B1545" t="s">
        <v>4036</v>
      </c>
      <c r="F1545" s="2"/>
      <c r="G1545" s="3">
        <v>46000.53946990741</v>
      </c>
      <c r="H1545" s="3">
        <v>46000.539470023148</v>
      </c>
      <c r="I1545" s="4" t="s">
        <v>67</v>
      </c>
      <c r="J1545" t="s">
        <v>67</v>
      </c>
      <c r="K1545" t="s">
        <v>67</v>
      </c>
      <c r="L1545" t="s">
        <v>814</v>
      </c>
      <c r="M1545" t="s">
        <v>815</v>
      </c>
      <c r="N1545" t="s">
        <v>67</v>
      </c>
      <c r="O1545" t="s">
        <v>816</v>
      </c>
      <c r="Q1545" t="s">
        <v>67</v>
      </c>
      <c r="R1545" t="s">
        <v>67</v>
      </c>
      <c r="S1545" s="5"/>
      <c r="T1545" t="s">
        <v>72</v>
      </c>
      <c r="U1545" t="s">
        <v>87</v>
      </c>
      <c r="V1545" t="s">
        <v>74</v>
      </c>
      <c r="W1545" t="s">
        <v>87</v>
      </c>
      <c r="AE1545" s="2"/>
      <c r="AF1545" s="2"/>
      <c r="AG1545" s="2"/>
      <c r="AH1545" s="2"/>
      <c r="AL1545" s="2">
        <v>4360000</v>
      </c>
      <c r="AM1545" s="2">
        <v>0</v>
      </c>
      <c r="AN1545" s="2"/>
      <c r="AO1545" s="2">
        <v>0</v>
      </c>
      <c r="AP1545" s="2">
        <v>4360000</v>
      </c>
      <c r="AQ1545" s="2">
        <v>0</v>
      </c>
      <c r="AR1545" s="2">
        <v>0</v>
      </c>
      <c r="AS1545" s="2">
        <v>0</v>
      </c>
      <c r="AT1545" s="2">
        <v>0</v>
      </c>
      <c r="AU1545" s="2">
        <v>0</v>
      </c>
      <c r="AV1545" s="2">
        <v>0</v>
      </c>
      <c r="AW1545" s="4"/>
      <c r="AX1545" t="s">
        <v>75</v>
      </c>
      <c r="AZ1545" t="s">
        <v>674</v>
      </c>
      <c r="BA1545" t="s">
        <v>67</v>
      </c>
      <c r="BB1545" t="s">
        <v>675</v>
      </c>
      <c r="BC1545" t="s">
        <v>676</v>
      </c>
      <c r="BD1545" t="s">
        <v>79</v>
      </c>
      <c r="BE1545" t="s">
        <v>677</v>
      </c>
      <c r="BF1545" s="5">
        <v>46943</v>
      </c>
      <c r="BH1545">
        <v>2</v>
      </c>
      <c r="BI1545" s="6">
        <v>1690000</v>
      </c>
      <c r="BJ1545" s="6">
        <v>0</v>
      </c>
      <c r="BK1545" s="6">
        <v>600000</v>
      </c>
      <c r="BL1545" s="6">
        <v>1090000</v>
      </c>
      <c r="BM1545" s="2">
        <v>2180000</v>
      </c>
      <c r="BN1545">
        <f>InvoiceTable[[#This Row],[Giảm giá]]*InvoiceTable[[#This Row],[Số lượng]]</f>
        <v>1200000</v>
      </c>
    </row>
    <row r="1546" spans="1:66" x14ac:dyDescent="0.25">
      <c r="A1546" t="s">
        <v>65</v>
      </c>
      <c r="B1546" t="s">
        <v>4036</v>
      </c>
      <c r="F1546" s="2"/>
      <c r="G1546" s="3">
        <v>46000.53946990741</v>
      </c>
      <c r="H1546" s="3">
        <v>46000.539470023148</v>
      </c>
      <c r="I1546" s="4" t="s">
        <v>67</v>
      </c>
      <c r="J1546" t="s">
        <v>67</v>
      </c>
      <c r="K1546" t="s">
        <v>67</v>
      </c>
      <c r="L1546" t="s">
        <v>814</v>
      </c>
      <c r="M1546" t="s">
        <v>815</v>
      </c>
      <c r="N1546" t="s">
        <v>67</v>
      </c>
      <c r="O1546" t="s">
        <v>816</v>
      </c>
      <c r="Q1546" t="s">
        <v>67</v>
      </c>
      <c r="R1546" t="s">
        <v>67</v>
      </c>
      <c r="S1546" s="5"/>
      <c r="T1546" t="s">
        <v>72</v>
      </c>
      <c r="U1546" t="s">
        <v>87</v>
      </c>
      <c r="V1546" t="s">
        <v>74</v>
      </c>
      <c r="W1546" t="s">
        <v>87</v>
      </c>
      <c r="AE1546" s="2"/>
      <c r="AF1546" s="2"/>
      <c r="AG1546" s="2"/>
      <c r="AH1546" s="2"/>
      <c r="AL1546" s="2">
        <v>4360000</v>
      </c>
      <c r="AM1546" s="2">
        <v>0</v>
      </c>
      <c r="AN1546" s="2"/>
      <c r="AO1546" s="2">
        <v>0</v>
      </c>
      <c r="AP1546" s="2">
        <v>4360000</v>
      </c>
      <c r="AQ1546" s="2">
        <v>0</v>
      </c>
      <c r="AR1546" s="2">
        <v>0</v>
      </c>
      <c r="AS1546" s="2">
        <v>0</v>
      </c>
      <c r="AT1546" s="2">
        <v>0</v>
      </c>
      <c r="AU1546" s="2">
        <v>0</v>
      </c>
      <c r="AV1546" s="2">
        <v>0</v>
      </c>
      <c r="AW1546" s="4"/>
      <c r="AX1546" t="s">
        <v>75</v>
      </c>
      <c r="AZ1546" t="s">
        <v>1494</v>
      </c>
      <c r="BA1546" t="s">
        <v>67</v>
      </c>
      <c r="BB1546" t="s">
        <v>1495</v>
      </c>
      <c r="BC1546" t="s">
        <v>676</v>
      </c>
      <c r="BD1546" t="s">
        <v>79</v>
      </c>
      <c r="BE1546" t="s">
        <v>117</v>
      </c>
      <c r="BF1546" s="5">
        <v>46569</v>
      </c>
      <c r="BH1546">
        <v>2</v>
      </c>
      <c r="BI1546" s="6">
        <v>1690000</v>
      </c>
      <c r="BJ1546" s="6">
        <v>0</v>
      </c>
      <c r="BK1546" s="6">
        <v>600000</v>
      </c>
      <c r="BL1546" s="6">
        <v>1090000</v>
      </c>
      <c r="BM1546" s="2">
        <v>2180000</v>
      </c>
      <c r="BN1546">
        <f>InvoiceTable[[#This Row],[Giảm giá]]*InvoiceTable[[#This Row],[Số lượng]]</f>
        <v>1200000</v>
      </c>
    </row>
    <row r="1547" spans="1:66" x14ac:dyDescent="0.25">
      <c r="A1547" t="s">
        <v>65</v>
      </c>
      <c r="B1547" t="s">
        <v>4037</v>
      </c>
      <c r="F1547" s="2"/>
      <c r="G1547" s="3">
        <v>46000.538648761576</v>
      </c>
      <c r="H1547" s="3">
        <v>46000.538637303238</v>
      </c>
      <c r="I1547" s="4" t="s">
        <v>3857</v>
      </c>
      <c r="J1547" t="s">
        <v>67</v>
      </c>
      <c r="K1547" t="s">
        <v>67</v>
      </c>
      <c r="L1547" t="s">
        <v>408</v>
      </c>
      <c r="M1547" t="s">
        <v>409</v>
      </c>
      <c r="N1547" t="s">
        <v>67</v>
      </c>
      <c r="O1547" t="s">
        <v>410</v>
      </c>
      <c r="P1547" t="s">
        <v>411</v>
      </c>
      <c r="S1547" s="5"/>
      <c r="T1547" t="s">
        <v>72</v>
      </c>
      <c r="U1547" t="s">
        <v>87</v>
      </c>
      <c r="V1547" t="s">
        <v>74</v>
      </c>
      <c r="W1547" t="s">
        <v>87</v>
      </c>
      <c r="AE1547" s="2"/>
      <c r="AF1547" s="2"/>
      <c r="AG1547" s="2"/>
      <c r="AH1547" s="2"/>
      <c r="AL1547" s="2">
        <v>8400000</v>
      </c>
      <c r="AM1547" s="2">
        <v>0</v>
      </c>
      <c r="AN1547" s="2"/>
      <c r="AO1547" s="2">
        <v>0</v>
      </c>
      <c r="AP1547" s="2">
        <v>8400000</v>
      </c>
      <c r="AQ1547" s="2">
        <v>0</v>
      </c>
      <c r="AR1547" s="2">
        <v>0</v>
      </c>
      <c r="AS1547" s="2">
        <v>0</v>
      </c>
      <c r="AT1547" s="2">
        <v>0</v>
      </c>
      <c r="AU1547" s="2">
        <v>0</v>
      </c>
      <c r="AV1547" s="2">
        <v>0</v>
      </c>
      <c r="AW1547" s="4"/>
      <c r="AX1547" t="s">
        <v>75</v>
      </c>
      <c r="AZ1547" t="s">
        <v>103</v>
      </c>
      <c r="BB1547" t="s">
        <v>104</v>
      </c>
      <c r="BC1547" t="s">
        <v>105</v>
      </c>
      <c r="BD1547" t="s">
        <v>79</v>
      </c>
      <c r="BE1547" t="s">
        <v>106</v>
      </c>
      <c r="BF1547" s="5">
        <v>46327</v>
      </c>
      <c r="BH1547">
        <v>2</v>
      </c>
      <c r="BI1547" s="6">
        <v>6930000</v>
      </c>
      <c r="BJ1547" s="6">
        <v>0</v>
      </c>
      <c r="BK1547" s="6">
        <v>2730000</v>
      </c>
      <c r="BL1547" s="6">
        <v>4200000</v>
      </c>
      <c r="BM1547" s="2">
        <v>8400000</v>
      </c>
      <c r="BN1547">
        <f>InvoiceTable[[#This Row],[Giảm giá]]*InvoiceTable[[#This Row],[Số lượng]]</f>
        <v>5460000</v>
      </c>
    </row>
    <row r="1548" spans="1:66" x14ac:dyDescent="0.25">
      <c r="A1548" t="s">
        <v>65</v>
      </c>
      <c r="B1548" t="s">
        <v>4038</v>
      </c>
      <c r="F1548" s="2"/>
      <c r="G1548" s="3">
        <v>46000.490178206019</v>
      </c>
      <c r="H1548" s="3">
        <v>46000.535608831022</v>
      </c>
      <c r="I1548" s="4" t="s">
        <v>3298</v>
      </c>
      <c r="J1548" t="s">
        <v>4039</v>
      </c>
      <c r="K1548" t="s">
        <v>67</v>
      </c>
      <c r="L1548" t="s">
        <v>539</v>
      </c>
      <c r="M1548" t="s">
        <v>540</v>
      </c>
      <c r="N1548" t="s">
        <v>67</v>
      </c>
      <c r="O1548" t="s">
        <v>541</v>
      </c>
      <c r="P1548" t="s">
        <v>542</v>
      </c>
      <c r="S1548" s="5"/>
      <c r="T1548" t="s">
        <v>72</v>
      </c>
      <c r="U1548" t="s">
        <v>102</v>
      </c>
      <c r="V1548" t="s">
        <v>74</v>
      </c>
      <c r="W1548" t="s">
        <v>102</v>
      </c>
      <c r="AE1548" s="2"/>
      <c r="AF1548" s="2"/>
      <c r="AG1548" s="2"/>
      <c r="AH1548" s="2"/>
      <c r="AL1548" s="2">
        <v>6150000</v>
      </c>
      <c r="AM1548" s="2">
        <v>0</v>
      </c>
      <c r="AN1548" s="2"/>
      <c r="AO1548" s="2">
        <v>0</v>
      </c>
      <c r="AP1548" s="2">
        <v>6150000</v>
      </c>
      <c r="AQ1548" s="2">
        <v>0</v>
      </c>
      <c r="AR1548" s="2">
        <v>0</v>
      </c>
      <c r="AS1548" s="2">
        <v>0</v>
      </c>
      <c r="AT1548" s="2">
        <v>0</v>
      </c>
      <c r="AU1548" s="2">
        <v>0</v>
      </c>
      <c r="AV1548" s="2">
        <v>0</v>
      </c>
      <c r="AW1548" s="4"/>
      <c r="AX1548" t="s">
        <v>75</v>
      </c>
      <c r="AZ1548" t="s">
        <v>107</v>
      </c>
      <c r="BA1548" t="s">
        <v>67</v>
      </c>
      <c r="BB1548" t="s">
        <v>108</v>
      </c>
      <c r="BC1548" t="s">
        <v>109</v>
      </c>
      <c r="BD1548" t="s">
        <v>79</v>
      </c>
      <c r="BE1548" t="s">
        <v>94</v>
      </c>
      <c r="BF1548" s="5">
        <v>46692</v>
      </c>
      <c r="BH1548">
        <v>1</v>
      </c>
      <c r="BI1548" s="6">
        <v>4500000</v>
      </c>
      <c r="BJ1548" s="6">
        <v>0</v>
      </c>
      <c r="BK1548" s="6">
        <v>1950000</v>
      </c>
      <c r="BL1548" s="6">
        <v>2550000</v>
      </c>
      <c r="BM1548" s="2">
        <v>2550000</v>
      </c>
      <c r="BN1548">
        <f>InvoiceTable[[#This Row],[Giảm giá]]*InvoiceTable[[#This Row],[Số lượng]]</f>
        <v>1950000</v>
      </c>
    </row>
    <row r="1549" spans="1:66" x14ac:dyDescent="0.25">
      <c r="A1549" t="s">
        <v>65</v>
      </c>
      <c r="B1549" t="s">
        <v>4038</v>
      </c>
      <c r="F1549" s="2"/>
      <c r="G1549" s="3">
        <v>46000.490178206019</v>
      </c>
      <c r="H1549" s="3">
        <v>46000.535608831022</v>
      </c>
      <c r="I1549" s="4" t="s">
        <v>3298</v>
      </c>
      <c r="J1549" t="s">
        <v>4039</v>
      </c>
      <c r="K1549" t="s">
        <v>67</v>
      </c>
      <c r="L1549" t="s">
        <v>539</v>
      </c>
      <c r="M1549" t="s">
        <v>540</v>
      </c>
      <c r="N1549" t="s">
        <v>67</v>
      </c>
      <c r="O1549" t="s">
        <v>541</v>
      </c>
      <c r="P1549" t="s">
        <v>542</v>
      </c>
      <c r="S1549" s="5"/>
      <c r="T1549" t="s">
        <v>72</v>
      </c>
      <c r="U1549" t="s">
        <v>102</v>
      </c>
      <c r="V1549" t="s">
        <v>74</v>
      </c>
      <c r="W1549" t="s">
        <v>102</v>
      </c>
      <c r="AE1549" s="2"/>
      <c r="AF1549" s="2"/>
      <c r="AG1549" s="2"/>
      <c r="AH1549" s="2"/>
      <c r="AL1549" s="2">
        <v>6150000</v>
      </c>
      <c r="AM1549" s="2">
        <v>0</v>
      </c>
      <c r="AN1549" s="2"/>
      <c r="AO1549" s="2">
        <v>0</v>
      </c>
      <c r="AP1549" s="2">
        <v>6150000</v>
      </c>
      <c r="AQ1549" s="2">
        <v>0</v>
      </c>
      <c r="AR1549" s="2">
        <v>0</v>
      </c>
      <c r="AS1549" s="2">
        <v>0</v>
      </c>
      <c r="AT1549" s="2">
        <v>0</v>
      </c>
      <c r="AU1549" s="2">
        <v>0</v>
      </c>
      <c r="AV1549" s="2">
        <v>0</v>
      </c>
      <c r="AW1549" s="4"/>
      <c r="AX1549" t="s">
        <v>75</v>
      </c>
      <c r="AZ1549" t="s">
        <v>483</v>
      </c>
      <c r="BA1549" t="s">
        <v>67</v>
      </c>
      <c r="BB1549" t="s">
        <v>484</v>
      </c>
      <c r="BC1549" t="s">
        <v>485</v>
      </c>
      <c r="BD1549" t="s">
        <v>79</v>
      </c>
      <c r="BE1549" t="s">
        <v>117</v>
      </c>
      <c r="BF1549" s="5">
        <v>46569</v>
      </c>
      <c r="BH1549">
        <v>3</v>
      </c>
      <c r="BI1549" s="6">
        <v>600000</v>
      </c>
      <c r="BJ1549" s="6">
        <v>40</v>
      </c>
      <c r="BK1549" s="6">
        <v>240000</v>
      </c>
      <c r="BL1549" s="6">
        <v>360000</v>
      </c>
      <c r="BM1549" s="2">
        <v>1080000</v>
      </c>
      <c r="BN1549">
        <f>InvoiceTable[[#This Row],[Giảm giá]]*InvoiceTable[[#This Row],[Số lượng]]</f>
        <v>720000</v>
      </c>
    </row>
    <row r="1550" spans="1:66" x14ac:dyDescent="0.25">
      <c r="A1550" t="s">
        <v>65</v>
      </c>
      <c r="B1550" t="s">
        <v>4038</v>
      </c>
      <c r="F1550" s="2"/>
      <c r="G1550" s="3">
        <v>46000.490178206019</v>
      </c>
      <c r="H1550" s="3">
        <v>46000.535608831022</v>
      </c>
      <c r="I1550" s="4" t="s">
        <v>3298</v>
      </c>
      <c r="J1550" t="s">
        <v>4039</v>
      </c>
      <c r="K1550" t="s">
        <v>67</v>
      </c>
      <c r="L1550" t="s">
        <v>539</v>
      </c>
      <c r="M1550" t="s">
        <v>540</v>
      </c>
      <c r="N1550" t="s">
        <v>67</v>
      </c>
      <c r="O1550" t="s">
        <v>541</v>
      </c>
      <c r="P1550" t="s">
        <v>542</v>
      </c>
      <c r="S1550" s="5"/>
      <c r="T1550" t="s">
        <v>72</v>
      </c>
      <c r="U1550" t="s">
        <v>102</v>
      </c>
      <c r="V1550" t="s">
        <v>74</v>
      </c>
      <c r="W1550" t="s">
        <v>102</v>
      </c>
      <c r="AE1550" s="2"/>
      <c r="AF1550" s="2"/>
      <c r="AG1550" s="2"/>
      <c r="AH1550" s="2"/>
      <c r="AL1550" s="2">
        <v>6150000</v>
      </c>
      <c r="AM1550" s="2">
        <v>0</v>
      </c>
      <c r="AN1550" s="2"/>
      <c r="AO1550" s="2">
        <v>0</v>
      </c>
      <c r="AP1550" s="2">
        <v>6150000</v>
      </c>
      <c r="AQ1550" s="2">
        <v>0</v>
      </c>
      <c r="AR1550" s="2">
        <v>0</v>
      </c>
      <c r="AS1550" s="2">
        <v>0</v>
      </c>
      <c r="AT1550" s="2">
        <v>0</v>
      </c>
      <c r="AU1550" s="2">
        <v>0</v>
      </c>
      <c r="AV1550" s="2">
        <v>0</v>
      </c>
      <c r="AW1550" s="4"/>
      <c r="AX1550" t="s">
        <v>75</v>
      </c>
      <c r="AZ1550" t="s">
        <v>483</v>
      </c>
      <c r="BA1550" t="s">
        <v>67</v>
      </c>
      <c r="BB1550" t="s">
        <v>484</v>
      </c>
      <c r="BC1550" t="s">
        <v>485</v>
      </c>
      <c r="BD1550" t="s">
        <v>79</v>
      </c>
      <c r="BE1550" t="s">
        <v>117</v>
      </c>
      <c r="BF1550" s="5">
        <v>46569</v>
      </c>
      <c r="BG1550" t="s">
        <v>67</v>
      </c>
      <c r="BH1550">
        <v>1</v>
      </c>
      <c r="BI1550" s="6">
        <v>600000</v>
      </c>
      <c r="BJ1550" s="6">
        <v>100</v>
      </c>
      <c r="BK1550" s="6">
        <v>600000</v>
      </c>
      <c r="BL1550" s="6">
        <v>0</v>
      </c>
      <c r="BM1550" s="2">
        <v>0</v>
      </c>
      <c r="BN1550">
        <f>InvoiceTable[[#This Row],[Giảm giá]]*InvoiceTable[[#This Row],[Số lượng]]</f>
        <v>600000</v>
      </c>
    </row>
    <row r="1551" spans="1:66" x14ac:dyDescent="0.25">
      <c r="A1551" t="s">
        <v>65</v>
      </c>
      <c r="B1551" t="s">
        <v>4038</v>
      </c>
      <c r="F1551" s="2"/>
      <c r="G1551" s="3">
        <v>46000.490178206019</v>
      </c>
      <c r="H1551" s="3">
        <v>46000.535608831022</v>
      </c>
      <c r="I1551" s="4" t="s">
        <v>3298</v>
      </c>
      <c r="J1551" t="s">
        <v>4039</v>
      </c>
      <c r="K1551" t="s">
        <v>67</v>
      </c>
      <c r="L1551" t="s">
        <v>539</v>
      </c>
      <c r="M1551" t="s">
        <v>540</v>
      </c>
      <c r="N1551" t="s">
        <v>67</v>
      </c>
      <c r="O1551" t="s">
        <v>541</v>
      </c>
      <c r="P1551" t="s">
        <v>542</v>
      </c>
      <c r="S1551" s="5"/>
      <c r="T1551" t="s">
        <v>72</v>
      </c>
      <c r="U1551" t="s">
        <v>102</v>
      </c>
      <c r="V1551" t="s">
        <v>74</v>
      </c>
      <c r="W1551" t="s">
        <v>102</v>
      </c>
      <c r="AE1551" s="2"/>
      <c r="AF1551" s="2"/>
      <c r="AG1551" s="2"/>
      <c r="AH1551" s="2"/>
      <c r="AL1551" s="2">
        <v>6150000</v>
      </c>
      <c r="AM1551" s="2">
        <v>0</v>
      </c>
      <c r="AN1551" s="2"/>
      <c r="AO1551" s="2">
        <v>0</v>
      </c>
      <c r="AP1551" s="2">
        <v>6150000</v>
      </c>
      <c r="AQ1551" s="2">
        <v>0</v>
      </c>
      <c r="AR1551" s="2">
        <v>0</v>
      </c>
      <c r="AS1551" s="2">
        <v>0</v>
      </c>
      <c r="AT1551" s="2">
        <v>0</v>
      </c>
      <c r="AU1551" s="2">
        <v>0</v>
      </c>
      <c r="AV1551" s="2">
        <v>0</v>
      </c>
      <c r="AW1551" s="4"/>
      <c r="AX1551" t="s">
        <v>75</v>
      </c>
      <c r="AZ1551" t="s">
        <v>486</v>
      </c>
      <c r="BA1551" t="s">
        <v>67</v>
      </c>
      <c r="BB1551" t="s">
        <v>487</v>
      </c>
      <c r="BC1551" t="s">
        <v>485</v>
      </c>
      <c r="BD1551" t="s">
        <v>79</v>
      </c>
      <c r="BE1551" t="s">
        <v>488</v>
      </c>
      <c r="BF1551" s="5">
        <v>46647</v>
      </c>
      <c r="BH1551">
        <v>7</v>
      </c>
      <c r="BI1551" s="6">
        <v>600000</v>
      </c>
      <c r="BJ1551" s="6">
        <v>40</v>
      </c>
      <c r="BK1551" s="6">
        <v>240000</v>
      </c>
      <c r="BL1551" s="6">
        <v>360000</v>
      </c>
      <c r="BM1551" s="2">
        <v>2520000</v>
      </c>
      <c r="BN1551">
        <f>InvoiceTable[[#This Row],[Giảm giá]]*InvoiceTable[[#This Row],[Số lượng]]</f>
        <v>1680000</v>
      </c>
    </row>
    <row r="1552" spans="1:66" x14ac:dyDescent="0.25">
      <c r="A1552" t="s">
        <v>65</v>
      </c>
      <c r="B1552" t="s">
        <v>4040</v>
      </c>
      <c r="F1552" s="2"/>
      <c r="G1552" s="3">
        <v>46000.490119675924</v>
      </c>
      <c r="H1552" s="3">
        <v>46000.489934606485</v>
      </c>
      <c r="I1552" s="4" t="s">
        <v>96</v>
      </c>
      <c r="J1552" t="s">
        <v>4041</v>
      </c>
      <c r="K1552" t="s">
        <v>67</v>
      </c>
      <c r="L1552" t="s">
        <v>4042</v>
      </c>
      <c r="M1552" t="s">
        <v>4043</v>
      </c>
      <c r="N1552" t="s">
        <v>4044</v>
      </c>
      <c r="O1552" t="s">
        <v>4045</v>
      </c>
      <c r="P1552" t="s">
        <v>4046</v>
      </c>
      <c r="S1552" s="5"/>
      <c r="T1552" t="s">
        <v>72</v>
      </c>
      <c r="U1552" t="s">
        <v>73</v>
      </c>
      <c r="V1552" t="s">
        <v>74</v>
      </c>
      <c r="W1552" t="s">
        <v>87</v>
      </c>
      <c r="AE1552" s="2"/>
      <c r="AF1552" s="2"/>
      <c r="AG1552" s="2"/>
      <c r="AH1552" s="2"/>
      <c r="AK1552" t="s">
        <v>258</v>
      </c>
      <c r="AL1552" s="2">
        <v>295000</v>
      </c>
      <c r="AM1552" s="2">
        <v>0</v>
      </c>
      <c r="AN1552" s="2"/>
      <c r="AO1552" s="2">
        <v>0</v>
      </c>
      <c r="AP1552" s="2">
        <v>295000</v>
      </c>
      <c r="AQ1552" s="2">
        <v>295000</v>
      </c>
      <c r="AR1552" s="2">
        <v>295000</v>
      </c>
      <c r="AS1552" s="2">
        <v>0</v>
      </c>
      <c r="AT1552" s="2">
        <v>0</v>
      </c>
      <c r="AU1552" s="2">
        <v>0</v>
      </c>
      <c r="AV1552" s="2">
        <v>0</v>
      </c>
      <c r="AW1552" s="4"/>
      <c r="AX1552" t="s">
        <v>75</v>
      </c>
      <c r="AZ1552" t="s">
        <v>88</v>
      </c>
      <c r="BB1552" t="s">
        <v>89</v>
      </c>
      <c r="BC1552" t="s">
        <v>90</v>
      </c>
      <c r="BF1552" s="5"/>
      <c r="BG1552" t="s">
        <v>67</v>
      </c>
      <c r="BH1552">
        <v>1</v>
      </c>
      <c r="BI1552" s="6">
        <v>25000</v>
      </c>
      <c r="BJ1552" s="6">
        <v>0</v>
      </c>
      <c r="BK1552" s="6">
        <v>0</v>
      </c>
      <c r="BL1552" s="6">
        <v>25000</v>
      </c>
      <c r="BM1552" s="2">
        <v>25000</v>
      </c>
      <c r="BN1552">
        <f>InvoiceTable[[#This Row],[Giảm giá]]*InvoiceTable[[#This Row],[Số lượng]]</f>
        <v>0</v>
      </c>
    </row>
    <row r="1553" spans="1:66" x14ac:dyDescent="0.25">
      <c r="A1553" t="s">
        <v>65</v>
      </c>
      <c r="B1553" t="s">
        <v>4040</v>
      </c>
      <c r="F1553" s="2"/>
      <c r="G1553" s="3">
        <v>46000.490119675924</v>
      </c>
      <c r="H1553" s="3">
        <v>46000.489934606485</v>
      </c>
      <c r="I1553" s="4" t="s">
        <v>96</v>
      </c>
      <c r="J1553" t="s">
        <v>4041</v>
      </c>
      <c r="K1553" t="s">
        <v>67</v>
      </c>
      <c r="L1553" t="s">
        <v>4042</v>
      </c>
      <c r="M1553" t="s">
        <v>4043</v>
      </c>
      <c r="N1553" t="s">
        <v>4044</v>
      </c>
      <c r="O1553" t="s">
        <v>4045</v>
      </c>
      <c r="P1553" t="s">
        <v>4046</v>
      </c>
      <c r="S1553" s="5"/>
      <c r="T1553" t="s">
        <v>72</v>
      </c>
      <c r="U1553" t="s">
        <v>73</v>
      </c>
      <c r="V1553" t="s">
        <v>74</v>
      </c>
      <c r="W1553" t="s">
        <v>87</v>
      </c>
      <c r="AE1553" s="2"/>
      <c r="AF1553" s="2"/>
      <c r="AG1553" s="2"/>
      <c r="AH1553" s="2"/>
      <c r="AK1553" t="s">
        <v>258</v>
      </c>
      <c r="AL1553" s="2">
        <v>295000</v>
      </c>
      <c r="AM1553" s="2">
        <v>0</v>
      </c>
      <c r="AN1553" s="2"/>
      <c r="AO1553" s="2">
        <v>0</v>
      </c>
      <c r="AP1553" s="2">
        <v>295000</v>
      </c>
      <c r="AQ1553" s="2">
        <v>295000</v>
      </c>
      <c r="AR1553" s="2">
        <v>295000</v>
      </c>
      <c r="AS1553" s="2">
        <v>0</v>
      </c>
      <c r="AT1553" s="2">
        <v>0</v>
      </c>
      <c r="AU1553" s="2">
        <v>0</v>
      </c>
      <c r="AV1553" s="2">
        <v>0</v>
      </c>
      <c r="AW1553" s="4"/>
      <c r="AX1553" t="s">
        <v>75</v>
      </c>
      <c r="AZ1553" t="s">
        <v>4047</v>
      </c>
      <c r="BA1553" t="s">
        <v>67</v>
      </c>
      <c r="BB1553" t="s">
        <v>4048</v>
      </c>
      <c r="BC1553" t="s">
        <v>126</v>
      </c>
      <c r="BD1553" t="s">
        <v>79</v>
      </c>
      <c r="BE1553" t="s">
        <v>810</v>
      </c>
      <c r="BF1553" s="5">
        <v>46539</v>
      </c>
      <c r="BG1553" t="s">
        <v>67</v>
      </c>
      <c r="BH1553">
        <v>1</v>
      </c>
      <c r="BI1553" s="6">
        <v>250000</v>
      </c>
      <c r="BJ1553" s="6">
        <v>0</v>
      </c>
      <c r="BK1553" s="6">
        <v>150000</v>
      </c>
      <c r="BL1553" s="6">
        <v>100000</v>
      </c>
      <c r="BM1553" s="2">
        <v>100000</v>
      </c>
      <c r="BN1553">
        <f>InvoiceTable[[#This Row],[Giảm giá]]*InvoiceTable[[#This Row],[Số lượng]]</f>
        <v>150000</v>
      </c>
    </row>
    <row r="1554" spans="1:66" x14ac:dyDescent="0.25">
      <c r="A1554" t="s">
        <v>65</v>
      </c>
      <c r="B1554" t="s">
        <v>4040</v>
      </c>
      <c r="F1554" s="2"/>
      <c r="G1554" s="3">
        <v>46000.490119675924</v>
      </c>
      <c r="H1554" s="3">
        <v>46000.489934606485</v>
      </c>
      <c r="I1554" s="4" t="s">
        <v>96</v>
      </c>
      <c r="J1554" t="s">
        <v>4041</v>
      </c>
      <c r="K1554" t="s">
        <v>67</v>
      </c>
      <c r="L1554" t="s">
        <v>4042</v>
      </c>
      <c r="M1554" t="s">
        <v>4043</v>
      </c>
      <c r="N1554" t="s">
        <v>4044</v>
      </c>
      <c r="O1554" t="s">
        <v>4045</v>
      </c>
      <c r="P1554" t="s">
        <v>4046</v>
      </c>
      <c r="S1554" s="5"/>
      <c r="T1554" t="s">
        <v>72</v>
      </c>
      <c r="U1554" t="s">
        <v>73</v>
      </c>
      <c r="V1554" t="s">
        <v>74</v>
      </c>
      <c r="W1554" t="s">
        <v>87</v>
      </c>
      <c r="AE1554" s="2"/>
      <c r="AF1554" s="2"/>
      <c r="AG1554" s="2"/>
      <c r="AH1554" s="2"/>
      <c r="AK1554" t="s">
        <v>258</v>
      </c>
      <c r="AL1554" s="2">
        <v>295000</v>
      </c>
      <c r="AM1554" s="2">
        <v>0</v>
      </c>
      <c r="AN1554" s="2"/>
      <c r="AO1554" s="2">
        <v>0</v>
      </c>
      <c r="AP1554" s="2">
        <v>295000</v>
      </c>
      <c r="AQ1554" s="2">
        <v>295000</v>
      </c>
      <c r="AR1554" s="2">
        <v>295000</v>
      </c>
      <c r="AS1554" s="2">
        <v>0</v>
      </c>
      <c r="AT1554" s="2">
        <v>0</v>
      </c>
      <c r="AU1554" s="2">
        <v>0</v>
      </c>
      <c r="AV1554" s="2">
        <v>0</v>
      </c>
      <c r="AW1554" s="4"/>
      <c r="AX1554" t="s">
        <v>75</v>
      </c>
      <c r="AZ1554" t="s">
        <v>669</v>
      </c>
      <c r="BA1554" t="s">
        <v>67</v>
      </c>
      <c r="BB1554" t="s">
        <v>670</v>
      </c>
      <c r="BC1554" t="s">
        <v>126</v>
      </c>
      <c r="BD1554" t="s">
        <v>79</v>
      </c>
      <c r="BE1554" t="s">
        <v>159</v>
      </c>
      <c r="BF1554" s="5">
        <v>46478</v>
      </c>
      <c r="BH1554">
        <v>1</v>
      </c>
      <c r="BI1554" s="6">
        <v>350000</v>
      </c>
      <c r="BJ1554" s="6">
        <v>0</v>
      </c>
      <c r="BK1554" s="6">
        <v>180000</v>
      </c>
      <c r="BL1554" s="6">
        <v>170000</v>
      </c>
      <c r="BM1554" s="2">
        <v>170000</v>
      </c>
      <c r="BN1554">
        <f>InvoiceTable[[#This Row],[Giảm giá]]*InvoiceTable[[#This Row],[Số lượng]]</f>
        <v>180000</v>
      </c>
    </row>
    <row r="1555" spans="1:66" x14ac:dyDescent="0.25">
      <c r="A1555" t="s">
        <v>65</v>
      </c>
      <c r="B1555" t="s">
        <v>4049</v>
      </c>
      <c r="F1555" s="2"/>
      <c r="G1555" s="3">
        <v>46000.473045289349</v>
      </c>
      <c r="H1555" s="3">
        <v>46000.472975925928</v>
      </c>
      <c r="I1555" s="4" t="s">
        <v>2803</v>
      </c>
      <c r="J1555" t="s">
        <v>67</v>
      </c>
      <c r="K1555" t="s">
        <v>67</v>
      </c>
      <c r="L1555" t="s">
        <v>4050</v>
      </c>
      <c r="M1555" t="s">
        <v>4051</v>
      </c>
      <c r="N1555" t="s">
        <v>67</v>
      </c>
      <c r="O1555" t="s">
        <v>4052</v>
      </c>
      <c r="P1555" t="s">
        <v>4053</v>
      </c>
      <c r="Q1555" t="s">
        <v>4054</v>
      </c>
      <c r="R1555" t="s">
        <v>4055</v>
      </c>
      <c r="S1555" s="5"/>
      <c r="T1555" t="s">
        <v>72</v>
      </c>
      <c r="U1555" t="s">
        <v>87</v>
      </c>
      <c r="V1555" t="s">
        <v>74</v>
      </c>
      <c r="W1555" t="s">
        <v>87</v>
      </c>
      <c r="AE1555" s="2"/>
      <c r="AF1555" s="2"/>
      <c r="AG1555" s="2"/>
      <c r="AH1555" s="2"/>
      <c r="AL1555" s="2">
        <v>1000000</v>
      </c>
      <c r="AM1555" s="2">
        <v>0</v>
      </c>
      <c r="AN1555" s="2"/>
      <c r="AO1555" s="2">
        <v>0</v>
      </c>
      <c r="AP1555" s="2">
        <v>1000000</v>
      </c>
      <c r="AQ1555" s="2">
        <v>0</v>
      </c>
      <c r="AR1555" s="2">
        <v>0</v>
      </c>
      <c r="AS1555" s="2">
        <v>0</v>
      </c>
      <c r="AT1555" s="2">
        <v>0</v>
      </c>
      <c r="AU1555" s="2">
        <v>0</v>
      </c>
      <c r="AV1555" s="2">
        <v>0</v>
      </c>
      <c r="AW1555" s="4"/>
      <c r="AX1555" t="s">
        <v>75</v>
      </c>
      <c r="AZ1555" t="s">
        <v>2727</v>
      </c>
      <c r="BA1555" t="s">
        <v>67</v>
      </c>
      <c r="BB1555" t="s">
        <v>2728</v>
      </c>
      <c r="BC1555" t="s">
        <v>2729</v>
      </c>
      <c r="BD1555" t="s">
        <v>79</v>
      </c>
      <c r="BE1555" t="s">
        <v>2730</v>
      </c>
      <c r="BF1555" s="5">
        <v>46265</v>
      </c>
      <c r="BH1555">
        <v>10</v>
      </c>
      <c r="BI1555" s="6">
        <v>160000</v>
      </c>
      <c r="BJ1555" s="6">
        <v>0</v>
      </c>
      <c r="BK1555" s="6">
        <v>60000</v>
      </c>
      <c r="BL1555" s="6">
        <v>100000</v>
      </c>
      <c r="BM1555" s="2">
        <v>1000000</v>
      </c>
      <c r="BN1555">
        <f>InvoiceTable[[#This Row],[Giảm giá]]*InvoiceTable[[#This Row],[Số lượng]]</f>
        <v>600000</v>
      </c>
    </row>
    <row r="1556" spans="1:66" x14ac:dyDescent="0.25">
      <c r="A1556" t="s">
        <v>65</v>
      </c>
      <c r="B1556" t="s">
        <v>4056</v>
      </c>
      <c r="F1556" s="2"/>
      <c r="G1556" s="3">
        <v>46000.465629826387</v>
      </c>
      <c r="H1556" s="3">
        <v>46000.465629976854</v>
      </c>
      <c r="I1556" s="4" t="s">
        <v>67</v>
      </c>
      <c r="J1556" t="s">
        <v>67</v>
      </c>
      <c r="K1556" t="s">
        <v>67</v>
      </c>
      <c r="L1556" t="s">
        <v>726</v>
      </c>
      <c r="M1556" t="s">
        <v>727</v>
      </c>
      <c r="N1556" t="s">
        <v>67</v>
      </c>
      <c r="O1556" t="s">
        <v>728</v>
      </c>
      <c r="P1556" t="s">
        <v>729</v>
      </c>
      <c r="S1556" s="5"/>
      <c r="T1556" t="s">
        <v>72</v>
      </c>
      <c r="U1556" t="s">
        <v>87</v>
      </c>
      <c r="V1556" t="s">
        <v>74</v>
      </c>
      <c r="W1556" t="s">
        <v>87</v>
      </c>
      <c r="AE1556" s="2"/>
      <c r="AF1556" s="2"/>
      <c r="AG1556" s="2"/>
      <c r="AH1556" s="2"/>
      <c r="AL1556" s="2">
        <v>650000</v>
      </c>
      <c r="AM1556" s="2">
        <v>0</v>
      </c>
      <c r="AN1556" s="2"/>
      <c r="AO1556" s="2">
        <v>0</v>
      </c>
      <c r="AP1556" s="2">
        <v>650000</v>
      </c>
      <c r="AQ1556" s="2">
        <v>0</v>
      </c>
      <c r="AR1556" s="2">
        <v>0</v>
      </c>
      <c r="AS1556" s="2">
        <v>0</v>
      </c>
      <c r="AT1556" s="2">
        <v>0</v>
      </c>
      <c r="AU1556" s="2">
        <v>0</v>
      </c>
      <c r="AV1556" s="2">
        <v>0</v>
      </c>
      <c r="AW1556" s="4"/>
      <c r="AX1556" t="s">
        <v>75</v>
      </c>
      <c r="AZ1556" t="s">
        <v>291</v>
      </c>
      <c r="BA1556" t="s">
        <v>67</v>
      </c>
      <c r="BB1556" t="s">
        <v>292</v>
      </c>
      <c r="BC1556" t="s">
        <v>126</v>
      </c>
      <c r="BD1556" t="s">
        <v>79</v>
      </c>
      <c r="BE1556" t="s">
        <v>94</v>
      </c>
      <c r="BF1556" s="5">
        <v>46692</v>
      </c>
      <c r="BG1556" t="s">
        <v>67</v>
      </c>
      <c r="BH1556">
        <v>10</v>
      </c>
      <c r="BI1556" s="6">
        <v>250000</v>
      </c>
      <c r="BJ1556" s="6">
        <v>0</v>
      </c>
      <c r="BK1556" s="6">
        <v>185000</v>
      </c>
      <c r="BL1556" s="6">
        <v>65000</v>
      </c>
      <c r="BM1556" s="2">
        <v>650000</v>
      </c>
      <c r="BN1556">
        <f>InvoiceTable[[#This Row],[Giảm giá]]*InvoiceTable[[#This Row],[Số lượng]]</f>
        <v>1850000</v>
      </c>
    </row>
    <row r="1557" spans="1:66" x14ac:dyDescent="0.25">
      <c r="A1557" t="s">
        <v>65</v>
      </c>
      <c r="B1557" t="s">
        <v>4057</v>
      </c>
      <c r="F1557" s="2"/>
      <c r="G1557" s="3">
        <v>46000.464728553241</v>
      </c>
      <c r="H1557" s="3">
        <v>46000.464728622683</v>
      </c>
      <c r="I1557" s="4" t="s">
        <v>67</v>
      </c>
      <c r="J1557" t="s">
        <v>67</v>
      </c>
      <c r="K1557" t="s">
        <v>67</v>
      </c>
      <c r="L1557" t="s">
        <v>726</v>
      </c>
      <c r="M1557" t="s">
        <v>727</v>
      </c>
      <c r="N1557" t="s">
        <v>67</v>
      </c>
      <c r="O1557" t="s">
        <v>728</v>
      </c>
      <c r="P1557" t="s">
        <v>729</v>
      </c>
      <c r="S1557" s="5"/>
      <c r="T1557" t="s">
        <v>72</v>
      </c>
      <c r="U1557" t="s">
        <v>87</v>
      </c>
      <c r="V1557" t="s">
        <v>74</v>
      </c>
      <c r="W1557" t="s">
        <v>87</v>
      </c>
      <c r="AE1557" s="2"/>
      <c r="AF1557" s="2"/>
      <c r="AG1557" s="2"/>
      <c r="AH1557" s="2"/>
      <c r="AL1557" s="2">
        <v>3245000</v>
      </c>
      <c r="AM1557" s="2">
        <v>0</v>
      </c>
      <c r="AN1557" s="2"/>
      <c r="AO1557" s="2">
        <v>0</v>
      </c>
      <c r="AP1557" s="2">
        <v>3245000</v>
      </c>
      <c r="AQ1557" s="2">
        <v>0</v>
      </c>
      <c r="AR1557" s="2">
        <v>0</v>
      </c>
      <c r="AS1557" s="2">
        <v>0</v>
      </c>
      <c r="AT1557" s="2">
        <v>0</v>
      </c>
      <c r="AU1557" s="2">
        <v>0</v>
      </c>
      <c r="AV1557" s="2">
        <v>0</v>
      </c>
      <c r="AW1557" s="4"/>
      <c r="AX1557" t="s">
        <v>75</v>
      </c>
      <c r="AZ1557" t="s">
        <v>424</v>
      </c>
      <c r="BA1557" t="s">
        <v>67</v>
      </c>
      <c r="BB1557" t="s">
        <v>425</v>
      </c>
      <c r="BC1557" t="s">
        <v>426</v>
      </c>
      <c r="BD1557" t="s">
        <v>79</v>
      </c>
      <c r="BE1557" t="s">
        <v>198</v>
      </c>
      <c r="BF1557" s="5">
        <v>46753</v>
      </c>
      <c r="BH1557">
        <v>10</v>
      </c>
      <c r="BI1557" s="6">
        <v>590000</v>
      </c>
      <c r="BJ1557" s="6">
        <v>45</v>
      </c>
      <c r="BK1557" s="6">
        <v>265500</v>
      </c>
      <c r="BL1557" s="6">
        <v>324500</v>
      </c>
      <c r="BM1557" s="2">
        <v>3245000</v>
      </c>
      <c r="BN1557">
        <f>InvoiceTable[[#This Row],[Giảm giá]]*InvoiceTable[[#This Row],[Số lượng]]</f>
        <v>2655000</v>
      </c>
    </row>
    <row r="1558" spans="1:66" x14ac:dyDescent="0.25">
      <c r="A1558" t="s">
        <v>65</v>
      </c>
      <c r="B1558" t="s">
        <v>4058</v>
      </c>
      <c r="F1558" s="2"/>
      <c r="G1558" s="3">
        <v>46000.463673958337</v>
      </c>
      <c r="H1558" s="3">
        <v>46000.463674305553</v>
      </c>
      <c r="I1558" s="4" t="s">
        <v>67</v>
      </c>
      <c r="J1558" t="s">
        <v>67</v>
      </c>
      <c r="K1558" t="s">
        <v>67</v>
      </c>
      <c r="L1558" t="s">
        <v>2361</v>
      </c>
      <c r="M1558" t="s">
        <v>2362</v>
      </c>
      <c r="N1558" t="s">
        <v>67</v>
      </c>
      <c r="O1558" t="s">
        <v>2363</v>
      </c>
      <c r="P1558" t="s">
        <v>2364</v>
      </c>
      <c r="Q1558" t="s">
        <v>67</v>
      </c>
      <c r="R1558" t="s">
        <v>67</v>
      </c>
      <c r="S1558" s="5"/>
      <c r="T1558" t="s">
        <v>72</v>
      </c>
      <c r="U1558" t="s">
        <v>87</v>
      </c>
      <c r="V1558" t="s">
        <v>74</v>
      </c>
      <c r="W1558" t="s">
        <v>87</v>
      </c>
      <c r="AE1558" s="2"/>
      <c r="AF1558" s="2"/>
      <c r="AG1558" s="2"/>
      <c r="AH1558" s="2"/>
      <c r="AL1558" s="2">
        <v>24352000</v>
      </c>
      <c r="AM1558" s="2">
        <v>11688960</v>
      </c>
      <c r="AN1558" s="2"/>
      <c r="AO1558" s="2">
        <v>0</v>
      </c>
      <c r="AP1558" s="2">
        <v>12663040</v>
      </c>
      <c r="AQ1558" s="2">
        <v>0</v>
      </c>
      <c r="AR1558" s="2">
        <v>0</v>
      </c>
      <c r="AS1558" s="2">
        <v>0</v>
      </c>
      <c r="AT1558" s="2">
        <v>0</v>
      </c>
      <c r="AU1558" s="2">
        <v>0</v>
      </c>
      <c r="AV1558" s="2">
        <v>0</v>
      </c>
      <c r="AW1558" s="4"/>
      <c r="AX1558" t="s">
        <v>75</v>
      </c>
      <c r="AZ1558" t="s">
        <v>2368</v>
      </c>
      <c r="BA1558" t="s">
        <v>67</v>
      </c>
      <c r="BB1558" t="s">
        <v>2369</v>
      </c>
      <c r="BC1558" t="s">
        <v>770</v>
      </c>
      <c r="BD1558" t="s">
        <v>79</v>
      </c>
      <c r="BE1558" t="s">
        <v>198</v>
      </c>
      <c r="BF1558" s="5">
        <v>46753</v>
      </c>
      <c r="BG1558" t="s">
        <v>67</v>
      </c>
      <c r="BH1558">
        <v>5</v>
      </c>
      <c r="BI1558" s="6">
        <v>950000</v>
      </c>
      <c r="BJ1558" s="6">
        <v>0</v>
      </c>
      <c r="BK1558" s="6">
        <v>0</v>
      </c>
      <c r="BL1558" s="6">
        <v>950000</v>
      </c>
      <c r="BM1558" s="2">
        <v>4750000</v>
      </c>
      <c r="BN1558">
        <f>InvoiceTable[[#This Row],[Giảm giá]]*InvoiceTable[[#This Row],[Số lượng]]</f>
        <v>0</v>
      </c>
    </row>
    <row r="1559" spans="1:66" x14ac:dyDescent="0.25">
      <c r="A1559" t="s">
        <v>65</v>
      </c>
      <c r="B1559" t="s">
        <v>4058</v>
      </c>
      <c r="F1559" s="2"/>
      <c r="G1559" s="3">
        <v>46000.463673958337</v>
      </c>
      <c r="H1559" s="3">
        <v>46000.463674305553</v>
      </c>
      <c r="I1559" s="4" t="s">
        <v>67</v>
      </c>
      <c r="J1559" t="s">
        <v>67</v>
      </c>
      <c r="K1559" t="s">
        <v>67</v>
      </c>
      <c r="L1559" t="s">
        <v>2361</v>
      </c>
      <c r="M1559" t="s">
        <v>2362</v>
      </c>
      <c r="N1559" t="s">
        <v>67</v>
      </c>
      <c r="O1559" t="s">
        <v>2363</v>
      </c>
      <c r="P1559" t="s">
        <v>2364</v>
      </c>
      <c r="Q1559" t="s">
        <v>67</v>
      </c>
      <c r="R1559" t="s">
        <v>67</v>
      </c>
      <c r="S1559" s="5"/>
      <c r="T1559" t="s">
        <v>72</v>
      </c>
      <c r="U1559" t="s">
        <v>87</v>
      </c>
      <c r="V1559" t="s">
        <v>74</v>
      </c>
      <c r="W1559" t="s">
        <v>87</v>
      </c>
      <c r="AE1559" s="2"/>
      <c r="AF1559" s="2"/>
      <c r="AG1559" s="2"/>
      <c r="AH1559" s="2"/>
      <c r="AL1559" s="2">
        <v>24352000</v>
      </c>
      <c r="AM1559" s="2">
        <v>11688960</v>
      </c>
      <c r="AN1559" s="2"/>
      <c r="AO1559" s="2">
        <v>0</v>
      </c>
      <c r="AP1559" s="2">
        <v>12663040</v>
      </c>
      <c r="AQ1559" s="2">
        <v>0</v>
      </c>
      <c r="AR1559" s="2">
        <v>0</v>
      </c>
      <c r="AS1559" s="2">
        <v>0</v>
      </c>
      <c r="AT1559" s="2">
        <v>0</v>
      </c>
      <c r="AU1559" s="2">
        <v>0</v>
      </c>
      <c r="AV1559" s="2">
        <v>0</v>
      </c>
      <c r="AW1559" s="4"/>
      <c r="AX1559" t="s">
        <v>75</v>
      </c>
      <c r="AZ1559" t="s">
        <v>3537</v>
      </c>
      <c r="BA1559" t="s">
        <v>67</v>
      </c>
      <c r="BB1559" t="s">
        <v>3538</v>
      </c>
      <c r="BC1559" t="s">
        <v>770</v>
      </c>
      <c r="BD1559" t="s">
        <v>79</v>
      </c>
      <c r="BE1559" t="s">
        <v>198</v>
      </c>
      <c r="BF1559" s="5">
        <v>46753</v>
      </c>
      <c r="BH1559">
        <v>10</v>
      </c>
      <c r="BI1559" s="6">
        <v>785000</v>
      </c>
      <c r="BJ1559" s="6">
        <v>0</v>
      </c>
      <c r="BK1559" s="6">
        <v>0</v>
      </c>
      <c r="BL1559" s="6">
        <v>785000</v>
      </c>
      <c r="BM1559" s="2">
        <v>7850000</v>
      </c>
      <c r="BN1559">
        <f>InvoiceTable[[#This Row],[Giảm giá]]*InvoiceTable[[#This Row],[Số lượng]]</f>
        <v>0</v>
      </c>
    </row>
    <row r="1560" spans="1:66" x14ac:dyDescent="0.25">
      <c r="A1560" t="s">
        <v>65</v>
      </c>
      <c r="B1560" t="s">
        <v>4058</v>
      </c>
      <c r="F1560" s="2"/>
      <c r="G1560" s="3">
        <v>46000.463673958337</v>
      </c>
      <c r="H1560" s="3">
        <v>46000.463674305553</v>
      </c>
      <c r="I1560" s="4" t="s">
        <v>67</v>
      </c>
      <c r="J1560" t="s">
        <v>67</v>
      </c>
      <c r="K1560" t="s">
        <v>67</v>
      </c>
      <c r="L1560" t="s">
        <v>2361</v>
      </c>
      <c r="M1560" t="s">
        <v>2362</v>
      </c>
      <c r="N1560" t="s">
        <v>67</v>
      </c>
      <c r="O1560" t="s">
        <v>2363</v>
      </c>
      <c r="P1560" t="s">
        <v>2364</v>
      </c>
      <c r="Q1560" t="s">
        <v>67</v>
      </c>
      <c r="R1560" t="s">
        <v>67</v>
      </c>
      <c r="S1560" s="5"/>
      <c r="T1560" t="s">
        <v>72</v>
      </c>
      <c r="U1560" t="s">
        <v>87</v>
      </c>
      <c r="V1560" t="s">
        <v>74</v>
      </c>
      <c r="W1560" t="s">
        <v>87</v>
      </c>
      <c r="AE1560" s="2"/>
      <c r="AF1560" s="2"/>
      <c r="AG1560" s="2"/>
      <c r="AH1560" s="2"/>
      <c r="AL1560" s="2">
        <v>24352000</v>
      </c>
      <c r="AM1560" s="2">
        <v>11688960</v>
      </c>
      <c r="AN1560" s="2"/>
      <c r="AO1560" s="2">
        <v>0</v>
      </c>
      <c r="AP1560" s="2">
        <v>12663040</v>
      </c>
      <c r="AQ1560" s="2">
        <v>0</v>
      </c>
      <c r="AR1560" s="2">
        <v>0</v>
      </c>
      <c r="AS1560" s="2">
        <v>0</v>
      </c>
      <c r="AT1560" s="2">
        <v>0</v>
      </c>
      <c r="AU1560" s="2">
        <v>0</v>
      </c>
      <c r="AV1560" s="2">
        <v>0</v>
      </c>
      <c r="AW1560" s="4"/>
      <c r="AX1560" t="s">
        <v>75</v>
      </c>
      <c r="AZ1560" t="s">
        <v>771</v>
      </c>
      <c r="BA1560" t="s">
        <v>67</v>
      </c>
      <c r="BB1560" t="s">
        <v>772</v>
      </c>
      <c r="BC1560" t="s">
        <v>770</v>
      </c>
      <c r="BD1560" t="s">
        <v>79</v>
      </c>
      <c r="BE1560" t="s">
        <v>201</v>
      </c>
      <c r="BF1560" s="5">
        <v>46966</v>
      </c>
      <c r="BH1560">
        <v>20</v>
      </c>
      <c r="BI1560" s="6">
        <v>399000</v>
      </c>
      <c r="BJ1560" s="6">
        <v>0</v>
      </c>
      <c r="BK1560" s="6">
        <v>0</v>
      </c>
      <c r="BL1560" s="6">
        <v>399000</v>
      </c>
      <c r="BM1560" s="2">
        <v>7980000</v>
      </c>
      <c r="BN1560">
        <f>InvoiceTable[[#This Row],[Giảm giá]]*InvoiceTable[[#This Row],[Số lượng]]</f>
        <v>0</v>
      </c>
    </row>
    <row r="1561" spans="1:66" x14ac:dyDescent="0.25">
      <c r="A1561" t="s">
        <v>65</v>
      </c>
      <c r="B1561" t="s">
        <v>4058</v>
      </c>
      <c r="F1561" s="2"/>
      <c r="G1561" s="3">
        <v>46000.463673958337</v>
      </c>
      <c r="H1561" s="3">
        <v>46000.463674305553</v>
      </c>
      <c r="I1561" s="4" t="s">
        <v>67</v>
      </c>
      <c r="J1561" t="s">
        <v>67</v>
      </c>
      <c r="K1561" t="s">
        <v>67</v>
      </c>
      <c r="L1561" t="s">
        <v>2361</v>
      </c>
      <c r="M1561" t="s">
        <v>2362</v>
      </c>
      <c r="N1561" t="s">
        <v>67</v>
      </c>
      <c r="O1561" t="s">
        <v>2363</v>
      </c>
      <c r="P1561" t="s">
        <v>2364</v>
      </c>
      <c r="Q1561" t="s">
        <v>67</v>
      </c>
      <c r="R1561" t="s">
        <v>67</v>
      </c>
      <c r="S1561" s="5"/>
      <c r="T1561" t="s">
        <v>72</v>
      </c>
      <c r="U1561" t="s">
        <v>87</v>
      </c>
      <c r="V1561" t="s">
        <v>74</v>
      </c>
      <c r="W1561" t="s">
        <v>87</v>
      </c>
      <c r="AE1561" s="2"/>
      <c r="AF1561" s="2"/>
      <c r="AG1561" s="2"/>
      <c r="AH1561" s="2"/>
      <c r="AL1561" s="2">
        <v>24352000</v>
      </c>
      <c r="AM1561" s="2">
        <v>11688960</v>
      </c>
      <c r="AN1561" s="2"/>
      <c r="AO1561" s="2">
        <v>0</v>
      </c>
      <c r="AP1561" s="2">
        <v>12663040</v>
      </c>
      <c r="AQ1561" s="2">
        <v>0</v>
      </c>
      <c r="AR1561" s="2">
        <v>0</v>
      </c>
      <c r="AS1561" s="2">
        <v>0</v>
      </c>
      <c r="AT1561" s="2">
        <v>0</v>
      </c>
      <c r="AU1561" s="2">
        <v>0</v>
      </c>
      <c r="AV1561" s="2">
        <v>0</v>
      </c>
      <c r="AW1561" s="4"/>
      <c r="AX1561" t="s">
        <v>75</v>
      </c>
      <c r="AZ1561" t="s">
        <v>4059</v>
      </c>
      <c r="BA1561" t="s">
        <v>67</v>
      </c>
      <c r="BB1561" t="s">
        <v>4060</v>
      </c>
      <c r="BC1561" t="s">
        <v>770</v>
      </c>
      <c r="BD1561" t="s">
        <v>79</v>
      </c>
      <c r="BE1561" t="s">
        <v>339</v>
      </c>
      <c r="BF1561" s="5">
        <v>47270</v>
      </c>
      <c r="BH1561">
        <v>2</v>
      </c>
      <c r="BI1561" s="6">
        <v>1200000</v>
      </c>
      <c r="BJ1561" s="6">
        <v>0</v>
      </c>
      <c r="BK1561" s="6">
        <v>0</v>
      </c>
      <c r="BL1561" s="6">
        <v>1200000</v>
      </c>
      <c r="BM1561" s="2">
        <v>2400000</v>
      </c>
      <c r="BN1561">
        <f>InvoiceTable[[#This Row],[Giảm giá]]*InvoiceTable[[#This Row],[Số lượng]]</f>
        <v>0</v>
      </c>
    </row>
    <row r="1562" spans="1:66" x14ac:dyDescent="0.25">
      <c r="A1562" t="s">
        <v>65</v>
      </c>
      <c r="B1562" t="s">
        <v>4058</v>
      </c>
      <c r="F1562" s="2"/>
      <c r="G1562" s="3">
        <v>46000.463673958337</v>
      </c>
      <c r="H1562" s="3">
        <v>46000.463674305553</v>
      </c>
      <c r="I1562" s="4" t="s">
        <v>67</v>
      </c>
      <c r="J1562" t="s">
        <v>67</v>
      </c>
      <c r="K1562" t="s">
        <v>67</v>
      </c>
      <c r="L1562" t="s">
        <v>2361</v>
      </c>
      <c r="M1562" t="s">
        <v>2362</v>
      </c>
      <c r="N1562" t="s">
        <v>67</v>
      </c>
      <c r="O1562" t="s">
        <v>2363</v>
      </c>
      <c r="P1562" t="s">
        <v>2364</v>
      </c>
      <c r="Q1562" t="s">
        <v>67</v>
      </c>
      <c r="R1562" t="s">
        <v>67</v>
      </c>
      <c r="S1562" s="5"/>
      <c r="T1562" t="s">
        <v>72</v>
      </c>
      <c r="U1562" t="s">
        <v>87</v>
      </c>
      <c r="V1562" t="s">
        <v>74</v>
      </c>
      <c r="W1562" t="s">
        <v>87</v>
      </c>
      <c r="AE1562" s="2"/>
      <c r="AF1562" s="2"/>
      <c r="AG1562" s="2"/>
      <c r="AH1562" s="2"/>
      <c r="AL1562" s="2">
        <v>24352000</v>
      </c>
      <c r="AM1562" s="2">
        <v>11688960</v>
      </c>
      <c r="AN1562" s="2"/>
      <c r="AO1562" s="2">
        <v>0</v>
      </c>
      <c r="AP1562" s="2">
        <v>12663040</v>
      </c>
      <c r="AQ1562" s="2">
        <v>0</v>
      </c>
      <c r="AR1562" s="2">
        <v>0</v>
      </c>
      <c r="AS1562" s="2">
        <v>0</v>
      </c>
      <c r="AT1562" s="2">
        <v>0</v>
      </c>
      <c r="AU1562" s="2">
        <v>0</v>
      </c>
      <c r="AV1562" s="2">
        <v>0</v>
      </c>
      <c r="AW1562" s="4"/>
      <c r="AX1562" t="s">
        <v>75</v>
      </c>
      <c r="AZ1562" t="s">
        <v>1266</v>
      </c>
      <c r="BA1562" t="s">
        <v>67</v>
      </c>
      <c r="BB1562" t="s">
        <v>1267</v>
      </c>
      <c r="BC1562" t="s">
        <v>770</v>
      </c>
      <c r="BD1562" t="s">
        <v>79</v>
      </c>
      <c r="BE1562" t="s">
        <v>177</v>
      </c>
      <c r="BF1562" s="5">
        <v>47027</v>
      </c>
      <c r="BH1562">
        <v>2</v>
      </c>
      <c r="BI1562" s="6">
        <v>686000</v>
      </c>
      <c r="BJ1562" s="6">
        <v>0</v>
      </c>
      <c r="BK1562" s="6">
        <v>0</v>
      </c>
      <c r="BL1562" s="6">
        <v>686000</v>
      </c>
      <c r="BM1562" s="2">
        <v>1372000</v>
      </c>
      <c r="BN1562">
        <f>InvoiceTable[[#This Row],[Giảm giá]]*InvoiceTable[[#This Row],[Số lượng]]</f>
        <v>0</v>
      </c>
    </row>
    <row r="1563" spans="1:66" x14ac:dyDescent="0.25">
      <c r="A1563" t="s">
        <v>65</v>
      </c>
      <c r="B1563" t="s">
        <v>4061</v>
      </c>
      <c r="F1563" s="2"/>
      <c r="G1563" s="3">
        <v>46000.457674224534</v>
      </c>
      <c r="H1563" s="3">
        <v>46000.457489201392</v>
      </c>
      <c r="I1563" s="4" t="s">
        <v>96</v>
      </c>
      <c r="J1563" t="s">
        <v>4062</v>
      </c>
      <c r="K1563" t="s">
        <v>67</v>
      </c>
      <c r="L1563" t="s">
        <v>1772</v>
      </c>
      <c r="M1563" t="s">
        <v>1773</v>
      </c>
      <c r="N1563" t="s">
        <v>67</v>
      </c>
      <c r="O1563" t="s">
        <v>1774</v>
      </c>
      <c r="P1563" t="s">
        <v>1775</v>
      </c>
      <c r="Q1563" t="s">
        <v>67</v>
      </c>
      <c r="R1563" t="s">
        <v>67</v>
      </c>
      <c r="S1563" s="5"/>
      <c r="T1563" t="s">
        <v>72</v>
      </c>
      <c r="U1563" t="s">
        <v>87</v>
      </c>
      <c r="V1563" t="s">
        <v>74</v>
      </c>
      <c r="W1563" t="s">
        <v>87</v>
      </c>
      <c r="AE1563" s="2"/>
      <c r="AF1563" s="2"/>
      <c r="AG1563" s="2"/>
      <c r="AH1563" s="2"/>
      <c r="AL1563" s="2">
        <v>11473750</v>
      </c>
      <c r="AM1563" s="2">
        <v>0</v>
      </c>
      <c r="AN1563" s="2"/>
      <c r="AO1563" s="2">
        <v>0</v>
      </c>
      <c r="AP1563" s="2">
        <v>11473750</v>
      </c>
      <c r="AQ1563" s="2">
        <v>0</v>
      </c>
      <c r="AR1563" s="2">
        <v>0</v>
      </c>
      <c r="AS1563" s="2">
        <v>0</v>
      </c>
      <c r="AT1563" s="2">
        <v>0</v>
      </c>
      <c r="AU1563" s="2">
        <v>0</v>
      </c>
      <c r="AV1563" s="2">
        <v>0</v>
      </c>
      <c r="AW1563" s="4"/>
      <c r="AX1563" t="s">
        <v>75</v>
      </c>
      <c r="AZ1563" t="s">
        <v>88</v>
      </c>
      <c r="BB1563" t="s">
        <v>89</v>
      </c>
      <c r="BC1563" t="s">
        <v>90</v>
      </c>
      <c r="BF1563" s="5"/>
      <c r="BG1563" t="s">
        <v>67</v>
      </c>
      <c r="BH1563">
        <v>1</v>
      </c>
      <c r="BI1563" s="6">
        <v>34000</v>
      </c>
      <c r="BJ1563" s="6">
        <v>0</v>
      </c>
      <c r="BK1563" s="6">
        <v>0</v>
      </c>
      <c r="BL1563" s="6">
        <v>34000</v>
      </c>
      <c r="BM1563" s="2">
        <v>34000</v>
      </c>
      <c r="BN1563">
        <f>InvoiceTable[[#This Row],[Giảm giá]]*InvoiceTable[[#This Row],[Số lượng]]</f>
        <v>0</v>
      </c>
    </row>
    <row r="1564" spans="1:66" x14ac:dyDescent="0.25">
      <c r="A1564" t="s">
        <v>65</v>
      </c>
      <c r="B1564" t="s">
        <v>4061</v>
      </c>
      <c r="F1564" s="2"/>
      <c r="G1564" s="3">
        <v>46000.457674224534</v>
      </c>
      <c r="H1564" s="3">
        <v>46000.457489201392</v>
      </c>
      <c r="I1564" s="4" t="s">
        <v>96</v>
      </c>
      <c r="J1564" t="s">
        <v>4062</v>
      </c>
      <c r="K1564" t="s">
        <v>67</v>
      </c>
      <c r="L1564" t="s">
        <v>1772</v>
      </c>
      <c r="M1564" t="s">
        <v>1773</v>
      </c>
      <c r="N1564" t="s">
        <v>67</v>
      </c>
      <c r="O1564" t="s">
        <v>1774</v>
      </c>
      <c r="P1564" t="s">
        <v>1775</v>
      </c>
      <c r="Q1564" t="s">
        <v>67</v>
      </c>
      <c r="R1564" t="s">
        <v>67</v>
      </c>
      <c r="S1564" s="5"/>
      <c r="T1564" t="s">
        <v>72</v>
      </c>
      <c r="U1564" t="s">
        <v>87</v>
      </c>
      <c r="V1564" t="s">
        <v>74</v>
      </c>
      <c r="W1564" t="s">
        <v>87</v>
      </c>
      <c r="AE1564" s="2"/>
      <c r="AF1564" s="2"/>
      <c r="AG1564" s="2"/>
      <c r="AH1564" s="2"/>
      <c r="AL1564" s="2">
        <v>11473750</v>
      </c>
      <c r="AM1564" s="2">
        <v>0</v>
      </c>
      <c r="AN1564" s="2"/>
      <c r="AO1564" s="2">
        <v>0</v>
      </c>
      <c r="AP1564" s="2">
        <v>11473750</v>
      </c>
      <c r="AQ1564" s="2">
        <v>0</v>
      </c>
      <c r="AR1564" s="2">
        <v>0</v>
      </c>
      <c r="AS1564" s="2">
        <v>0</v>
      </c>
      <c r="AT1564" s="2">
        <v>0</v>
      </c>
      <c r="AU1564" s="2">
        <v>0</v>
      </c>
      <c r="AV1564" s="2">
        <v>0</v>
      </c>
      <c r="AW1564" s="4"/>
      <c r="AX1564" t="s">
        <v>75</v>
      </c>
      <c r="AZ1564" t="s">
        <v>4063</v>
      </c>
      <c r="BA1564" t="s">
        <v>67</v>
      </c>
      <c r="BB1564" t="s">
        <v>4064</v>
      </c>
      <c r="BC1564" t="s">
        <v>204</v>
      </c>
      <c r="BD1564" t="s">
        <v>79</v>
      </c>
      <c r="BE1564" t="s">
        <v>198</v>
      </c>
      <c r="BF1564" s="5">
        <v>46753</v>
      </c>
      <c r="BH1564">
        <v>1</v>
      </c>
      <c r="BI1564" s="6">
        <v>1260000</v>
      </c>
      <c r="BJ1564" s="6">
        <v>37</v>
      </c>
      <c r="BK1564" s="6">
        <v>466200</v>
      </c>
      <c r="BL1564" s="6">
        <v>793800</v>
      </c>
      <c r="BM1564" s="2">
        <v>793800</v>
      </c>
      <c r="BN1564">
        <f>InvoiceTable[[#This Row],[Giảm giá]]*InvoiceTable[[#This Row],[Số lượng]]</f>
        <v>466200</v>
      </c>
    </row>
    <row r="1565" spans="1:66" x14ac:dyDescent="0.25">
      <c r="A1565" t="s">
        <v>65</v>
      </c>
      <c r="B1565" t="s">
        <v>4061</v>
      </c>
      <c r="F1565" s="2"/>
      <c r="G1565" s="3">
        <v>46000.457674224534</v>
      </c>
      <c r="H1565" s="3">
        <v>46000.457489201392</v>
      </c>
      <c r="I1565" s="4" t="s">
        <v>96</v>
      </c>
      <c r="J1565" t="s">
        <v>4062</v>
      </c>
      <c r="K1565" t="s">
        <v>67</v>
      </c>
      <c r="L1565" t="s">
        <v>1772</v>
      </c>
      <c r="M1565" t="s">
        <v>1773</v>
      </c>
      <c r="N1565" t="s">
        <v>67</v>
      </c>
      <c r="O1565" t="s">
        <v>1774</v>
      </c>
      <c r="P1565" t="s">
        <v>1775</v>
      </c>
      <c r="Q1565" t="s">
        <v>67</v>
      </c>
      <c r="R1565" t="s">
        <v>67</v>
      </c>
      <c r="S1565" s="5"/>
      <c r="T1565" t="s">
        <v>72</v>
      </c>
      <c r="U1565" t="s">
        <v>87</v>
      </c>
      <c r="V1565" t="s">
        <v>74</v>
      </c>
      <c r="W1565" t="s">
        <v>87</v>
      </c>
      <c r="AE1565" s="2"/>
      <c r="AF1565" s="2"/>
      <c r="AG1565" s="2"/>
      <c r="AH1565" s="2"/>
      <c r="AL1565" s="2">
        <v>11473750</v>
      </c>
      <c r="AM1565" s="2">
        <v>0</v>
      </c>
      <c r="AN1565" s="2"/>
      <c r="AO1565" s="2">
        <v>0</v>
      </c>
      <c r="AP1565" s="2">
        <v>11473750</v>
      </c>
      <c r="AQ1565" s="2">
        <v>0</v>
      </c>
      <c r="AR1565" s="2">
        <v>0</v>
      </c>
      <c r="AS1565" s="2">
        <v>0</v>
      </c>
      <c r="AT1565" s="2">
        <v>0</v>
      </c>
      <c r="AU1565" s="2">
        <v>0</v>
      </c>
      <c r="AV1565" s="2">
        <v>0</v>
      </c>
      <c r="AW1565" s="4"/>
      <c r="AX1565" t="s">
        <v>75</v>
      </c>
      <c r="AZ1565" t="s">
        <v>2690</v>
      </c>
      <c r="BA1565" t="s">
        <v>67</v>
      </c>
      <c r="BB1565" t="s">
        <v>2691</v>
      </c>
      <c r="BC1565" t="s">
        <v>204</v>
      </c>
      <c r="BD1565" t="s">
        <v>79</v>
      </c>
      <c r="BE1565" t="s">
        <v>317</v>
      </c>
      <c r="BF1565" s="5">
        <v>46935</v>
      </c>
      <c r="BH1565">
        <v>1</v>
      </c>
      <c r="BI1565" s="6">
        <v>490000</v>
      </c>
      <c r="BJ1565" s="6">
        <v>37</v>
      </c>
      <c r="BK1565" s="6">
        <v>181300</v>
      </c>
      <c r="BL1565" s="6">
        <v>308700</v>
      </c>
      <c r="BM1565" s="2">
        <v>308700</v>
      </c>
      <c r="BN1565">
        <f>InvoiceTable[[#This Row],[Giảm giá]]*InvoiceTable[[#This Row],[Số lượng]]</f>
        <v>181300</v>
      </c>
    </row>
    <row r="1566" spans="1:66" x14ac:dyDescent="0.25">
      <c r="A1566" t="s">
        <v>65</v>
      </c>
      <c r="B1566" t="s">
        <v>4061</v>
      </c>
      <c r="F1566" s="2"/>
      <c r="G1566" s="3">
        <v>46000.457674224534</v>
      </c>
      <c r="H1566" s="3">
        <v>46000.457489201392</v>
      </c>
      <c r="I1566" s="4" t="s">
        <v>96</v>
      </c>
      <c r="J1566" t="s">
        <v>4062</v>
      </c>
      <c r="K1566" t="s">
        <v>67</v>
      </c>
      <c r="L1566" t="s">
        <v>1772</v>
      </c>
      <c r="M1566" t="s">
        <v>1773</v>
      </c>
      <c r="N1566" t="s">
        <v>67</v>
      </c>
      <c r="O1566" t="s">
        <v>1774</v>
      </c>
      <c r="P1566" t="s">
        <v>1775</v>
      </c>
      <c r="Q1566" t="s">
        <v>67</v>
      </c>
      <c r="R1566" t="s">
        <v>67</v>
      </c>
      <c r="S1566" s="5"/>
      <c r="T1566" t="s">
        <v>72</v>
      </c>
      <c r="U1566" t="s">
        <v>87</v>
      </c>
      <c r="V1566" t="s">
        <v>74</v>
      </c>
      <c r="W1566" t="s">
        <v>87</v>
      </c>
      <c r="AE1566" s="2"/>
      <c r="AF1566" s="2"/>
      <c r="AG1566" s="2"/>
      <c r="AH1566" s="2"/>
      <c r="AL1566" s="2">
        <v>11473750</v>
      </c>
      <c r="AM1566" s="2">
        <v>0</v>
      </c>
      <c r="AN1566" s="2"/>
      <c r="AO1566" s="2">
        <v>0</v>
      </c>
      <c r="AP1566" s="2">
        <v>11473750</v>
      </c>
      <c r="AQ1566" s="2">
        <v>0</v>
      </c>
      <c r="AR1566" s="2">
        <v>0</v>
      </c>
      <c r="AS1566" s="2">
        <v>0</v>
      </c>
      <c r="AT1566" s="2">
        <v>0</v>
      </c>
      <c r="AU1566" s="2">
        <v>0</v>
      </c>
      <c r="AV1566" s="2">
        <v>0</v>
      </c>
      <c r="AW1566" s="4"/>
      <c r="AX1566" t="s">
        <v>75</v>
      </c>
      <c r="AZ1566" t="s">
        <v>2818</v>
      </c>
      <c r="BA1566" t="s">
        <v>67</v>
      </c>
      <c r="BB1566" t="s">
        <v>2819</v>
      </c>
      <c r="BC1566" t="s">
        <v>204</v>
      </c>
      <c r="BD1566" t="s">
        <v>79</v>
      </c>
      <c r="BE1566" t="s">
        <v>205</v>
      </c>
      <c r="BF1566" s="5">
        <v>47453</v>
      </c>
      <c r="BH1566">
        <v>1</v>
      </c>
      <c r="BI1566" s="6">
        <v>385000</v>
      </c>
      <c r="BJ1566" s="6">
        <v>37</v>
      </c>
      <c r="BK1566" s="6">
        <v>142450</v>
      </c>
      <c r="BL1566" s="6">
        <v>242550</v>
      </c>
      <c r="BM1566" s="2">
        <v>242550</v>
      </c>
      <c r="BN1566">
        <f>InvoiceTable[[#This Row],[Giảm giá]]*InvoiceTable[[#This Row],[Số lượng]]</f>
        <v>142450</v>
      </c>
    </row>
    <row r="1567" spans="1:66" x14ac:dyDescent="0.25">
      <c r="A1567" t="s">
        <v>65</v>
      </c>
      <c r="B1567" t="s">
        <v>4061</v>
      </c>
      <c r="F1567" s="2"/>
      <c r="G1567" s="3">
        <v>46000.457674224534</v>
      </c>
      <c r="H1567" s="3">
        <v>46000.457489201392</v>
      </c>
      <c r="I1567" s="4" t="s">
        <v>96</v>
      </c>
      <c r="J1567" t="s">
        <v>4062</v>
      </c>
      <c r="K1567" t="s">
        <v>67</v>
      </c>
      <c r="L1567" t="s">
        <v>1772</v>
      </c>
      <c r="M1567" t="s">
        <v>1773</v>
      </c>
      <c r="N1567" t="s">
        <v>67</v>
      </c>
      <c r="O1567" t="s">
        <v>1774</v>
      </c>
      <c r="P1567" t="s">
        <v>1775</v>
      </c>
      <c r="Q1567" t="s">
        <v>67</v>
      </c>
      <c r="R1567" t="s">
        <v>67</v>
      </c>
      <c r="S1567" s="5"/>
      <c r="T1567" t="s">
        <v>72</v>
      </c>
      <c r="U1567" t="s">
        <v>87</v>
      </c>
      <c r="V1567" t="s">
        <v>74</v>
      </c>
      <c r="W1567" t="s">
        <v>87</v>
      </c>
      <c r="AE1567" s="2"/>
      <c r="AF1567" s="2"/>
      <c r="AG1567" s="2"/>
      <c r="AH1567" s="2"/>
      <c r="AL1567" s="2">
        <v>11473750</v>
      </c>
      <c r="AM1567" s="2">
        <v>0</v>
      </c>
      <c r="AN1567" s="2"/>
      <c r="AO1567" s="2">
        <v>0</v>
      </c>
      <c r="AP1567" s="2">
        <v>11473750</v>
      </c>
      <c r="AQ1567" s="2">
        <v>0</v>
      </c>
      <c r="AR1567" s="2">
        <v>0</v>
      </c>
      <c r="AS1567" s="2">
        <v>0</v>
      </c>
      <c r="AT1567" s="2">
        <v>0</v>
      </c>
      <c r="AU1567" s="2">
        <v>0</v>
      </c>
      <c r="AV1567" s="2">
        <v>0</v>
      </c>
      <c r="AW1567" s="4"/>
      <c r="AX1567" t="s">
        <v>75</v>
      </c>
      <c r="AZ1567" t="s">
        <v>4065</v>
      </c>
      <c r="BA1567" t="s">
        <v>67</v>
      </c>
      <c r="BB1567" t="s">
        <v>4066</v>
      </c>
      <c r="BC1567" t="s">
        <v>3152</v>
      </c>
      <c r="BD1567" t="s">
        <v>79</v>
      </c>
      <c r="BE1567" t="s">
        <v>434</v>
      </c>
      <c r="BF1567" s="5">
        <v>46661</v>
      </c>
      <c r="BG1567" t="s">
        <v>67</v>
      </c>
      <c r="BH1567">
        <v>2</v>
      </c>
      <c r="BI1567" s="6">
        <v>4578000</v>
      </c>
      <c r="BJ1567" s="6">
        <v>45</v>
      </c>
      <c r="BK1567" s="6">
        <v>2060100</v>
      </c>
      <c r="BL1567" s="6">
        <v>2517900</v>
      </c>
      <c r="BM1567" s="2">
        <v>5035800</v>
      </c>
      <c r="BN1567">
        <f>InvoiceTable[[#This Row],[Giảm giá]]*InvoiceTable[[#This Row],[Số lượng]]</f>
        <v>4120200</v>
      </c>
    </row>
    <row r="1568" spans="1:66" x14ac:dyDescent="0.25">
      <c r="A1568" t="s">
        <v>65</v>
      </c>
      <c r="B1568" t="s">
        <v>4061</v>
      </c>
      <c r="F1568" s="2"/>
      <c r="G1568" s="3">
        <v>46000.457674224534</v>
      </c>
      <c r="H1568" s="3">
        <v>46000.457489201392</v>
      </c>
      <c r="I1568" s="4" t="s">
        <v>96</v>
      </c>
      <c r="J1568" t="s">
        <v>4062</v>
      </c>
      <c r="K1568" t="s">
        <v>67</v>
      </c>
      <c r="L1568" t="s">
        <v>1772</v>
      </c>
      <c r="M1568" t="s">
        <v>1773</v>
      </c>
      <c r="N1568" t="s">
        <v>67</v>
      </c>
      <c r="O1568" t="s">
        <v>1774</v>
      </c>
      <c r="P1568" t="s">
        <v>1775</v>
      </c>
      <c r="Q1568" t="s">
        <v>67</v>
      </c>
      <c r="R1568" t="s">
        <v>67</v>
      </c>
      <c r="S1568" s="5"/>
      <c r="T1568" t="s">
        <v>72</v>
      </c>
      <c r="U1568" t="s">
        <v>87</v>
      </c>
      <c r="V1568" t="s">
        <v>74</v>
      </c>
      <c r="W1568" t="s">
        <v>87</v>
      </c>
      <c r="AE1568" s="2"/>
      <c r="AF1568" s="2"/>
      <c r="AG1568" s="2"/>
      <c r="AH1568" s="2"/>
      <c r="AL1568" s="2">
        <v>11473750</v>
      </c>
      <c r="AM1568" s="2">
        <v>0</v>
      </c>
      <c r="AN1568" s="2"/>
      <c r="AO1568" s="2">
        <v>0</v>
      </c>
      <c r="AP1568" s="2">
        <v>11473750</v>
      </c>
      <c r="AQ1568" s="2">
        <v>0</v>
      </c>
      <c r="AR1568" s="2">
        <v>0</v>
      </c>
      <c r="AS1568" s="2">
        <v>0</v>
      </c>
      <c r="AT1568" s="2">
        <v>0</v>
      </c>
      <c r="AU1568" s="2">
        <v>0</v>
      </c>
      <c r="AV1568" s="2">
        <v>0</v>
      </c>
      <c r="AW1568" s="4"/>
      <c r="AX1568" t="s">
        <v>75</v>
      </c>
      <c r="AZ1568" t="s">
        <v>4067</v>
      </c>
      <c r="BA1568" t="s">
        <v>67</v>
      </c>
      <c r="BB1568" t="s">
        <v>4068</v>
      </c>
      <c r="BC1568" t="s">
        <v>3152</v>
      </c>
      <c r="BD1568" t="s">
        <v>79</v>
      </c>
      <c r="BE1568" t="s">
        <v>434</v>
      </c>
      <c r="BF1568" s="5">
        <v>46661</v>
      </c>
      <c r="BH1568">
        <v>1</v>
      </c>
      <c r="BI1568" s="6">
        <v>4599000</v>
      </c>
      <c r="BJ1568" s="6">
        <v>45</v>
      </c>
      <c r="BK1568" s="6">
        <v>2069550</v>
      </c>
      <c r="BL1568" s="6">
        <v>2529450</v>
      </c>
      <c r="BM1568" s="2">
        <v>2529450</v>
      </c>
      <c r="BN1568">
        <f>InvoiceTable[[#This Row],[Giảm giá]]*InvoiceTable[[#This Row],[Số lượng]]</f>
        <v>2069550</v>
      </c>
    </row>
    <row r="1569" spans="1:66" x14ac:dyDescent="0.25">
      <c r="A1569" t="s">
        <v>65</v>
      </c>
      <c r="B1569" t="s">
        <v>4061</v>
      </c>
      <c r="F1569" s="2"/>
      <c r="G1569" s="3">
        <v>46000.457674224534</v>
      </c>
      <c r="H1569" s="3">
        <v>46000.457489201392</v>
      </c>
      <c r="I1569" s="4" t="s">
        <v>96</v>
      </c>
      <c r="J1569" t="s">
        <v>4062</v>
      </c>
      <c r="K1569" t="s">
        <v>67</v>
      </c>
      <c r="L1569" t="s">
        <v>1772</v>
      </c>
      <c r="M1569" t="s">
        <v>1773</v>
      </c>
      <c r="N1569" t="s">
        <v>67</v>
      </c>
      <c r="O1569" t="s">
        <v>1774</v>
      </c>
      <c r="P1569" t="s">
        <v>1775</v>
      </c>
      <c r="Q1569" t="s">
        <v>67</v>
      </c>
      <c r="R1569" t="s">
        <v>67</v>
      </c>
      <c r="S1569" s="5"/>
      <c r="T1569" t="s">
        <v>72</v>
      </c>
      <c r="U1569" t="s">
        <v>87</v>
      </c>
      <c r="V1569" t="s">
        <v>74</v>
      </c>
      <c r="W1569" t="s">
        <v>87</v>
      </c>
      <c r="AE1569" s="2"/>
      <c r="AF1569" s="2"/>
      <c r="AG1569" s="2"/>
      <c r="AH1569" s="2"/>
      <c r="AL1569" s="2">
        <v>11473750</v>
      </c>
      <c r="AM1569" s="2">
        <v>0</v>
      </c>
      <c r="AN1569" s="2"/>
      <c r="AO1569" s="2">
        <v>0</v>
      </c>
      <c r="AP1569" s="2">
        <v>11473750</v>
      </c>
      <c r="AQ1569" s="2">
        <v>0</v>
      </c>
      <c r="AR1569" s="2">
        <v>0</v>
      </c>
      <c r="AS1569" s="2">
        <v>0</v>
      </c>
      <c r="AT1569" s="2">
        <v>0</v>
      </c>
      <c r="AU1569" s="2">
        <v>0</v>
      </c>
      <c r="AV1569" s="2">
        <v>0</v>
      </c>
      <c r="AW1569" s="4"/>
      <c r="AX1569" t="s">
        <v>75</v>
      </c>
      <c r="AZ1569" t="s">
        <v>4067</v>
      </c>
      <c r="BA1569" t="s">
        <v>67</v>
      </c>
      <c r="BB1569" t="s">
        <v>4068</v>
      </c>
      <c r="BC1569" t="s">
        <v>3152</v>
      </c>
      <c r="BD1569" t="s">
        <v>79</v>
      </c>
      <c r="BE1569" t="s">
        <v>4069</v>
      </c>
      <c r="BF1569" s="5">
        <v>46235</v>
      </c>
      <c r="BG1569" t="s">
        <v>67</v>
      </c>
      <c r="BH1569">
        <v>1</v>
      </c>
      <c r="BI1569" s="6">
        <v>4599000</v>
      </c>
      <c r="BJ1569" s="6">
        <v>0</v>
      </c>
      <c r="BK1569" s="6">
        <v>4599000</v>
      </c>
      <c r="BL1569" s="6">
        <v>0</v>
      </c>
      <c r="BM1569" s="2">
        <v>0</v>
      </c>
      <c r="BN1569">
        <f>InvoiceTable[[#This Row],[Giảm giá]]*InvoiceTable[[#This Row],[Số lượng]]</f>
        <v>4599000</v>
      </c>
    </row>
    <row r="1570" spans="1:66" x14ac:dyDescent="0.25">
      <c r="A1570" t="s">
        <v>65</v>
      </c>
      <c r="B1570" t="s">
        <v>4061</v>
      </c>
      <c r="F1570" s="2"/>
      <c r="G1570" s="3">
        <v>46000.457674224534</v>
      </c>
      <c r="H1570" s="3">
        <v>46000.457489201392</v>
      </c>
      <c r="I1570" s="4" t="s">
        <v>96</v>
      </c>
      <c r="J1570" t="s">
        <v>4062</v>
      </c>
      <c r="K1570" t="s">
        <v>67</v>
      </c>
      <c r="L1570" t="s">
        <v>1772</v>
      </c>
      <c r="M1570" t="s">
        <v>1773</v>
      </c>
      <c r="N1570" t="s">
        <v>67</v>
      </c>
      <c r="O1570" t="s">
        <v>1774</v>
      </c>
      <c r="P1570" t="s">
        <v>1775</v>
      </c>
      <c r="Q1570" t="s">
        <v>67</v>
      </c>
      <c r="R1570" t="s">
        <v>67</v>
      </c>
      <c r="S1570" s="5"/>
      <c r="T1570" t="s">
        <v>72</v>
      </c>
      <c r="U1570" t="s">
        <v>87</v>
      </c>
      <c r="V1570" t="s">
        <v>74</v>
      </c>
      <c r="W1570" t="s">
        <v>87</v>
      </c>
      <c r="AE1570" s="2"/>
      <c r="AF1570" s="2"/>
      <c r="AG1570" s="2"/>
      <c r="AH1570" s="2"/>
      <c r="AL1570" s="2">
        <v>11473750</v>
      </c>
      <c r="AM1570" s="2">
        <v>0</v>
      </c>
      <c r="AN1570" s="2"/>
      <c r="AO1570" s="2">
        <v>0</v>
      </c>
      <c r="AP1570" s="2">
        <v>11473750</v>
      </c>
      <c r="AQ1570" s="2">
        <v>0</v>
      </c>
      <c r="AR1570" s="2">
        <v>0</v>
      </c>
      <c r="AS1570" s="2">
        <v>0</v>
      </c>
      <c r="AT1570" s="2">
        <v>0</v>
      </c>
      <c r="AU1570" s="2">
        <v>0</v>
      </c>
      <c r="AV1570" s="2">
        <v>0</v>
      </c>
      <c r="AW1570" s="4"/>
      <c r="AX1570" t="s">
        <v>75</v>
      </c>
      <c r="AZ1570" t="s">
        <v>4070</v>
      </c>
      <c r="BB1570" t="s">
        <v>4071</v>
      </c>
      <c r="BC1570" t="s">
        <v>3152</v>
      </c>
      <c r="BD1570" t="s">
        <v>79</v>
      </c>
      <c r="BE1570" t="s">
        <v>682</v>
      </c>
      <c r="BF1570" s="5">
        <v>46357</v>
      </c>
      <c r="BH1570">
        <v>4</v>
      </c>
      <c r="BI1570" s="6">
        <v>1149750</v>
      </c>
      <c r="BJ1570" s="6">
        <v>45</v>
      </c>
      <c r="BK1570" s="6">
        <v>517387.5</v>
      </c>
      <c r="BL1570" s="6">
        <v>632362.5</v>
      </c>
      <c r="BM1570" s="2">
        <v>2529450</v>
      </c>
      <c r="BN1570">
        <f>InvoiceTable[[#This Row],[Giảm giá]]*InvoiceTable[[#This Row],[Số lượng]]</f>
        <v>2069550</v>
      </c>
    </row>
    <row r="1571" spans="1:66" x14ac:dyDescent="0.25">
      <c r="A1571" t="s">
        <v>65</v>
      </c>
      <c r="B1571" t="s">
        <v>4072</v>
      </c>
      <c r="F1571" s="2"/>
      <c r="G1571" s="3">
        <v>46000.437209293981</v>
      </c>
      <c r="H1571" s="3">
        <v>46000.437116817127</v>
      </c>
      <c r="I1571" s="4" t="s">
        <v>1465</v>
      </c>
      <c r="J1571" t="s">
        <v>67</v>
      </c>
      <c r="K1571" t="s">
        <v>67</v>
      </c>
      <c r="L1571" t="s">
        <v>4073</v>
      </c>
      <c r="M1571" t="s">
        <v>4074</v>
      </c>
      <c r="N1571" t="s">
        <v>67</v>
      </c>
      <c r="O1571" t="s">
        <v>4075</v>
      </c>
      <c r="P1571" t="s">
        <v>4076</v>
      </c>
      <c r="Q1571" t="s">
        <v>67</v>
      </c>
      <c r="R1571" t="s">
        <v>67</v>
      </c>
      <c r="S1571" s="5"/>
      <c r="T1571" t="s">
        <v>72</v>
      </c>
      <c r="U1571" t="s">
        <v>87</v>
      </c>
      <c r="V1571" t="s">
        <v>74</v>
      </c>
      <c r="W1571" t="s">
        <v>87</v>
      </c>
      <c r="AE1571" s="2"/>
      <c r="AF1571" s="2"/>
      <c r="AG1571" s="2"/>
      <c r="AH1571" s="2"/>
      <c r="AL1571" s="2">
        <v>570000</v>
      </c>
      <c r="AM1571" s="2">
        <v>0</v>
      </c>
      <c r="AN1571" s="2"/>
      <c r="AO1571" s="2">
        <v>0</v>
      </c>
      <c r="AP1571" s="2">
        <v>570000</v>
      </c>
      <c r="AQ1571" s="2">
        <v>0</v>
      </c>
      <c r="AR1571" s="2">
        <v>0</v>
      </c>
      <c r="AS1571" s="2">
        <v>0</v>
      </c>
      <c r="AT1571" s="2">
        <v>0</v>
      </c>
      <c r="AU1571" s="2">
        <v>0</v>
      </c>
      <c r="AV1571" s="2">
        <v>0</v>
      </c>
      <c r="AW1571" s="4"/>
      <c r="AX1571" t="s">
        <v>75</v>
      </c>
      <c r="AZ1571" t="s">
        <v>1603</v>
      </c>
      <c r="BA1571" t="s">
        <v>67</v>
      </c>
      <c r="BB1571" t="s">
        <v>1604</v>
      </c>
      <c r="BC1571" t="s">
        <v>90</v>
      </c>
      <c r="BD1571" t="s">
        <v>79</v>
      </c>
      <c r="BE1571" t="s">
        <v>168</v>
      </c>
      <c r="BF1571" s="5">
        <v>46388</v>
      </c>
      <c r="BH1571">
        <v>3</v>
      </c>
      <c r="BI1571" s="6">
        <v>400000</v>
      </c>
      <c r="BJ1571" s="6">
        <v>0</v>
      </c>
      <c r="BK1571" s="6">
        <v>210000</v>
      </c>
      <c r="BL1571" s="6">
        <v>190000</v>
      </c>
      <c r="BM1571" s="2">
        <v>570000</v>
      </c>
      <c r="BN1571">
        <f>InvoiceTable[[#This Row],[Giảm giá]]*InvoiceTable[[#This Row],[Số lượng]]</f>
        <v>630000</v>
      </c>
    </row>
    <row r="1572" spans="1:66" x14ac:dyDescent="0.25">
      <c r="A1572" t="s">
        <v>65</v>
      </c>
      <c r="B1572" t="s">
        <v>4077</v>
      </c>
      <c r="F1572" s="2"/>
      <c r="G1572" s="3">
        <v>46000.431311956017</v>
      </c>
      <c r="H1572" s="3">
        <v>46000.431138657405</v>
      </c>
      <c r="I1572" s="4" t="s">
        <v>1465</v>
      </c>
      <c r="J1572" t="s">
        <v>4078</v>
      </c>
      <c r="K1572" t="s">
        <v>67</v>
      </c>
      <c r="L1572" t="s">
        <v>398</v>
      </c>
      <c r="M1572" t="s">
        <v>399</v>
      </c>
      <c r="N1572" t="s">
        <v>400</v>
      </c>
      <c r="O1572" t="s">
        <v>401</v>
      </c>
      <c r="P1572" t="s">
        <v>402</v>
      </c>
      <c r="S1572" s="5"/>
      <c r="T1572" t="s">
        <v>72</v>
      </c>
      <c r="U1572" t="s">
        <v>102</v>
      </c>
      <c r="V1572" t="s">
        <v>74</v>
      </c>
      <c r="W1572" t="s">
        <v>87</v>
      </c>
      <c r="AE1572" s="2"/>
      <c r="AF1572" s="2"/>
      <c r="AG1572" s="2"/>
      <c r="AH1572" s="2"/>
      <c r="AK1572" t="s">
        <v>4079</v>
      </c>
      <c r="AL1572" s="2">
        <v>547200</v>
      </c>
      <c r="AM1572" s="2">
        <v>0</v>
      </c>
      <c r="AN1572" s="2"/>
      <c r="AO1572" s="2">
        <v>0</v>
      </c>
      <c r="AP1572" s="2">
        <v>547200</v>
      </c>
      <c r="AQ1572" s="2">
        <v>0</v>
      </c>
      <c r="AR1572" s="2">
        <v>0</v>
      </c>
      <c r="AS1572" s="2">
        <v>0</v>
      </c>
      <c r="AT1572" s="2">
        <v>0</v>
      </c>
      <c r="AU1572" s="2">
        <v>0</v>
      </c>
      <c r="AV1572" s="2">
        <v>0</v>
      </c>
      <c r="AW1572" s="4"/>
      <c r="AX1572" t="s">
        <v>75</v>
      </c>
      <c r="AZ1572" t="s">
        <v>286</v>
      </c>
      <c r="BA1572" t="s">
        <v>67</v>
      </c>
      <c r="BB1572" t="s">
        <v>287</v>
      </c>
      <c r="BC1572" t="s">
        <v>285</v>
      </c>
      <c r="BD1572" t="s">
        <v>79</v>
      </c>
      <c r="BE1572" t="s">
        <v>117</v>
      </c>
      <c r="BF1572" s="5">
        <v>46569</v>
      </c>
      <c r="BH1572">
        <v>1</v>
      </c>
      <c r="BI1572" s="6">
        <v>960000</v>
      </c>
      <c r="BJ1572" s="6">
        <v>43</v>
      </c>
      <c r="BK1572" s="6">
        <v>412800</v>
      </c>
      <c r="BL1572" s="6">
        <v>547200</v>
      </c>
      <c r="BM1572" s="2">
        <v>547200</v>
      </c>
      <c r="BN1572">
        <f>InvoiceTable[[#This Row],[Giảm giá]]*InvoiceTable[[#This Row],[Số lượng]]</f>
        <v>412800</v>
      </c>
    </row>
    <row r="1573" spans="1:66" x14ac:dyDescent="0.25">
      <c r="A1573" t="s">
        <v>65</v>
      </c>
      <c r="B1573" t="s">
        <v>4080</v>
      </c>
      <c r="F1573" s="2"/>
      <c r="G1573" s="3">
        <v>46000.430990162036</v>
      </c>
      <c r="H1573" s="3">
        <v>46000.430990312503</v>
      </c>
      <c r="I1573" s="4" t="s">
        <v>67</v>
      </c>
      <c r="J1573" t="s">
        <v>4081</v>
      </c>
      <c r="K1573" t="s">
        <v>67</v>
      </c>
      <c r="L1573" t="s">
        <v>2118</v>
      </c>
      <c r="M1573" t="s">
        <v>2119</v>
      </c>
      <c r="N1573" t="s">
        <v>2120</v>
      </c>
      <c r="O1573" t="s">
        <v>2121</v>
      </c>
      <c r="P1573" t="s">
        <v>2122</v>
      </c>
      <c r="S1573" s="5"/>
      <c r="T1573" t="s">
        <v>72</v>
      </c>
      <c r="U1573" t="s">
        <v>73</v>
      </c>
      <c r="V1573" t="s">
        <v>74</v>
      </c>
      <c r="W1573" t="s">
        <v>87</v>
      </c>
      <c r="AE1573" s="2"/>
      <c r="AF1573" s="2"/>
      <c r="AG1573" s="2"/>
      <c r="AH1573" s="2"/>
      <c r="AK1573" t="s">
        <v>258</v>
      </c>
      <c r="AL1573" s="2">
        <v>307769</v>
      </c>
      <c r="AM1573" s="2">
        <v>0</v>
      </c>
      <c r="AN1573" s="2"/>
      <c r="AO1573" s="2">
        <v>0</v>
      </c>
      <c r="AP1573" s="2">
        <v>307769</v>
      </c>
      <c r="AQ1573" s="2">
        <v>307769</v>
      </c>
      <c r="AR1573" s="2">
        <v>307769</v>
      </c>
      <c r="AS1573" s="2">
        <v>0</v>
      </c>
      <c r="AT1573" s="2">
        <v>0</v>
      </c>
      <c r="AU1573" s="2">
        <v>0</v>
      </c>
      <c r="AV1573" s="2">
        <v>0</v>
      </c>
      <c r="AW1573" s="4"/>
      <c r="AX1573" t="s">
        <v>75</v>
      </c>
      <c r="AZ1573" t="s">
        <v>88</v>
      </c>
      <c r="BB1573" t="s">
        <v>89</v>
      </c>
      <c r="BC1573" t="s">
        <v>90</v>
      </c>
      <c r="BF1573" s="5"/>
      <c r="BG1573" t="s">
        <v>67</v>
      </c>
      <c r="BH1573">
        <v>1</v>
      </c>
      <c r="BI1573" s="6">
        <v>35000</v>
      </c>
      <c r="BJ1573" s="6">
        <v>0</v>
      </c>
      <c r="BK1573" s="6">
        <v>0</v>
      </c>
      <c r="BL1573" s="6">
        <v>35000</v>
      </c>
      <c r="BM1573" s="2">
        <v>35000</v>
      </c>
      <c r="BN1573">
        <f>InvoiceTable[[#This Row],[Giảm giá]]*InvoiceTable[[#This Row],[Số lượng]]</f>
        <v>0</v>
      </c>
    </row>
    <row r="1574" spans="1:66" x14ac:dyDescent="0.25">
      <c r="A1574" t="s">
        <v>65</v>
      </c>
      <c r="B1574" t="s">
        <v>4080</v>
      </c>
      <c r="F1574" s="2"/>
      <c r="G1574" s="3">
        <v>46000.430990162036</v>
      </c>
      <c r="H1574" s="3">
        <v>46000.430990312503</v>
      </c>
      <c r="I1574" s="4" t="s">
        <v>67</v>
      </c>
      <c r="J1574" t="s">
        <v>4081</v>
      </c>
      <c r="K1574" t="s">
        <v>67</v>
      </c>
      <c r="L1574" t="s">
        <v>2118</v>
      </c>
      <c r="M1574" t="s">
        <v>2119</v>
      </c>
      <c r="N1574" t="s">
        <v>2120</v>
      </c>
      <c r="O1574" t="s">
        <v>2121</v>
      </c>
      <c r="P1574" t="s">
        <v>2122</v>
      </c>
      <c r="S1574" s="5"/>
      <c r="T1574" t="s">
        <v>72</v>
      </c>
      <c r="U1574" t="s">
        <v>73</v>
      </c>
      <c r="V1574" t="s">
        <v>74</v>
      </c>
      <c r="W1574" t="s">
        <v>87</v>
      </c>
      <c r="AE1574" s="2"/>
      <c r="AF1574" s="2"/>
      <c r="AG1574" s="2"/>
      <c r="AH1574" s="2"/>
      <c r="AK1574" t="s">
        <v>258</v>
      </c>
      <c r="AL1574" s="2">
        <v>307769</v>
      </c>
      <c r="AM1574" s="2">
        <v>0</v>
      </c>
      <c r="AN1574" s="2"/>
      <c r="AO1574" s="2">
        <v>0</v>
      </c>
      <c r="AP1574" s="2">
        <v>307769</v>
      </c>
      <c r="AQ1574" s="2">
        <v>307769</v>
      </c>
      <c r="AR1574" s="2">
        <v>307769</v>
      </c>
      <c r="AS1574" s="2">
        <v>0</v>
      </c>
      <c r="AT1574" s="2">
        <v>0</v>
      </c>
      <c r="AU1574" s="2">
        <v>0</v>
      </c>
      <c r="AV1574" s="2">
        <v>0</v>
      </c>
      <c r="AW1574" s="4"/>
      <c r="AX1574" t="s">
        <v>75</v>
      </c>
      <c r="AZ1574" t="s">
        <v>860</v>
      </c>
      <c r="BA1574" t="s">
        <v>67</v>
      </c>
      <c r="BB1574" t="s">
        <v>861</v>
      </c>
      <c r="BC1574" t="s">
        <v>191</v>
      </c>
      <c r="BD1574" t="s">
        <v>79</v>
      </c>
      <c r="BE1574" t="s">
        <v>862</v>
      </c>
      <c r="BF1574" s="5">
        <v>47515</v>
      </c>
      <c r="BH1574">
        <v>1</v>
      </c>
      <c r="BI1574" s="6">
        <v>470291</v>
      </c>
      <c r="BJ1574" s="6">
        <v>42</v>
      </c>
      <c r="BK1574" s="6">
        <v>197522.22</v>
      </c>
      <c r="BL1574" s="6">
        <v>272768.78000000003</v>
      </c>
      <c r="BM1574" s="2">
        <v>272769</v>
      </c>
      <c r="BN1574">
        <f>InvoiceTable[[#This Row],[Giảm giá]]*InvoiceTable[[#This Row],[Số lượng]]</f>
        <v>197522.22</v>
      </c>
    </row>
    <row r="1575" spans="1:66" x14ac:dyDescent="0.25">
      <c r="A1575" t="s">
        <v>65</v>
      </c>
      <c r="B1575" t="s">
        <v>4082</v>
      </c>
      <c r="F1575" s="2"/>
      <c r="G1575" s="3">
        <v>46000.429868402774</v>
      </c>
      <c r="H1575" s="3">
        <v>46000.42975304398</v>
      </c>
      <c r="I1575" s="4" t="s">
        <v>1465</v>
      </c>
      <c r="J1575" t="s">
        <v>4083</v>
      </c>
      <c r="K1575" t="s">
        <v>67</v>
      </c>
      <c r="L1575" t="s">
        <v>4084</v>
      </c>
      <c r="M1575" t="s">
        <v>4085</v>
      </c>
      <c r="N1575" t="s">
        <v>67</v>
      </c>
      <c r="Q1575" t="s">
        <v>67</v>
      </c>
      <c r="R1575" t="s">
        <v>67</v>
      </c>
      <c r="S1575" s="5"/>
      <c r="T1575" t="s">
        <v>72</v>
      </c>
      <c r="U1575" t="s">
        <v>1031</v>
      </c>
      <c r="V1575" t="s">
        <v>74</v>
      </c>
      <c r="W1575" t="s">
        <v>87</v>
      </c>
      <c r="AE1575" s="2"/>
      <c r="AF1575" s="2"/>
      <c r="AG1575" s="2"/>
      <c r="AH1575" s="2"/>
      <c r="AK1575" t="s">
        <v>4086</v>
      </c>
      <c r="AL1575" s="2">
        <v>2659000</v>
      </c>
      <c r="AM1575" s="2">
        <v>0</v>
      </c>
      <c r="AN1575" s="2"/>
      <c r="AO1575" s="2">
        <v>0</v>
      </c>
      <c r="AP1575" s="2">
        <v>2659000</v>
      </c>
      <c r="AQ1575" s="2">
        <v>0</v>
      </c>
      <c r="AR1575" s="2">
        <v>0</v>
      </c>
      <c r="AS1575" s="2">
        <v>0</v>
      </c>
      <c r="AT1575" s="2">
        <v>0</v>
      </c>
      <c r="AU1575" s="2">
        <v>0</v>
      </c>
      <c r="AV1575" s="2">
        <v>0</v>
      </c>
      <c r="AW1575" s="4"/>
      <c r="AX1575" t="s">
        <v>75</v>
      </c>
      <c r="AZ1575" t="s">
        <v>3736</v>
      </c>
      <c r="BA1575" t="s">
        <v>67</v>
      </c>
      <c r="BB1575" t="s">
        <v>3737</v>
      </c>
      <c r="BC1575" t="s">
        <v>874</v>
      </c>
      <c r="BD1575" t="s">
        <v>79</v>
      </c>
      <c r="BE1575" t="s">
        <v>198</v>
      </c>
      <c r="BF1575" s="5">
        <v>46753</v>
      </c>
      <c r="BG1575" t="s">
        <v>67</v>
      </c>
      <c r="BH1575">
        <v>1</v>
      </c>
      <c r="BI1575" s="6">
        <v>990000</v>
      </c>
      <c r="BJ1575" s="6">
        <v>40</v>
      </c>
      <c r="BK1575" s="6">
        <v>396000</v>
      </c>
      <c r="BL1575" s="6">
        <v>594000</v>
      </c>
      <c r="BM1575" s="2">
        <v>594000</v>
      </c>
      <c r="BN1575">
        <f>InvoiceTable[[#This Row],[Giảm giá]]*InvoiceTable[[#This Row],[Số lượng]]</f>
        <v>396000</v>
      </c>
    </row>
    <row r="1576" spans="1:66" x14ac:dyDescent="0.25">
      <c r="A1576" t="s">
        <v>65</v>
      </c>
      <c r="B1576" t="s">
        <v>4082</v>
      </c>
      <c r="F1576" s="2"/>
      <c r="G1576" s="3">
        <v>46000.429868402774</v>
      </c>
      <c r="H1576" s="3">
        <v>46000.42975304398</v>
      </c>
      <c r="I1576" s="4" t="s">
        <v>1465</v>
      </c>
      <c r="J1576" t="s">
        <v>4083</v>
      </c>
      <c r="K1576" t="s">
        <v>67</v>
      </c>
      <c r="L1576" t="s">
        <v>4084</v>
      </c>
      <c r="M1576" t="s">
        <v>4085</v>
      </c>
      <c r="N1576" t="s">
        <v>67</v>
      </c>
      <c r="Q1576" t="s">
        <v>67</v>
      </c>
      <c r="R1576" t="s">
        <v>67</v>
      </c>
      <c r="S1576" s="5"/>
      <c r="T1576" t="s">
        <v>72</v>
      </c>
      <c r="U1576" t="s">
        <v>1031</v>
      </c>
      <c r="V1576" t="s">
        <v>74</v>
      </c>
      <c r="W1576" t="s">
        <v>87</v>
      </c>
      <c r="AE1576" s="2"/>
      <c r="AF1576" s="2"/>
      <c r="AG1576" s="2"/>
      <c r="AH1576" s="2"/>
      <c r="AK1576" t="s">
        <v>4086</v>
      </c>
      <c r="AL1576" s="2">
        <v>2659000</v>
      </c>
      <c r="AM1576" s="2">
        <v>0</v>
      </c>
      <c r="AN1576" s="2"/>
      <c r="AO1576" s="2">
        <v>0</v>
      </c>
      <c r="AP1576" s="2">
        <v>2659000</v>
      </c>
      <c r="AQ1576" s="2">
        <v>0</v>
      </c>
      <c r="AR1576" s="2">
        <v>0</v>
      </c>
      <c r="AS1576" s="2">
        <v>0</v>
      </c>
      <c r="AT1576" s="2">
        <v>0</v>
      </c>
      <c r="AU1576" s="2">
        <v>0</v>
      </c>
      <c r="AV1576" s="2">
        <v>0</v>
      </c>
      <c r="AW1576" s="4"/>
      <c r="AX1576" t="s">
        <v>75</v>
      </c>
      <c r="AZ1576" t="s">
        <v>4087</v>
      </c>
      <c r="BA1576" t="s">
        <v>67</v>
      </c>
      <c r="BB1576" t="s">
        <v>4088</v>
      </c>
      <c r="BC1576" t="s">
        <v>4089</v>
      </c>
      <c r="BE1576" t="s">
        <v>378</v>
      </c>
      <c r="BF1576" s="5">
        <v>46997</v>
      </c>
      <c r="BG1576" t="s">
        <v>67</v>
      </c>
      <c r="BH1576">
        <v>1</v>
      </c>
      <c r="BI1576" s="6">
        <v>1450000</v>
      </c>
      <c r="BJ1576" s="6">
        <v>30</v>
      </c>
      <c r="BK1576" s="6">
        <v>435000</v>
      </c>
      <c r="BL1576" s="6">
        <v>1015000</v>
      </c>
      <c r="BM1576" s="2">
        <v>1015000</v>
      </c>
      <c r="BN1576">
        <f>InvoiceTable[[#This Row],[Giảm giá]]*InvoiceTable[[#This Row],[Số lượng]]</f>
        <v>435000</v>
      </c>
    </row>
    <row r="1577" spans="1:66" x14ac:dyDescent="0.25">
      <c r="A1577" t="s">
        <v>65</v>
      </c>
      <c r="B1577" t="s">
        <v>4082</v>
      </c>
      <c r="F1577" s="2"/>
      <c r="G1577" s="3">
        <v>46000.429868402774</v>
      </c>
      <c r="H1577" s="3">
        <v>46000.42975304398</v>
      </c>
      <c r="I1577" s="4" t="s">
        <v>1465</v>
      </c>
      <c r="J1577" t="s">
        <v>4083</v>
      </c>
      <c r="K1577" t="s">
        <v>67</v>
      </c>
      <c r="L1577" t="s">
        <v>4084</v>
      </c>
      <c r="M1577" t="s">
        <v>4085</v>
      </c>
      <c r="N1577" t="s">
        <v>67</v>
      </c>
      <c r="Q1577" t="s">
        <v>67</v>
      </c>
      <c r="R1577" t="s">
        <v>67</v>
      </c>
      <c r="S1577" s="5"/>
      <c r="T1577" t="s">
        <v>72</v>
      </c>
      <c r="U1577" t="s">
        <v>1031</v>
      </c>
      <c r="V1577" t="s">
        <v>74</v>
      </c>
      <c r="W1577" t="s">
        <v>87</v>
      </c>
      <c r="AE1577" s="2"/>
      <c r="AF1577" s="2"/>
      <c r="AG1577" s="2"/>
      <c r="AH1577" s="2"/>
      <c r="AK1577" t="s">
        <v>4086</v>
      </c>
      <c r="AL1577" s="2">
        <v>2659000</v>
      </c>
      <c r="AM1577" s="2">
        <v>0</v>
      </c>
      <c r="AN1577" s="2"/>
      <c r="AO1577" s="2">
        <v>0</v>
      </c>
      <c r="AP1577" s="2">
        <v>2659000</v>
      </c>
      <c r="AQ1577" s="2">
        <v>0</v>
      </c>
      <c r="AR1577" s="2">
        <v>0</v>
      </c>
      <c r="AS1577" s="2">
        <v>0</v>
      </c>
      <c r="AT1577" s="2">
        <v>0</v>
      </c>
      <c r="AU1577" s="2">
        <v>0</v>
      </c>
      <c r="AV1577" s="2">
        <v>0</v>
      </c>
      <c r="AW1577" s="4"/>
      <c r="AX1577" t="s">
        <v>75</v>
      </c>
      <c r="AZ1577" t="s">
        <v>2747</v>
      </c>
      <c r="BB1577" t="s">
        <v>2748</v>
      </c>
      <c r="BC1577" t="s">
        <v>2749</v>
      </c>
      <c r="BD1577" t="s">
        <v>79</v>
      </c>
      <c r="BE1577" t="s">
        <v>228</v>
      </c>
      <c r="BF1577" s="5">
        <v>46813</v>
      </c>
      <c r="BG1577" t="s">
        <v>67</v>
      </c>
      <c r="BH1577">
        <v>1</v>
      </c>
      <c r="BI1577" s="6">
        <v>1500000</v>
      </c>
      <c r="BJ1577" s="6">
        <v>30</v>
      </c>
      <c r="BK1577" s="6">
        <v>450000</v>
      </c>
      <c r="BL1577" s="6">
        <v>1050000</v>
      </c>
      <c r="BM1577" s="2">
        <v>1050000</v>
      </c>
      <c r="BN1577">
        <f>InvoiceTable[[#This Row],[Giảm giá]]*InvoiceTable[[#This Row],[Số lượng]]</f>
        <v>450000</v>
      </c>
    </row>
    <row r="1578" spans="1:66" x14ac:dyDescent="0.25">
      <c r="A1578" t="s">
        <v>65</v>
      </c>
      <c r="B1578" t="s">
        <v>4090</v>
      </c>
      <c r="F1578" s="2"/>
      <c r="G1578" s="3">
        <v>46000.411924537038</v>
      </c>
      <c r="H1578" s="3">
        <v>46000.411924652777</v>
      </c>
      <c r="I1578" s="4" t="s">
        <v>67</v>
      </c>
      <c r="J1578" t="s">
        <v>4091</v>
      </c>
      <c r="K1578" t="s">
        <v>67</v>
      </c>
      <c r="L1578" t="s">
        <v>4092</v>
      </c>
      <c r="M1578" t="s">
        <v>4093</v>
      </c>
      <c r="N1578" t="s">
        <v>67</v>
      </c>
      <c r="O1578" t="s">
        <v>4094</v>
      </c>
      <c r="P1578" t="s">
        <v>4095</v>
      </c>
      <c r="S1578" s="5"/>
      <c r="T1578" t="s">
        <v>72</v>
      </c>
      <c r="U1578" t="s">
        <v>73</v>
      </c>
      <c r="V1578" t="s">
        <v>74</v>
      </c>
      <c r="W1578" t="s">
        <v>87</v>
      </c>
      <c r="AE1578" s="2"/>
      <c r="AF1578" s="2"/>
      <c r="AG1578" s="2"/>
      <c r="AH1578" s="2"/>
      <c r="AK1578" t="s">
        <v>258</v>
      </c>
      <c r="AL1578" s="2">
        <v>750000</v>
      </c>
      <c r="AM1578" s="2">
        <v>0</v>
      </c>
      <c r="AN1578" s="2"/>
      <c r="AO1578" s="2">
        <v>0</v>
      </c>
      <c r="AP1578" s="2">
        <v>750000</v>
      </c>
      <c r="AQ1578" s="2">
        <v>750000</v>
      </c>
      <c r="AR1578" s="2">
        <v>750000</v>
      </c>
      <c r="AS1578" s="2">
        <v>0</v>
      </c>
      <c r="AT1578" s="2">
        <v>0</v>
      </c>
      <c r="AU1578" s="2">
        <v>0</v>
      </c>
      <c r="AV1578" s="2">
        <v>0</v>
      </c>
      <c r="AW1578" s="4"/>
      <c r="AX1578" t="s">
        <v>75</v>
      </c>
      <c r="AZ1578" t="s">
        <v>291</v>
      </c>
      <c r="BA1578" t="s">
        <v>67</v>
      </c>
      <c r="BB1578" t="s">
        <v>292</v>
      </c>
      <c r="BC1578" t="s">
        <v>126</v>
      </c>
      <c r="BD1578" t="s">
        <v>79</v>
      </c>
      <c r="BE1578" t="s">
        <v>94</v>
      </c>
      <c r="BF1578" s="5">
        <v>46692</v>
      </c>
      <c r="BG1578" t="s">
        <v>67</v>
      </c>
      <c r="BH1578">
        <v>10</v>
      </c>
      <c r="BI1578" s="6">
        <v>250000</v>
      </c>
      <c r="BJ1578" s="6">
        <v>0</v>
      </c>
      <c r="BK1578" s="6">
        <v>175000</v>
      </c>
      <c r="BL1578" s="6">
        <v>75000</v>
      </c>
      <c r="BM1578" s="2">
        <v>750000</v>
      </c>
      <c r="BN1578">
        <f>InvoiceTable[[#This Row],[Giảm giá]]*InvoiceTable[[#This Row],[Số lượng]]</f>
        <v>1750000</v>
      </c>
    </row>
    <row r="1579" spans="1:66" x14ac:dyDescent="0.25">
      <c r="A1579" t="s">
        <v>65</v>
      </c>
      <c r="B1579" t="s">
        <v>4096</v>
      </c>
      <c r="F1579" s="2"/>
      <c r="G1579" s="3">
        <v>46000.411776238427</v>
      </c>
      <c r="H1579" s="3">
        <v>46000.411753321758</v>
      </c>
      <c r="I1579" s="4" t="s">
        <v>1465</v>
      </c>
      <c r="J1579" t="s">
        <v>4097</v>
      </c>
      <c r="K1579" t="s">
        <v>67</v>
      </c>
      <c r="L1579" t="s">
        <v>464</v>
      </c>
      <c r="M1579" t="s">
        <v>465</v>
      </c>
      <c r="N1579" t="s">
        <v>466</v>
      </c>
      <c r="O1579" t="s">
        <v>467</v>
      </c>
      <c r="P1579" t="s">
        <v>468</v>
      </c>
      <c r="S1579" s="5"/>
      <c r="T1579" t="s">
        <v>72</v>
      </c>
      <c r="U1579" t="s">
        <v>73</v>
      </c>
      <c r="V1579" t="s">
        <v>74</v>
      </c>
      <c r="W1579" t="s">
        <v>87</v>
      </c>
      <c r="AE1579" s="2"/>
      <c r="AF1579" s="2"/>
      <c r="AG1579" s="2"/>
      <c r="AH1579" s="2"/>
      <c r="AK1579" t="s">
        <v>67</v>
      </c>
      <c r="AL1579" s="2">
        <v>3531500</v>
      </c>
      <c r="AM1579" s="2">
        <v>0</v>
      </c>
      <c r="AN1579" s="2"/>
      <c r="AO1579" s="2">
        <v>0</v>
      </c>
      <c r="AP1579" s="2">
        <v>3531500</v>
      </c>
      <c r="AQ1579" s="2">
        <v>3531500</v>
      </c>
      <c r="AR1579" s="2">
        <v>3531500</v>
      </c>
      <c r="AS1579" s="2">
        <v>0</v>
      </c>
      <c r="AT1579" s="2">
        <v>0</v>
      </c>
      <c r="AU1579" s="2">
        <v>0</v>
      </c>
      <c r="AV1579" s="2">
        <v>0</v>
      </c>
      <c r="AW1579" s="4"/>
      <c r="AX1579" t="s">
        <v>75</v>
      </c>
      <c r="AZ1579" t="s">
        <v>91</v>
      </c>
      <c r="BA1579" t="s">
        <v>67</v>
      </c>
      <c r="BB1579" t="s">
        <v>92</v>
      </c>
      <c r="BC1579" t="s">
        <v>93</v>
      </c>
      <c r="BD1579" t="s">
        <v>79</v>
      </c>
      <c r="BE1579" t="s">
        <v>94</v>
      </c>
      <c r="BF1579" s="5">
        <v>46692</v>
      </c>
      <c r="BH1579">
        <v>5</v>
      </c>
      <c r="BI1579" s="6">
        <v>702000</v>
      </c>
      <c r="BJ1579" s="6">
        <v>35</v>
      </c>
      <c r="BK1579" s="6">
        <v>245700</v>
      </c>
      <c r="BL1579" s="6">
        <v>456300</v>
      </c>
      <c r="BM1579" s="2">
        <v>2281500</v>
      </c>
      <c r="BN1579">
        <f>InvoiceTable[[#This Row],[Giảm giá]]*InvoiceTable[[#This Row],[Số lượng]]</f>
        <v>1228500</v>
      </c>
    </row>
    <row r="1580" spans="1:66" x14ac:dyDescent="0.25">
      <c r="A1580" t="s">
        <v>65</v>
      </c>
      <c r="B1580" t="s">
        <v>4096</v>
      </c>
      <c r="F1580" s="2"/>
      <c r="G1580" s="3">
        <v>46000.411776238427</v>
      </c>
      <c r="H1580" s="3">
        <v>46000.411753321758</v>
      </c>
      <c r="I1580" s="4" t="s">
        <v>1465</v>
      </c>
      <c r="J1580" t="s">
        <v>4097</v>
      </c>
      <c r="K1580" t="s">
        <v>67</v>
      </c>
      <c r="L1580" t="s">
        <v>464</v>
      </c>
      <c r="M1580" t="s">
        <v>465</v>
      </c>
      <c r="N1580" t="s">
        <v>466</v>
      </c>
      <c r="O1580" t="s">
        <v>467</v>
      </c>
      <c r="P1580" t="s">
        <v>468</v>
      </c>
      <c r="S1580" s="5"/>
      <c r="T1580" t="s">
        <v>72</v>
      </c>
      <c r="U1580" t="s">
        <v>73</v>
      </c>
      <c r="V1580" t="s">
        <v>74</v>
      </c>
      <c r="W1580" t="s">
        <v>87</v>
      </c>
      <c r="AE1580" s="2"/>
      <c r="AF1580" s="2"/>
      <c r="AG1580" s="2"/>
      <c r="AH1580" s="2"/>
      <c r="AK1580" t="s">
        <v>67</v>
      </c>
      <c r="AL1580" s="2">
        <v>3531500</v>
      </c>
      <c r="AM1580" s="2">
        <v>0</v>
      </c>
      <c r="AN1580" s="2"/>
      <c r="AO1580" s="2">
        <v>0</v>
      </c>
      <c r="AP1580" s="2">
        <v>3531500</v>
      </c>
      <c r="AQ1580" s="2">
        <v>3531500</v>
      </c>
      <c r="AR1580" s="2">
        <v>3531500</v>
      </c>
      <c r="AS1580" s="2">
        <v>0</v>
      </c>
      <c r="AT1580" s="2">
        <v>0</v>
      </c>
      <c r="AU1580" s="2">
        <v>0</v>
      </c>
      <c r="AV1580" s="2">
        <v>0</v>
      </c>
      <c r="AW1580" s="4"/>
      <c r="AX1580" t="s">
        <v>75</v>
      </c>
      <c r="AZ1580" t="s">
        <v>4098</v>
      </c>
      <c r="BA1580" t="s">
        <v>67</v>
      </c>
      <c r="BB1580" t="s">
        <v>4099</v>
      </c>
      <c r="BC1580" t="s">
        <v>126</v>
      </c>
      <c r="BD1580" t="s">
        <v>79</v>
      </c>
      <c r="BE1580" t="s">
        <v>810</v>
      </c>
      <c r="BF1580" s="5">
        <v>46539</v>
      </c>
      <c r="BH1580">
        <v>5</v>
      </c>
      <c r="BI1580" s="6">
        <v>550000</v>
      </c>
      <c r="BJ1580" s="6">
        <v>0</v>
      </c>
      <c r="BK1580" s="6">
        <v>300000</v>
      </c>
      <c r="BL1580" s="6">
        <v>250000</v>
      </c>
      <c r="BM1580" s="2">
        <v>1250000</v>
      </c>
      <c r="BN1580">
        <f>InvoiceTable[[#This Row],[Giảm giá]]*InvoiceTable[[#This Row],[Số lượng]]</f>
        <v>1500000</v>
      </c>
    </row>
    <row r="1581" spans="1:66" x14ac:dyDescent="0.25">
      <c r="A1581" t="s">
        <v>65</v>
      </c>
      <c r="B1581" t="s">
        <v>4100</v>
      </c>
      <c r="F1581" s="2"/>
      <c r="G1581" s="3">
        <v>46000.411559803244</v>
      </c>
      <c r="H1581" s="3">
        <v>46000.411559872686</v>
      </c>
      <c r="I1581" s="4" t="s">
        <v>67</v>
      </c>
      <c r="J1581" t="s">
        <v>4101</v>
      </c>
      <c r="K1581" t="s">
        <v>67</v>
      </c>
      <c r="L1581" t="s">
        <v>796</v>
      </c>
      <c r="M1581" t="s">
        <v>797</v>
      </c>
      <c r="N1581" t="s">
        <v>67</v>
      </c>
      <c r="O1581" t="s">
        <v>798</v>
      </c>
      <c r="P1581" t="s">
        <v>799</v>
      </c>
      <c r="Q1581" t="s">
        <v>800</v>
      </c>
      <c r="R1581" t="s">
        <v>801</v>
      </c>
      <c r="S1581" s="5"/>
      <c r="T1581" t="s">
        <v>72</v>
      </c>
      <c r="U1581" t="s">
        <v>73</v>
      </c>
      <c r="V1581" t="s">
        <v>74</v>
      </c>
      <c r="W1581" t="s">
        <v>87</v>
      </c>
      <c r="AE1581" s="2"/>
      <c r="AF1581" s="2"/>
      <c r="AG1581" s="2"/>
      <c r="AH1581" s="2"/>
      <c r="AK1581" t="s">
        <v>613</v>
      </c>
      <c r="AL1581" s="2">
        <v>409500</v>
      </c>
      <c r="AM1581" s="2">
        <v>0</v>
      </c>
      <c r="AN1581" s="2"/>
      <c r="AO1581" s="2">
        <v>0</v>
      </c>
      <c r="AP1581" s="2">
        <v>409500</v>
      </c>
      <c r="AQ1581" s="2">
        <v>409500</v>
      </c>
      <c r="AR1581" s="2">
        <v>409500</v>
      </c>
      <c r="AS1581" s="2">
        <v>0</v>
      </c>
      <c r="AT1581" s="2">
        <v>0</v>
      </c>
      <c r="AU1581" s="2">
        <v>0</v>
      </c>
      <c r="AV1581" s="2">
        <v>0</v>
      </c>
      <c r="AW1581" s="4"/>
      <c r="AX1581" t="s">
        <v>75</v>
      </c>
      <c r="AZ1581" t="s">
        <v>4102</v>
      </c>
      <c r="BA1581" t="s">
        <v>67</v>
      </c>
      <c r="BB1581" t="s">
        <v>4103</v>
      </c>
      <c r="BC1581" t="s">
        <v>804</v>
      </c>
      <c r="BD1581" t="s">
        <v>79</v>
      </c>
      <c r="BE1581" t="s">
        <v>1012</v>
      </c>
      <c r="BF1581" s="5">
        <v>46296</v>
      </c>
      <c r="BG1581" t="s">
        <v>67</v>
      </c>
      <c r="BH1581">
        <v>1</v>
      </c>
      <c r="BI1581" s="6">
        <v>585000</v>
      </c>
      <c r="BJ1581" s="6">
        <v>30</v>
      </c>
      <c r="BK1581" s="6">
        <v>175500</v>
      </c>
      <c r="BL1581" s="6">
        <v>409500</v>
      </c>
      <c r="BM1581" s="2">
        <v>409500</v>
      </c>
      <c r="BN1581">
        <f>InvoiceTable[[#This Row],[Giảm giá]]*InvoiceTable[[#This Row],[Số lượng]]</f>
        <v>175500</v>
      </c>
    </row>
    <row r="1582" spans="1:66" x14ac:dyDescent="0.25">
      <c r="A1582" t="s">
        <v>65</v>
      </c>
      <c r="B1582" t="s">
        <v>4104</v>
      </c>
      <c r="F1582" s="2"/>
      <c r="G1582" s="3">
        <v>46000.411356597222</v>
      </c>
      <c r="H1582" s="3">
        <v>46000.411356747682</v>
      </c>
      <c r="I1582" s="4" t="s">
        <v>67</v>
      </c>
      <c r="J1582" t="s">
        <v>4105</v>
      </c>
      <c r="K1582" t="s">
        <v>67</v>
      </c>
      <c r="L1582" t="s">
        <v>231</v>
      </c>
      <c r="M1582" t="s">
        <v>232</v>
      </c>
      <c r="N1582" t="s">
        <v>67</v>
      </c>
      <c r="O1582" t="s">
        <v>233</v>
      </c>
      <c r="P1582" t="s">
        <v>234</v>
      </c>
      <c r="S1582" s="5"/>
      <c r="T1582" t="s">
        <v>72</v>
      </c>
      <c r="U1582" t="s">
        <v>73</v>
      </c>
      <c r="V1582" t="s">
        <v>74</v>
      </c>
      <c r="W1582" t="s">
        <v>87</v>
      </c>
      <c r="AE1582" s="2"/>
      <c r="AF1582" s="2"/>
      <c r="AG1582" s="2"/>
      <c r="AH1582" s="2"/>
      <c r="AK1582" t="s">
        <v>613</v>
      </c>
      <c r="AL1582" s="2">
        <v>2500000</v>
      </c>
      <c r="AM1582" s="2">
        <v>0</v>
      </c>
      <c r="AN1582" s="2"/>
      <c r="AO1582" s="2">
        <v>0</v>
      </c>
      <c r="AP1582" s="2">
        <v>2500000</v>
      </c>
      <c r="AQ1582" s="2">
        <v>0</v>
      </c>
      <c r="AR1582" s="2">
        <v>0</v>
      </c>
      <c r="AS1582" s="2">
        <v>0</v>
      </c>
      <c r="AT1582" s="2">
        <v>0</v>
      </c>
      <c r="AU1582" s="2">
        <v>0</v>
      </c>
      <c r="AV1582" s="2">
        <v>0</v>
      </c>
      <c r="AW1582" s="4"/>
      <c r="AX1582" t="s">
        <v>75</v>
      </c>
      <c r="AZ1582" t="s">
        <v>107</v>
      </c>
      <c r="BA1582" t="s">
        <v>67</v>
      </c>
      <c r="BB1582" t="s">
        <v>108</v>
      </c>
      <c r="BC1582" t="s">
        <v>109</v>
      </c>
      <c r="BD1582" t="s">
        <v>79</v>
      </c>
      <c r="BE1582" t="s">
        <v>94</v>
      </c>
      <c r="BF1582" s="5">
        <v>46692</v>
      </c>
      <c r="BG1582" t="s">
        <v>67</v>
      </c>
      <c r="BH1582">
        <v>1</v>
      </c>
      <c r="BI1582" s="6">
        <v>4500000</v>
      </c>
      <c r="BJ1582" s="6">
        <v>0</v>
      </c>
      <c r="BK1582" s="6">
        <v>2000000</v>
      </c>
      <c r="BL1582" s="6">
        <v>2500000</v>
      </c>
      <c r="BM1582" s="2">
        <v>2500000</v>
      </c>
      <c r="BN1582">
        <f>InvoiceTable[[#This Row],[Giảm giá]]*InvoiceTable[[#This Row],[Số lượng]]</f>
        <v>2000000</v>
      </c>
    </row>
    <row r="1583" spans="1:66" x14ac:dyDescent="0.25">
      <c r="A1583" t="s">
        <v>65</v>
      </c>
      <c r="B1583" t="s">
        <v>4106</v>
      </c>
      <c r="F1583" s="2"/>
      <c r="G1583" s="3">
        <v>46000.401367557868</v>
      </c>
      <c r="H1583" s="3">
        <v>46000.401367673614</v>
      </c>
      <c r="I1583" s="4" t="s">
        <v>67</v>
      </c>
      <c r="J1583" t="s">
        <v>67</v>
      </c>
      <c r="K1583" t="s">
        <v>67</v>
      </c>
      <c r="L1583" t="s">
        <v>3614</v>
      </c>
      <c r="M1583" t="s">
        <v>3615</v>
      </c>
      <c r="N1583" t="s">
        <v>67</v>
      </c>
      <c r="O1583" t="s">
        <v>3616</v>
      </c>
      <c r="P1583" t="s">
        <v>3617</v>
      </c>
      <c r="Q1583" t="s">
        <v>3618</v>
      </c>
      <c r="R1583" t="s">
        <v>3619</v>
      </c>
      <c r="S1583" s="5"/>
      <c r="T1583" t="s">
        <v>72</v>
      </c>
      <c r="U1583" t="s">
        <v>87</v>
      </c>
      <c r="V1583" t="s">
        <v>74</v>
      </c>
      <c r="W1583" t="s">
        <v>87</v>
      </c>
      <c r="AE1583" s="2"/>
      <c r="AF1583" s="2"/>
      <c r="AG1583" s="2"/>
      <c r="AH1583" s="2"/>
      <c r="AK1583" t="s">
        <v>4107</v>
      </c>
      <c r="AL1583" s="2">
        <v>1472500</v>
      </c>
      <c r="AM1583" s="2">
        <v>0</v>
      </c>
      <c r="AN1583" s="2"/>
      <c r="AO1583" s="2">
        <v>0</v>
      </c>
      <c r="AP1583" s="2">
        <v>1472500</v>
      </c>
      <c r="AQ1583" s="2">
        <v>0</v>
      </c>
      <c r="AR1583" s="2">
        <v>0</v>
      </c>
      <c r="AS1583" s="2">
        <v>0</v>
      </c>
      <c r="AT1583" s="2">
        <v>0</v>
      </c>
      <c r="AU1583" s="2">
        <v>0</v>
      </c>
      <c r="AV1583" s="2">
        <v>0</v>
      </c>
      <c r="AW1583" s="4"/>
      <c r="AX1583" t="s">
        <v>75</v>
      </c>
      <c r="AZ1583" t="s">
        <v>88</v>
      </c>
      <c r="BB1583" t="s">
        <v>89</v>
      </c>
      <c r="BC1583" t="s">
        <v>90</v>
      </c>
      <c r="BF1583" s="5"/>
      <c r="BG1583" t="s">
        <v>67</v>
      </c>
      <c r="BH1583">
        <v>1</v>
      </c>
      <c r="BI1583" s="6">
        <v>35000</v>
      </c>
      <c r="BJ1583" s="6">
        <v>0</v>
      </c>
      <c r="BK1583" s="6">
        <v>0</v>
      </c>
      <c r="BL1583" s="6">
        <v>35000</v>
      </c>
      <c r="BM1583" s="2">
        <v>35000</v>
      </c>
      <c r="BN1583">
        <f>InvoiceTable[[#This Row],[Giảm giá]]*InvoiceTable[[#This Row],[Số lượng]]</f>
        <v>0</v>
      </c>
    </row>
    <row r="1584" spans="1:66" x14ac:dyDescent="0.25">
      <c r="A1584" t="s">
        <v>65</v>
      </c>
      <c r="B1584" t="s">
        <v>4106</v>
      </c>
      <c r="F1584" s="2"/>
      <c r="G1584" s="3">
        <v>46000.401367557868</v>
      </c>
      <c r="H1584" s="3">
        <v>46000.401367673614</v>
      </c>
      <c r="I1584" s="4" t="s">
        <v>67</v>
      </c>
      <c r="J1584" t="s">
        <v>67</v>
      </c>
      <c r="K1584" t="s">
        <v>67</v>
      </c>
      <c r="L1584" t="s">
        <v>3614</v>
      </c>
      <c r="M1584" t="s">
        <v>3615</v>
      </c>
      <c r="N1584" t="s">
        <v>67</v>
      </c>
      <c r="O1584" t="s">
        <v>3616</v>
      </c>
      <c r="P1584" t="s">
        <v>3617</v>
      </c>
      <c r="Q1584" t="s">
        <v>3618</v>
      </c>
      <c r="R1584" t="s">
        <v>3619</v>
      </c>
      <c r="S1584" s="5"/>
      <c r="T1584" t="s">
        <v>72</v>
      </c>
      <c r="U1584" t="s">
        <v>87</v>
      </c>
      <c r="V1584" t="s">
        <v>74</v>
      </c>
      <c r="W1584" t="s">
        <v>87</v>
      </c>
      <c r="AE1584" s="2"/>
      <c r="AF1584" s="2"/>
      <c r="AG1584" s="2"/>
      <c r="AH1584" s="2"/>
      <c r="AK1584" t="s">
        <v>4107</v>
      </c>
      <c r="AL1584" s="2">
        <v>1472500</v>
      </c>
      <c r="AM1584" s="2">
        <v>0</v>
      </c>
      <c r="AN1584" s="2"/>
      <c r="AO1584" s="2">
        <v>0</v>
      </c>
      <c r="AP1584" s="2">
        <v>1472500</v>
      </c>
      <c r="AQ1584" s="2">
        <v>0</v>
      </c>
      <c r="AR1584" s="2">
        <v>0</v>
      </c>
      <c r="AS1584" s="2">
        <v>0</v>
      </c>
      <c r="AT1584" s="2">
        <v>0</v>
      </c>
      <c r="AU1584" s="2">
        <v>0</v>
      </c>
      <c r="AV1584" s="2">
        <v>0</v>
      </c>
      <c r="AW1584" s="4"/>
      <c r="AX1584" t="s">
        <v>75</v>
      </c>
      <c r="AZ1584" t="s">
        <v>2676</v>
      </c>
      <c r="BA1584" t="s">
        <v>67</v>
      </c>
      <c r="BB1584" t="s">
        <v>2677</v>
      </c>
      <c r="BC1584" t="s">
        <v>2678</v>
      </c>
      <c r="BD1584" t="s">
        <v>79</v>
      </c>
      <c r="BE1584" t="s">
        <v>168</v>
      </c>
      <c r="BF1584" s="5">
        <v>46388</v>
      </c>
      <c r="BH1584">
        <v>125</v>
      </c>
      <c r="BI1584" s="6">
        <v>25000</v>
      </c>
      <c r="BJ1584" s="6">
        <v>0</v>
      </c>
      <c r="BK1584" s="6">
        <v>13500</v>
      </c>
      <c r="BL1584" s="6">
        <v>11500</v>
      </c>
      <c r="BM1584" s="2">
        <v>1437500</v>
      </c>
      <c r="BN1584">
        <f>InvoiceTable[[#This Row],[Giảm giá]]*InvoiceTable[[#This Row],[Số lượng]]</f>
        <v>1687500</v>
      </c>
    </row>
    <row r="1585" spans="1:66" x14ac:dyDescent="0.25">
      <c r="A1585" t="s">
        <v>65</v>
      </c>
      <c r="B1585" t="s">
        <v>4108</v>
      </c>
      <c r="F1585" s="2"/>
      <c r="G1585" s="3">
        <v>45999.736268136578</v>
      </c>
      <c r="H1585" s="3">
        <v>45999.736268368055</v>
      </c>
      <c r="I1585" s="4" t="s">
        <v>67</v>
      </c>
      <c r="J1585" t="s">
        <v>4109</v>
      </c>
      <c r="K1585" t="s">
        <v>67</v>
      </c>
      <c r="L1585" t="s">
        <v>4110</v>
      </c>
      <c r="M1585" t="s">
        <v>4111</v>
      </c>
      <c r="N1585" t="s">
        <v>4112</v>
      </c>
      <c r="O1585" t="s">
        <v>4113</v>
      </c>
      <c r="P1585" t="s">
        <v>4114</v>
      </c>
      <c r="Q1585" t="s">
        <v>4115</v>
      </c>
      <c r="R1585" t="s">
        <v>1839</v>
      </c>
      <c r="S1585" s="5"/>
      <c r="T1585" t="s">
        <v>72</v>
      </c>
      <c r="U1585" t="s">
        <v>73</v>
      </c>
      <c r="V1585" t="s">
        <v>74</v>
      </c>
      <c r="W1585" t="s">
        <v>87</v>
      </c>
      <c r="AE1585" s="2"/>
      <c r="AF1585" s="2"/>
      <c r="AG1585" s="2"/>
      <c r="AH1585" s="2"/>
      <c r="AK1585" t="s">
        <v>258</v>
      </c>
      <c r="AL1585" s="2">
        <v>1089000</v>
      </c>
      <c r="AM1585" s="2">
        <v>0</v>
      </c>
      <c r="AN1585" s="2"/>
      <c r="AO1585" s="2">
        <v>0</v>
      </c>
      <c r="AP1585" s="2">
        <v>1089000</v>
      </c>
      <c r="AQ1585" s="2">
        <v>0</v>
      </c>
      <c r="AR1585" s="2">
        <v>0</v>
      </c>
      <c r="AS1585" s="2">
        <v>0</v>
      </c>
      <c r="AT1585" s="2">
        <v>0</v>
      </c>
      <c r="AU1585" s="2">
        <v>0</v>
      </c>
      <c r="AV1585" s="2">
        <v>0</v>
      </c>
      <c r="AW1585" s="4"/>
      <c r="AX1585" t="s">
        <v>75</v>
      </c>
      <c r="AZ1585" t="s">
        <v>404</v>
      </c>
      <c r="BA1585" t="s">
        <v>67</v>
      </c>
      <c r="BB1585" t="s">
        <v>405</v>
      </c>
      <c r="BC1585" t="s">
        <v>406</v>
      </c>
      <c r="BD1585" t="s">
        <v>79</v>
      </c>
      <c r="BE1585" t="s">
        <v>131</v>
      </c>
      <c r="BF1585" s="5">
        <v>46874</v>
      </c>
      <c r="BG1585" t="s">
        <v>67</v>
      </c>
      <c r="BH1585">
        <v>2</v>
      </c>
      <c r="BI1585" s="6">
        <v>990000</v>
      </c>
      <c r="BJ1585" s="6">
        <v>45</v>
      </c>
      <c r="BK1585" s="6">
        <v>445500</v>
      </c>
      <c r="BL1585" s="6">
        <v>544500</v>
      </c>
      <c r="BM1585" s="2">
        <v>1089000</v>
      </c>
      <c r="BN1585">
        <f>InvoiceTable[[#This Row],[Giảm giá]]*InvoiceTable[[#This Row],[Số lượng]]</f>
        <v>891000</v>
      </c>
    </row>
    <row r="1586" spans="1:66" x14ac:dyDescent="0.25">
      <c r="A1586" t="s">
        <v>65</v>
      </c>
      <c r="B1586" t="s">
        <v>4116</v>
      </c>
      <c r="F1586" s="2"/>
      <c r="G1586" s="3">
        <v>45999.732681250003</v>
      </c>
      <c r="H1586" s="3">
        <v>45999.732681400463</v>
      </c>
      <c r="I1586" s="4" t="s">
        <v>67</v>
      </c>
      <c r="J1586" t="s">
        <v>67</v>
      </c>
      <c r="K1586" t="s">
        <v>67</v>
      </c>
      <c r="L1586" t="s">
        <v>3845</v>
      </c>
      <c r="M1586" t="s">
        <v>3846</v>
      </c>
      <c r="N1586" t="s">
        <v>67</v>
      </c>
      <c r="O1586" t="s">
        <v>3847</v>
      </c>
      <c r="P1586" t="s">
        <v>3848</v>
      </c>
      <c r="S1586" s="5"/>
      <c r="T1586" t="s">
        <v>72</v>
      </c>
      <c r="U1586" t="s">
        <v>87</v>
      </c>
      <c r="V1586" t="s">
        <v>74</v>
      </c>
      <c r="W1586" t="s">
        <v>87</v>
      </c>
      <c r="AE1586" s="2"/>
      <c r="AF1586" s="2"/>
      <c r="AG1586" s="2"/>
      <c r="AH1586" s="2"/>
      <c r="AK1586" t="s">
        <v>67</v>
      </c>
      <c r="AL1586" s="2">
        <v>1205280</v>
      </c>
      <c r="AM1586" s="2">
        <v>0</v>
      </c>
      <c r="AN1586" s="2"/>
      <c r="AO1586" s="2">
        <v>0</v>
      </c>
      <c r="AP1586" s="2">
        <v>1205280</v>
      </c>
      <c r="AQ1586" s="2">
        <v>0</v>
      </c>
      <c r="AR1586" s="2">
        <v>0</v>
      </c>
      <c r="AS1586" s="2">
        <v>0</v>
      </c>
      <c r="AT1586" s="2">
        <v>0</v>
      </c>
      <c r="AU1586" s="2">
        <v>0</v>
      </c>
      <c r="AV1586" s="2">
        <v>0</v>
      </c>
      <c r="AW1586" s="4"/>
      <c r="AX1586" t="s">
        <v>75</v>
      </c>
      <c r="AZ1586" t="s">
        <v>2696</v>
      </c>
      <c r="BA1586" t="s">
        <v>67</v>
      </c>
      <c r="BB1586" t="s">
        <v>2697</v>
      </c>
      <c r="BC1586" t="s">
        <v>986</v>
      </c>
      <c r="BD1586" t="s">
        <v>79</v>
      </c>
      <c r="BE1586" t="s">
        <v>2698</v>
      </c>
      <c r="BF1586" s="5">
        <v>46786</v>
      </c>
      <c r="BG1586" t="s">
        <v>67</v>
      </c>
      <c r="BH1586">
        <v>1</v>
      </c>
      <c r="BI1586" s="6">
        <v>1944000</v>
      </c>
      <c r="BJ1586" s="6">
        <v>38</v>
      </c>
      <c r="BK1586" s="6">
        <v>738720</v>
      </c>
      <c r="BL1586" s="6">
        <v>1205280</v>
      </c>
      <c r="BM1586" s="2">
        <v>1205280</v>
      </c>
      <c r="BN1586">
        <f>InvoiceTable[[#This Row],[Giảm giá]]*InvoiceTable[[#This Row],[Số lượng]]</f>
        <v>738720</v>
      </c>
    </row>
    <row r="1587" spans="1:66" x14ac:dyDescent="0.25">
      <c r="A1587" t="s">
        <v>65</v>
      </c>
      <c r="B1587" t="s">
        <v>4117</v>
      </c>
      <c r="F1587" s="2"/>
      <c r="G1587" s="3">
        <v>45999.710219826389</v>
      </c>
      <c r="H1587" s="3">
        <v>45999.710219942128</v>
      </c>
      <c r="I1587" s="4" t="s">
        <v>67</v>
      </c>
      <c r="J1587" t="s">
        <v>67</v>
      </c>
      <c r="K1587" t="s">
        <v>67</v>
      </c>
      <c r="L1587" t="s">
        <v>1952</v>
      </c>
      <c r="M1587" t="s">
        <v>1953</v>
      </c>
      <c r="N1587" t="s">
        <v>67</v>
      </c>
      <c r="Q1587" t="s">
        <v>67</v>
      </c>
      <c r="R1587" t="s">
        <v>67</v>
      </c>
      <c r="S1587" s="5"/>
      <c r="T1587" t="s">
        <v>72</v>
      </c>
      <c r="U1587" t="s">
        <v>87</v>
      </c>
      <c r="V1587" t="s">
        <v>74</v>
      </c>
      <c r="W1587" t="s">
        <v>87</v>
      </c>
      <c r="AE1587" s="2"/>
      <c r="AF1587" s="2"/>
      <c r="AG1587" s="2"/>
      <c r="AH1587" s="2"/>
      <c r="AK1587" t="s">
        <v>354</v>
      </c>
      <c r="AL1587" s="2">
        <v>5700000</v>
      </c>
      <c r="AM1587" s="2">
        <v>2850000</v>
      </c>
      <c r="AN1587" s="2"/>
      <c r="AO1587" s="2">
        <v>0</v>
      </c>
      <c r="AP1587" s="2">
        <v>2850000</v>
      </c>
      <c r="AQ1587" s="2">
        <v>0</v>
      </c>
      <c r="AR1587" s="2">
        <v>0</v>
      </c>
      <c r="AS1587" s="2">
        <v>0</v>
      </c>
      <c r="AT1587" s="2">
        <v>0</v>
      </c>
      <c r="AU1587" s="2">
        <v>0</v>
      </c>
      <c r="AV1587" s="2">
        <v>0</v>
      </c>
      <c r="AW1587" s="4"/>
      <c r="AX1587" t="s">
        <v>75</v>
      </c>
      <c r="AZ1587" t="s">
        <v>518</v>
      </c>
      <c r="BA1587" t="s">
        <v>67</v>
      </c>
      <c r="BB1587" t="s">
        <v>519</v>
      </c>
      <c r="BC1587" t="s">
        <v>78</v>
      </c>
      <c r="BD1587" t="s">
        <v>79</v>
      </c>
      <c r="BE1587" t="s">
        <v>80</v>
      </c>
      <c r="BF1587" s="5">
        <v>47300</v>
      </c>
      <c r="BH1587">
        <v>1</v>
      </c>
      <c r="BI1587" s="6">
        <v>3500000</v>
      </c>
      <c r="BJ1587" s="6">
        <v>0</v>
      </c>
      <c r="BK1587" s="6">
        <v>0</v>
      </c>
      <c r="BL1587" s="6">
        <v>3500000</v>
      </c>
      <c r="BM1587" s="2">
        <v>3500000</v>
      </c>
      <c r="BN1587">
        <f>InvoiceTable[[#This Row],[Giảm giá]]*InvoiceTable[[#This Row],[Số lượng]]</f>
        <v>0</v>
      </c>
    </row>
    <row r="1588" spans="1:66" x14ac:dyDescent="0.25">
      <c r="A1588" t="s">
        <v>65</v>
      </c>
      <c r="B1588" t="s">
        <v>4117</v>
      </c>
      <c r="F1588" s="2"/>
      <c r="G1588" s="3">
        <v>45999.710219826389</v>
      </c>
      <c r="H1588" s="3">
        <v>45999.710219942128</v>
      </c>
      <c r="I1588" s="4" t="s">
        <v>67</v>
      </c>
      <c r="J1588" t="s">
        <v>67</v>
      </c>
      <c r="K1588" t="s">
        <v>67</v>
      </c>
      <c r="L1588" t="s">
        <v>1952</v>
      </c>
      <c r="M1588" t="s">
        <v>1953</v>
      </c>
      <c r="N1588" t="s">
        <v>67</v>
      </c>
      <c r="Q1588" t="s">
        <v>67</v>
      </c>
      <c r="R1588" t="s">
        <v>67</v>
      </c>
      <c r="S1588" s="5"/>
      <c r="T1588" t="s">
        <v>72</v>
      </c>
      <c r="U1588" t="s">
        <v>87</v>
      </c>
      <c r="V1588" t="s">
        <v>74</v>
      </c>
      <c r="W1588" t="s">
        <v>87</v>
      </c>
      <c r="AE1588" s="2"/>
      <c r="AF1588" s="2"/>
      <c r="AG1588" s="2"/>
      <c r="AH1588" s="2"/>
      <c r="AK1588" t="s">
        <v>354</v>
      </c>
      <c r="AL1588" s="2">
        <v>5700000</v>
      </c>
      <c r="AM1588" s="2">
        <v>2850000</v>
      </c>
      <c r="AN1588" s="2"/>
      <c r="AO1588" s="2">
        <v>0</v>
      </c>
      <c r="AP1588" s="2">
        <v>2850000</v>
      </c>
      <c r="AQ1588" s="2">
        <v>0</v>
      </c>
      <c r="AR1588" s="2">
        <v>0</v>
      </c>
      <c r="AS1588" s="2">
        <v>0</v>
      </c>
      <c r="AT1588" s="2">
        <v>0</v>
      </c>
      <c r="AU1588" s="2">
        <v>0</v>
      </c>
      <c r="AV1588" s="2">
        <v>0</v>
      </c>
      <c r="AW1588" s="4"/>
      <c r="AX1588" t="s">
        <v>75</v>
      </c>
      <c r="AZ1588" t="s">
        <v>3307</v>
      </c>
      <c r="BA1588" t="s">
        <v>67</v>
      </c>
      <c r="BB1588" t="s">
        <v>3308</v>
      </c>
      <c r="BC1588" t="s">
        <v>78</v>
      </c>
      <c r="BD1588" t="s">
        <v>79</v>
      </c>
      <c r="BE1588" t="s">
        <v>168</v>
      </c>
      <c r="BF1588" s="5">
        <v>46388</v>
      </c>
      <c r="BG1588" t="s">
        <v>67</v>
      </c>
      <c r="BH1588">
        <v>1</v>
      </c>
      <c r="BI1588" s="6">
        <v>2200000</v>
      </c>
      <c r="BJ1588" s="6">
        <v>0</v>
      </c>
      <c r="BK1588" s="6">
        <v>0</v>
      </c>
      <c r="BL1588" s="6">
        <v>2200000</v>
      </c>
      <c r="BM1588" s="2">
        <v>2200000</v>
      </c>
      <c r="BN1588">
        <f>InvoiceTable[[#This Row],[Giảm giá]]*InvoiceTable[[#This Row],[Số lượng]]</f>
        <v>0</v>
      </c>
    </row>
    <row r="1589" spans="1:66" x14ac:dyDescent="0.25">
      <c r="A1589" t="s">
        <v>65</v>
      </c>
      <c r="B1589" t="s">
        <v>4118</v>
      </c>
      <c r="F1589" s="2"/>
      <c r="G1589" s="3">
        <v>45999.704451585647</v>
      </c>
      <c r="H1589" s="3">
        <v>45999.704451886573</v>
      </c>
      <c r="I1589" s="4" t="s">
        <v>67</v>
      </c>
      <c r="J1589" t="s">
        <v>67</v>
      </c>
      <c r="K1589" t="s">
        <v>67</v>
      </c>
      <c r="L1589" t="s">
        <v>1195</v>
      </c>
      <c r="M1589" t="s">
        <v>1196</v>
      </c>
      <c r="N1589" t="s">
        <v>67</v>
      </c>
      <c r="Q1589" t="s">
        <v>67</v>
      </c>
      <c r="R1589" t="s">
        <v>67</v>
      </c>
      <c r="S1589" s="5"/>
      <c r="T1589" t="s">
        <v>72</v>
      </c>
      <c r="U1589" t="s">
        <v>87</v>
      </c>
      <c r="V1589" t="s">
        <v>74</v>
      </c>
      <c r="W1589" t="s">
        <v>87</v>
      </c>
      <c r="AE1589" s="2"/>
      <c r="AF1589" s="2"/>
      <c r="AG1589" s="2"/>
      <c r="AH1589" s="2"/>
      <c r="AL1589" s="2">
        <v>15540000</v>
      </c>
      <c r="AM1589" s="2">
        <v>7770000</v>
      </c>
      <c r="AN1589" s="2"/>
      <c r="AO1589" s="2">
        <v>0</v>
      </c>
      <c r="AP1589" s="2">
        <v>7770000</v>
      </c>
      <c r="AQ1589" s="2">
        <v>0</v>
      </c>
      <c r="AR1589" s="2">
        <v>0</v>
      </c>
      <c r="AS1589" s="2">
        <v>0</v>
      </c>
      <c r="AT1589" s="2">
        <v>0</v>
      </c>
      <c r="AU1589" s="2">
        <v>0</v>
      </c>
      <c r="AV1589" s="2">
        <v>0</v>
      </c>
      <c r="AW1589" s="4"/>
      <c r="AX1589" t="s">
        <v>75</v>
      </c>
      <c r="AZ1589" t="s">
        <v>4119</v>
      </c>
      <c r="BA1589" t="s">
        <v>67</v>
      </c>
      <c r="BB1589" t="s">
        <v>4120</v>
      </c>
      <c r="BC1589" t="s">
        <v>138</v>
      </c>
      <c r="BD1589" t="s">
        <v>79</v>
      </c>
      <c r="BE1589" t="s">
        <v>198</v>
      </c>
      <c r="BF1589" s="5">
        <v>46753</v>
      </c>
      <c r="BG1589" t="s">
        <v>67</v>
      </c>
      <c r="BH1589">
        <v>1</v>
      </c>
      <c r="BI1589" s="6">
        <v>2700000</v>
      </c>
      <c r="BJ1589" s="6">
        <v>0</v>
      </c>
      <c r="BK1589" s="6">
        <v>0</v>
      </c>
      <c r="BL1589" s="6">
        <v>2700000</v>
      </c>
      <c r="BM1589" s="2">
        <v>2700000</v>
      </c>
      <c r="BN1589">
        <f>InvoiceTable[[#This Row],[Giảm giá]]*InvoiceTable[[#This Row],[Số lượng]]</f>
        <v>0</v>
      </c>
    </row>
    <row r="1590" spans="1:66" x14ac:dyDescent="0.25">
      <c r="A1590" t="s">
        <v>65</v>
      </c>
      <c r="B1590" t="s">
        <v>4118</v>
      </c>
      <c r="F1590" s="2"/>
      <c r="G1590" s="3">
        <v>45999.704451585647</v>
      </c>
      <c r="H1590" s="3">
        <v>45999.704451886573</v>
      </c>
      <c r="I1590" s="4" t="s">
        <v>67</v>
      </c>
      <c r="J1590" t="s">
        <v>67</v>
      </c>
      <c r="K1590" t="s">
        <v>67</v>
      </c>
      <c r="L1590" t="s">
        <v>1195</v>
      </c>
      <c r="M1590" t="s">
        <v>1196</v>
      </c>
      <c r="N1590" t="s">
        <v>67</v>
      </c>
      <c r="Q1590" t="s">
        <v>67</v>
      </c>
      <c r="R1590" t="s">
        <v>67</v>
      </c>
      <c r="S1590" s="5"/>
      <c r="T1590" t="s">
        <v>72</v>
      </c>
      <c r="U1590" t="s">
        <v>87</v>
      </c>
      <c r="V1590" t="s">
        <v>74</v>
      </c>
      <c r="W1590" t="s">
        <v>87</v>
      </c>
      <c r="AE1590" s="2"/>
      <c r="AF1590" s="2"/>
      <c r="AG1590" s="2"/>
      <c r="AH1590" s="2"/>
      <c r="AL1590" s="2">
        <v>15540000</v>
      </c>
      <c r="AM1590" s="2">
        <v>7770000</v>
      </c>
      <c r="AN1590" s="2"/>
      <c r="AO1590" s="2">
        <v>0</v>
      </c>
      <c r="AP1590" s="2">
        <v>7770000</v>
      </c>
      <c r="AQ1590" s="2">
        <v>0</v>
      </c>
      <c r="AR1590" s="2">
        <v>0</v>
      </c>
      <c r="AS1590" s="2">
        <v>0</v>
      </c>
      <c r="AT1590" s="2">
        <v>0</v>
      </c>
      <c r="AU1590" s="2">
        <v>0</v>
      </c>
      <c r="AV1590" s="2">
        <v>0</v>
      </c>
      <c r="AW1590" s="4"/>
      <c r="AX1590" t="s">
        <v>75</v>
      </c>
      <c r="AZ1590" t="s">
        <v>4121</v>
      </c>
      <c r="BA1590" t="s">
        <v>67</v>
      </c>
      <c r="BB1590" t="s">
        <v>4122</v>
      </c>
      <c r="BC1590" t="s">
        <v>138</v>
      </c>
      <c r="BD1590" t="s">
        <v>79</v>
      </c>
      <c r="BE1590" t="s">
        <v>145</v>
      </c>
      <c r="BF1590" s="5">
        <v>46508</v>
      </c>
      <c r="BH1590">
        <v>2</v>
      </c>
      <c r="BI1590" s="6">
        <v>1020000</v>
      </c>
      <c r="BJ1590" s="6">
        <v>0</v>
      </c>
      <c r="BK1590" s="6">
        <v>0</v>
      </c>
      <c r="BL1590" s="6">
        <v>1020000</v>
      </c>
      <c r="BM1590" s="2">
        <v>2040000</v>
      </c>
      <c r="BN1590">
        <f>InvoiceTable[[#This Row],[Giảm giá]]*InvoiceTable[[#This Row],[Số lượng]]</f>
        <v>0</v>
      </c>
    </row>
    <row r="1591" spans="1:66" x14ac:dyDescent="0.25">
      <c r="A1591" t="s">
        <v>65</v>
      </c>
      <c r="B1591" t="s">
        <v>4118</v>
      </c>
      <c r="F1591" s="2"/>
      <c r="G1591" s="3">
        <v>45999.704451585647</v>
      </c>
      <c r="H1591" s="3">
        <v>45999.704451886573</v>
      </c>
      <c r="I1591" s="4" t="s">
        <v>67</v>
      </c>
      <c r="J1591" t="s">
        <v>67</v>
      </c>
      <c r="K1591" t="s">
        <v>67</v>
      </c>
      <c r="L1591" t="s">
        <v>1195</v>
      </c>
      <c r="M1591" t="s">
        <v>1196</v>
      </c>
      <c r="N1591" t="s">
        <v>67</v>
      </c>
      <c r="Q1591" t="s">
        <v>67</v>
      </c>
      <c r="R1591" t="s">
        <v>67</v>
      </c>
      <c r="S1591" s="5"/>
      <c r="T1591" t="s">
        <v>72</v>
      </c>
      <c r="U1591" t="s">
        <v>87</v>
      </c>
      <c r="V1591" t="s">
        <v>74</v>
      </c>
      <c r="W1591" t="s">
        <v>87</v>
      </c>
      <c r="AE1591" s="2"/>
      <c r="AF1591" s="2"/>
      <c r="AG1591" s="2"/>
      <c r="AH1591" s="2"/>
      <c r="AL1591" s="2">
        <v>15540000</v>
      </c>
      <c r="AM1591" s="2">
        <v>7770000</v>
      </c>
      <c r="AN1591" s="2"/>
      <c r="AO1591" s="2">
        <v>0</v>
      </c>
      <c r="AP1591" s="2">
        <v>7770000</v>
      </c>
      <c r="AQ1591" s="2">
        <v>0</v>
      </c>
      <c r="AR1591" s="2">
        <v>0</v>
      </c>
      <c r="AS1591" s="2">
        <v>0</v>
      </c>
      <c r="AT1591" s="2">
        <v>0</v>
      </c>
      <c r="AU1591" s="2">
        <v>0</v>
      </c>
      <c r="AV1591" s="2">
        <v>0</v>
      </c>
      <c r="AW1591" s="4"/>
      <c r="AX1591" t="s">
        <v>75</v>
      </c>
      <c r="AZ1591" t="s">
        <v>1199</v>
      </c>
      <c r="BA1591" t="s">
        <v>67</v>
      </c>
      <c r="BB1591" t="s">
        <v>1200</v>
      </c>
      <c r="BC1591" t="s">
        <v>78</v>
      </c>
      <c r="BD1591" t="s">
        <v>79</v>
      </c>
      <c r="BE1591" t="s">
        <v>131</v>
      </c>
      <c r="BF1591" s="5">
        <v>46874</v>
      </c>
      <c r="BH1591">
        <v>4</v>
      </c>
      <c r="BI1591" s="6">
        <v>2700000</v>
      </c>
      <c r="BJ1591" s="6">
        <v>0</v>
      </c>
      <c r="BK1591" s="6">
        <v>0</v>
      </c>
      <c r="BL1591" s="6">
        <v>2700000</v>
      </c>
      <c r="BM1591" s="2">
        <v>10800000</v>
      </c>
      <c r="BN1591">
        <f>InvoiceTable[[#This Row],[Giảm giá]]*InvoiceTable[[#This Row],[Số lượng]]</f>
        <v>0</v>
      </c>
    </row>
    <row r="1592" spans="1:66" x14ac:dyDescent="0.25">
      <c r="A1592" t="s">
        <v>65</v>
      </c>
      <c r="B1592" t="s">
        <v>4123</v>
      </c>
      <c r="F1592" s="2"/>
      <c r="G1592" s="3">
        <v>45999.682647303242</v>
      </c>
      <c r="H1592" s="3">
        <v>45999.682647719907</v>
      </c>
      <c r="I1592" s="4" t="s">
        <v>67</v>
      </c>
      <c r="J1592" t="s">
        <v>67</v>
      </c>
      <c r="K1592" t="s">
        <v>67</v>
      </c>
      <c r="L1592" t="s">
        <v>111</v>
      </c>
      <c r="M1592" t="s">
        <v>112</v>
      </c>
      <c r="N1592" t="s">
        <v>67</v>
      </c>
      <c r="O1592" t="s">
        <v>113</v>
      </c>
      <c r="P1592" t="s">
        <v>114</v>
      </c>
      <c r="Q1592" t="s">
        <v>67</v>
      </c>
      <c r="R1592" t="s">
        <v>67</v>
      </c>
      <c r="S1592" s="5"/>
      <c r="T1592" t="s">
        <v>72</v>
      </c>
      <c r="U1592" t="s">
        <v>87</v>
      </c>
      <c r="V1592" t="s">
        <v>74</v>
      </c>
      <c r="W1592" t="s">
        <v>87</v>
      </c>
      <c r="AE1592" s="2"/>
      <c r="AF1592" s="2"/>
      <c r="AG1592" s="2"/>
      <c r="AH1592" s="2"/>
      <c r="AK1592" t="s">
        <v>4124</v>
      </c>
      <c r="AL1592" s="2">
        <v>780000</v>
      </c>
      <c r="AM1592" s="2">
        <v>0</v>
      </c>
      <c r="AN1592" s="2"/>
      <c r="AO1592" s="2">
        <v>0</v>
      </c>
      <c r="AP1592" s="2">
        <v>780000</v>
      </c>
      <c r="AQ1592" s="2">
        <v>0</v>
      </c>
      <c r="AR1592" s="2">
        <v>0</v>
      </c>
      <c r="AS1592" s="2">
        <v>0</v>
      </c>
      <c r="AT1592" s="2">
        <v>0</v>
      </c>
      <c r="AU1592" s="2">
        <v>0</v>
      </c>
      <c r="AV1592" s="2">
        <v>0</v>
      </c>
      <c r="AW1592" s="4"/>
      <c r="AX1592" t="s">
        <v>75</v>
      </c>
      <c r="AZ1592" t="s">
        <v>4125</v>
      </c>
      <c r="BA1592" t="s">
        <v>67</v>
      </c>
      <c r="BB1592" t="s">
        <v>4126</v>
      </c>
      <c r="BC1592" t="s">
        <v>138</v>
      </c>
      <c r="BD1592" t="s">
        <v>79</v>
      </c>
      <c r="BE1592" t="s">
        <v>168</v>
      </c>
      <c r="BF1592" s="5">
        <v>46388</v>
      </c>
      <c r="BG1592" t="s">
        <v>67</v>
      </c>
      <c r="BH1592">
        <v>1</v>
      </c>
      <c r="BI1592" s="6">
        <v>1560000</v>
      </c>
      <c r="BJ1592" s="6">
        <v>50</v>
      </c>
      <c r="BK1592" s="6">
        <v>780000</v>
      </c>
      <c r="BL1592" s="6">
        <v>780000</v>
      </c>
      <c r="BM1592" s="2">
        <v>780000</v>
      </c>
      <c r="BN1592">
        <f>InvoiceTable[[#This Row],[Giảm giá]]*InvoiceTable[[#This Row],[Số lượng]]</f>
        <v>780000</v>
      </c>
    </row>
    <row r="1593" spans="1:66" x14ac:dyDescent="0.25">
      <c r="A1593" t="s">
        <v>65</v>
      </c>
      <c r="B1593" t="s">
        <v>4127</v>
      </c>
      <c r="F1593" s="2"/>
      <c r="G1593" s="3">
        <v>45999.682254282408</v>
      </c>
      <c r="H1593" s="3">
        <v>45999.682254479165</v>
      </c>
      <c r="I1593" s="4" t="s">
        <v>67</v>
      </c>
      <c r="J1593" t="s">
        <v>67</v>
      </c>
      <c r="K1593" t="s">
        <v>67</v>
      </c>
      <c r="L1593" t="s">
        <v>111</v>
      </c>
      <c r="M1593" t="s">
        <v>112</v>
      </c>
      <c r="N1593" t="s">
        <v>67</v>
      </c>
      <c r="O1593" t="s">
        <v>113</v>
      </c>
      <c r="P1593" t="s">
        <v>114</v>
      </c>
      <c r="Q1593" t="s">
        <v>67</v>
      </c>
      <c r="R1593" t="s">
        <v>67</v>
      </c>
      <c r="S1593" s="5"/>
      <c r="T1593" t="s">
        <v>72</v>
      </c>
      <c r="U1593" t="s">
        <v>87</v>
      </c>
      <c r="V1593" t="s">
        <v>74</v>
      </c>
      <c r="W1593" t="s">
        <v>87</v>
      </c>
      <c r="AE1593" s="2"/>
      <c r="AF1593" s="2"/>
      <c r="AG1593" s="2"/>
      <c r="AH1593" s="2"/>
      <c r="AK1593" t="s">
        <v>4128</v>
      </c>
      <c r="AL1593" s="2">
        <v>23250000</v>
      </c>
      <c r="AM1593" s="2">
        <v>11625000</v>
      </c>
      <c r="AN1593" s="2"/>
      <c r="AO1593" s="2">
        <v>0</v>
      </c>
      <c r="AP1593" s="2">
        <v>11625000</v>
      </c>
      <c r="AQ1593" s="2">
        <v>0</v>
      </c>
      <c r="AR1593" s="2">
        <v>0</v>
      </c>
      <c r="AS1593" s="2">
        <v>0</v>
      </c>
      <c r="AT1593" s="2">
        <v>0</v>
      </c>
      <c r="AU1593" s="2">
        <v>0</v>
      </c>
      <c r="AV1593" s="2">
        <v>0</v>
      </c>
      <c r="AW1593" s="4"/>
      <c r="AX1593" t="s">
        <v>75</v>
      </c>
      <c r="AZ1593" t="s">
        <v>129</v>
      </c>
      <c r="BA1593" t="s">
        <v>67</v>
      </c>
      <c r="BB1593" t="s">
        <v>130</v>
      </c>
      <c r="BC1593" t="s">
        <v>78</v>
      </c>
      <c r="BD1593" t="s">
        <v>79</v>
      </c>
      <c r="BE1593" t="s">
        <v>131</v>
      </c>
      <c r="BF1593" s="5">
        <v>46874</v>
      </c>
      <c r="BG1593" t="s">
        <v>67</v>
      </c>
      <c r="BH1593">
        <v>1</v>
      </c>
      <c r="BI1593" s="6">
        <v>3050000</v>
      </c>
      <c r="BJ1593" s="6">
        <v>0</v>
      </c>
      <c r="BK1593" s="6">
        <v>0</v>
      </c>
      <c r="BL1593" s="6">
        <v>3050000</v>
      </c>
      <c r="BM1593" s="2">
        <v>3050000</v>
      </c>
      <c r="BN1593">
        <f>InvoiceTable[[#This Row],[Giảm giá]]*InvoiceTable[[#This Row],[Số lượng]]</f>
        <v>0</v>
      </c>
    </row>
    <row r="1594" spans="1:66" x14ac:dyDescent="0.25">
      <c r="A1594" t="s">
        <v>65</v>
      </c>
      <c r="B1594" t="s">
        <v>4127</v>
      </c>
      <c r="F1594" s="2"/>
      <c r="G1594" s="3">
        <v>45999.682254282408</v>
      </c>
      <c r="H1594" s="3">
        <v>45999.682254479165</v>
      </c>
      <c r="I1594" s="4" t="s">
        <v>67</v>
      </c>
      <c r="J1594" t="s">
        <v>67</v>
      </c>
      <c r="K1594" t="s">
        <v>67</v>
      </c>
      <c r="L1594" t="s">
        <v>111</v>
      </c>
      <c r="M1594" t="s">
        <v>112</v>
      </c>
      <c r="N1594" t="s">
        <v>67</v>
      </c>
      <c r="O1594" t="s">
        <v>113</v>
      </c>
      <c r="P1594" t="s">
        <v>114</v>
      </c>
      <c r="Q1594" t="s">
        <v>67</v>
      </c>
      <c r="R1594" t="s">
        <v>67</v>
      </c>
      <c r="S1594" s="5"/>
      <c r="T1594" t="s">
        <v>72</v>
      </c>
      <c r="U1594" t="s">
        <v>87</v>
      </c>
      <c r="V1594" t="s">
        <v>74</v>
      </c>
      <c r="W1594" t="s">
        <v>87</v>
      </c>
      <c r="AE1594" s="2"/>
      <c r="AF1594" s="2"/>
      <c r="AG1594" s="2"/>
      <c r="AH1594" s="2"/>
      <c r="AK1594" t="s">
        <v>4128</v>
      </c>
      <c r="AL1594" s="2">
        <v>23250000</v>
      </c>
      <c r="AM1594" s="2">
        <v>11625000</v>
      </c>
      <c r="AN1594" s="2"/>
      <c r="AO1594" s="2">
        <v>0</v>
      </c>
      <c r="AP1594" s="2">
        <v>11625000</v>
      </c>
      <c r="AQ1594" s="2">
        <v>0</v>
      </c>
      <c r="AR1594" s="2">
        <v>0</v>
      </c>
      <c r="AS1594" s="2">
        <v>0</v>
      </c>
      <c r="AT1594" s="2">
        <v>0</v>
      </c>
      <c r="AU1594" s="2">
        <v>0</v>
      </c>
      <c r="AV1594" s="2">
        <v>0</v>
      </c>
      <c r="AW1594" s="4"/>
      <c r="AX1594" t="s">
        <v>75</v>
      </c>
      <c r="AZ1594" t="s">
        <v>651</v>
      </c>
      <c r="BA1594" t="s">
        <v>67</v>
      </c>
      <c r="BB1594" t="s">
        <v>652</v>
      </c>
      <c r="BC1594" t="s">
        <v>78</v>
      </c>
      <c r="BD1594" t="s">
        <v>79</v>
      </c>
      <c r="BE1594" t="s">
        <v>131</v>
      </c>
      <c r="BF1594" s="5">
        <v>46874</v>
      </c>
      <c r="BH1594">
        <v>1</v>
      </c>
      <c r="BI1594" s="6">
        <v>3800000</v>
      </c>
      <c r="BJ1594" s="6">
        <v>0</v>
      </c>
      <c r="BK1594" s="6">
        <v>0</v>
      </c>
      <c r="BL1594" s="6">
        <v>3800000</v>
      </c>
      <c r="BM1594" s="2">
        <v>3800000</v>
      </c>
      <c r="BN1594">
        <f>InvoiceTable[[#This Row],[Giảm giá]]*InvoiceTable[[#This Row],[Số lượng]]</f>
        <v>0</v>
      </c>
    </row>
    <row r="1595" spans="1:66" x14ac:dyDescent="0.25">
      <c r="A1595" t="s">
        <v>65</v>
      </c>
      <c r="B1595" t="s">
        <v>4127</v>
      </c>
      <c r="F1595" s="2"/>
      <c r="G1595" s="3">
        <v>45999.682254282408</v>
      </c>
      <c r="H1595" s="3">
        <v>45999.682254479165</v>
      </c>
      <c r="I1595" s="4" t="s">
        <v>67</v>
      </c>
      <c r="J1595" t="s">
        <v>67</v>
      </c>
      <c r="K1595" t="s">
        <v>67</v>
      </c>
      <c r="L1595" t="s">
        <v>111</v>
      </c>
      <c r="M1595" t="s">
        <v>112</v>
      </c>
      <c r="N1595" t="s">
        <v>67</v>
      </c>
      <c r="O1595" t="s">
        <v>113</v>
      </c>
      <c r="P1595" t="s">
        <v>114</v>
      </c>
      <c r="Q1595" t="s">
        <v>67</v>
      </c>
      <c r="R1595" t="s">
        <v>67</v>
      </c>
      <c r="S1595" s="5"/>
      <c r="T1595" t="s">
        <v>72</v>
      </c>
      <c r="U1595" t="s">
        <v>87</v>
      </c>
      <c r="V1595" t="s">
        <v>74</v>
      </c>
      <c r="W1595" t="s">
        <v>87</v>
      </c>
      <c r="AE1595" s="2"/>
      <c r="AF1595" s="2"/>
      <c r="AG1595" s="2"/>
      <c r="AH1595" s="2"/>
      <c r="AK1595" t="s">
        <v>4128</v>
      </c>
      <c r="AL1595" s="2">
        <v>23250000</v>
      </c>
      <c r="AM1595" s="2">
        <v>11625000</v>
      </c>
      <c r="AN1595" s="2"/>
      <c r="AO1595" s="2">
        <v>0</v>
      </c>
      <c r="AP1595" s="2">
        <v>11625000</v>
      </c>
      <c r="AQ1595" s="2">
        <v>0</v>
      </c>
      <c r="AR1595" s="2">
        <v>0</v>
      </c>
      <c r="AS1595" s="2">
        <v>0</v>
      </c>
      <c r="AT1595" s="2">
        <v>0</v>
      </c>
      <c r="AU1595" s="2">
        <v>0</v>
      </c>
      <c r="AV1595" s="2">
        <v>0</v>
      </c>
      <c r="AW1595" s="4"/>
      <c r="AX1595" t="s">
        <v>75</v>
      </c>
      <c r="AZ1595" t="s">
        <v>2228</v>
      </c>
      <c r="BA1595" t="s">
        <v>67</v>
      </c>
      <c r="BB1595" t="s">
        <v>2229</v>
      </c>
      <c r="BC1595" t="s">
        <v>78</v>
      </c>
      <c r="BD1595" t="s">
        <v>79</v>
      </c>
      <c r="BE1595" t="s">
        <v>168</v>
      </c>
      <c r="BF1595" s="5">
        <v>46388</v>
      </c>
      <c r="BG1595" t="s">
        <v>67</v>
      </c>
      <c r="BH1595">
        <v>2</v>
      </c>
      <c r="BI1595" s="6">
        <v>3800000</v>
      </c>
      <c r="BJ1595" s="6">
        <v>0</v>
      </c>
      <c r="BK1595" s="6">
        <v>0</v>
      </c>
      <c r="BL1595" s="6">
        <v>3800000</v>
      </c>
      <c r="BM1595" s="2">
        <v>7600000</v>
      </c>
      <c r="BN1595">
        <f>InvoiceTable[[#This Row],[Giảm giá]]*InvoiceTable[[#This Row],[Số lượng]]</f>
        <v>0</v>
      </c>
    </row>
    <row r="1596" spans="1:66" x14ac:dyDescent="0.25">
      <c r="A1596" t="s">
        <v>65</v>
      </c>
      <c r="B1596" t="s">
        <v>4127</v>
      </c>
      <c r="F1596" s="2"/>
      <c r="G1596" s="3">
        <v>45999.682254282408</v>
      </c>
      <c r="H1596" s="3">
        <v>45999.682254479165</v>
      </c>
      <c r="I1596" s="4" t="s">
        <v>67</v>
      </c>
      <c r="J1596" t="s">
        <v>67</v>
      </c>
      <c r="K1596" t="s">
        <v>67</v>
      </c>
      <c r="L1596" t="s">
        <v>111</v>
      </c>
      <c r="M1596" t="s">
        <v>112</v>
      </c>
      <c r="N1596" t="s">
        <v>67</v>
      </c>
      <c r="O1596" t="s">
        <v>113</v>
      </c>
      <c r="P1596" t="s">
        <v>114</v>
      </c>
      <c r="Q1596" t="s">
        <v>67</v>
      </c>
      <c r="R1596" t="s">
        <v>67</v>
      </c>
      <c r="S1596" s="5"/>
      <c r="T1596" t="s">
        <v>72</v>
      </c>
      <c r="U1596" t="s">
        <v>87</v>
      </c>
      <c r="V1596" t="s">
        <v>74</v>
      </c>
      <c r="W1596" t="s">
        <v>87</v>
      </c>
      <c r="AE1596" s="2"/>
      <c r="AF1596" s="2"/>
      <c r="AG1596" s="2"/>
      <c r="AH1596" s="2"/>
      <c r="AK1596" t="s">
        <v>4128</v>
      </c>
      <c r="AL1596" s="2">
        <v>23250000</v>
      </c>
      <c r="AM1596" s="2">
        <v>11625000</v>
      </c>
      <c r="AN1596" s="2"/>
      <c r="AO1596" s="2">
        <v>0</v>
      </c>
      <c r="AP1596" s="2">
        <v>11625000</v>
      </c>
      <c r="AQ1596" s="2">
        <v>0</v>
      </c>
      <c r="AR1596" s="2">
        <v>0</v>
      </c>
      <c r="AS1596" s="2">
        <v>0</v>
      </c>
      <c r="AT1596" s="2">
        <v>0</v>
      </c>
      <c r="AU1596" s="2">
        <v>0</v>
      </c>
      <c r="AV1596" s="2">
        <v>0</v>
      </c>
      <c r="AW1596" s="4"/>
      <c r="AX1596" t="s">
        <v>75</v>
      </c>
      <c r="AZ1596" t="s">
        <v>806</v>
      </c>
      <c r="BA1596" t="s">
        <v>67</v>
      </c>
      <c r="BB1596" t="s">
        <v>807</v>
      </c>
      <c r="BC1596" t="s">
        <v>78</v>
      </c>
      <c r="BD1596" t="s">
        <v>79</v>
      </c>
      <c r="BE1596" t="s">
        <v>188</v>
      </c>
      <c r="BF1596" s="5">
        <v>46905</v>
      </c>
      <c r="BH1596">
        <v>1</v>
      </c>
      <c r="BI1596" s="6">
        <v>5300000</v>
      </c>
      <c r="BJ1596" s="6">
        <v>0</v>
      </c>
      <c r="BK1596" s="6">
        <v>0</v>
      </c>
      <c r="BL1596" s="6">
        <v>5300000</v>
      </c>
      <c r="BM1596" s="2">
        <v>5300000</v>
      </c>
      <c r="BN1596">
        <f>InvoiceTable[[#This Row],[Giảm giá]]*InvoiceTable[[#This Row],[Số lượng]]</f>
        <v>0</v>
      </c>
    </row>
    <row r="1597" spans="1:66" x14ac:dyDescent="0.25">
      <c r="A1597" t="s">
        <v>65</v>
      </c>
      <c r="B1597" t="s">
        <v>4127</v>
      </c>
      <c r="F1597" s="2"/>
      <c r="G1597" s="3">
        <v>45999.682254282408</v>
      </c>
      <c r="H1597" s="3">
        <v>45999.682254479165</v>
      </c>
      <c r="I1597" s="4" t="s">
        <v>67</v>
      </c>
      <c r="J1597" t="s">
        <v>67</v>
      </c>
      <c r="K1597" t="s">
        <v>67</v>
      </c>
      <c r="L1597" t="s">
        <v>111</v>
      </c>
      <c r="M1597" t="s">
        <v>112</v>
      </c>
      <c r="N1597" t="s">
        <v>67</v>
      </c>
      <c r="O1597" t="s">
        <v>113</v>
      </c>
      <c r="P1597" t="s">
        <v>114</v>
      </c>
      <c r="Q1597" t="s">
        <v>67</v>
      </c>
      <c r="R1597" t="s">
        <v>67</v>
      </c>
      <c r="S1597" s="5"/>
      <c r="T1597" t="s">
        <v>72</v>
      </c>
      <c r="U1597" t="s">
        <v>87</v>
      </c>
      <c r="V1597" t="s">
        <v>74</v>
      </c>
      <c r="W1597" t="s">
        <v>87</v>
      </c>
      <c r="AE1597" s="2"/>
      <c r="AF1597" s="2"/>
      <c r="AG1597" s="2"/>
      <c r="AH1597" s="2"/>
      <c r="AK1597" t="s">
        <v>4128</v>
      </c>
      <c r="AL1597" s="2">
        <v>23250000</v>
      </c>
      <c r="AM1597" s="2">
        <v>11625000</v>
      </c>
      <c r="AN1597" s="2"/>
      <c r="AO1597" s="2">
        <v>0</v>
      </c>
      <c r="AP1597" s="2">
        <v>11625000</v>
      </c>
      <c r="AQ1597" s="2">
        <v>0</v>
      </c>
      <c r="AR1597" s="2">
        <v>0</v>
      </c>
      <c r="AS1597" s="2">
        <v>0</v>
      </c>
      <c r="AT1597" s="2">
        <v>0</v>
      </c>
      <c r="AU1597" s="2">
        <v>0</v>
      </c>
      <c r="AV1597" s="2">
        <v>0</v>
      </c>
      <c r="AW1597" s="4"/>
      <c r="AX1597" t="s">
        <v>75</v>
      </c>
      <c r="AZ1597" t="s">
        <v>518</v>
      </c>
      <c r="BA1597" t="s">
        <v>67</v>
      </c>
      <c r="BB1597" t="s">
        <v>519</v>
      </c>
      <c r="BC1597" t="s">
        <v>78</v>
      </c>
      <c r="BD1597" t="s">
        <v>79</v>
      </c>
      <c r="BE1597" t="s">
        <v>80</v>
      </c>
      <c r="BF1597" s="5">
        <v>47300</v>
      </c>
      <c r="BH1597">
        <v>1</v>
      </c>
      <c r="BI1597" s="6">
        <v>3500000</v>
      </c>
      <c r="BJ1597" s="6">
        <v>0</v>
      </c>
      <c r="BK1597" s="6">
        <v>0</v>
      </c>
      <c r="BL1597" s="6">
        <v>3500000</v>
      </c>
      <c r="BM1597" s="2">
        <v>3500000</v>
      </c>
      <c r="BN1597">
        <f>InvoiceTable[[#This Row],[Giảm giá]]*InvoiceTable[[#This Row],[Số lượng]]</f>
        <v>0</v>
      </c>
    </row>
    <row r="1598" spans="1:66" x14ac:dyDescent="0.25">
      <c r="A1598" t="s">
        <v>65</v>
      </c>
      <c r="B1598" t="s">
        <v>4129</v>
      </c>
      <c r="F1598" s="2"/>
      <c r="G1598" s="3">
        <v>45999.679091435188</v>
      </c>
      <c r="H1598" s="3">
        <v>45999.678906516201</v>
      </c>
      <c r="I1598" s="4" t="s">
        <v>96</v>
      </c>
      <c r="J1598" t="s">
        <v>4130</v>
      </c>
      <c r="K1598" t="s">
        <v>67</v>
      </c>
      <c r="L1598" t="s">
        <v>4131</v>
      </c>
      <c r="M1598" t="s">
        <v>4132</v>
      </c>
      <c r="N1598" t="s">
        <v>67</v>
      </c>
      <c r="O1598" t="s">
        <v>4133</v>
      </c>
      <c r="P1598" t="s">
        <v>4134</v>
      </c>
      <c r="Q1598" t="s">
        <v>67</v>
      </c>
      <c r="R1598" t="s">
        <v>67</v>
      </c>
      <c r="S1598" s="5"/>
      <c r="T1598" t="s">
        <v>72</v>
      </c>
      <c r="U1598" t="s">
        <v>102</v>
      </c>
      <c r="V1598" t="s">
        <v>74</v>
      </c>
      <c r="W1598" t="s">
        <v>87</v>
      </c>
      <c r="AE1598" s="2"/>
      <c r="AF1598" s="2"/>
      <c r="AG1598" s="2"/>
      <c r="AH1598" s="2"/>
      <c r="AK1598" t="s">
        <v>4135</v>
      </c>
      <c r="AL1598" s="2">
        <v>1241040</v>
      </c>
      <c r="AM1598" s="2">
        <v>0</v>
      </c>
      <c r="AN1598" s="2"/>
      <c r="AO1598" s="2">
        <v>0</v>
      </c>
      <c r="AP1598" s="2">
        <v>1241040</v>
      </c>
      <c r="AQ1598" s="2">
        <v>0</v>
      </c>
      <c r="AR1598" s="2">
        <v>0</v>
      </c>
      <c r="AS1598" s="2">
        <v>0</v>
      </c>
      <c r="AT1598" s="2">
        <v>0</v>
      </c>
      <c r="AU1598" s="2">
        <v>0</v>
      </c>
      <c r="AV1598" s="2">
        <v>0</v>
      </c>
      <c r="AW1598" s="4"/>
      <c r="AX1598" t="s">
        <v>75</v>
      </c>
      <c r="AZ1598" t="s">
        <v>4136</v>
      </c>
      <c r="BA1598" t="s">
        <v>67</v>
      </c>
      <c r="BB1598" t="s">
        <v>4137</v>
      </c>
      <c r="BC1598" t="s">
        <v>4138</v>
      </c>
      <c r="BD1598" t="s">
        <v>79</v>
      </c>
      <c r="BE1598" t="s">
        <v>4139</v>
      </c>
      <c r="BF1598" s="5">
        <v>46877</v>
      </c>
      <c r="BG1598" t="s">
        <v>67</v>
      </c>
      <c r="BH1598">
        <v>2</v>
      </c>
      <c r="BI1598" s="6">
        <v>339000</v>
      </c>
      <c r="BJ1598" s="6">
        <v>32</v>
      </c>
      <c r="BK1598" s="6">
        <v>108480</v>
      </c>
      <c r="BL1598" s="6">
        <v>230520</v>
      </c>
      <c r="BM1598" s="2">
        <v>461040</v>
      </c>
      <c r="BN1598">
        <f>InvoiceTable[[#This Row],[Giảm giá]]*InvoiceTable[[#This Row],[Số lượng]]</f>
        <v>216960</v>
      </c>
    </row>
    <row r="1599" spans="1:66" x14ac:dyDescent="0.25">
      <c r="A1599" t="s">
        <v>65</v>
      </c>
      <c r="B1599" t="s">
        <v>4129</v>
      </c>
      <c r="F1599" s="2"/>
      <c r="G1599" s="3">
        <v>45999.679091435188</v>
      </c>
      <c r="H1599" s="3">
        <v>45999.678906516201</v>
      </c>
      <c r="I1599" s="4" t="s">
        <v>96</v>
      </c>
      <c r="J1599" t="s">
        <v>4130</v>
      </c>
      <c r="K1599" t="s">
        <v>67</v>
      </c>
      <c r="L1599" t="s">
        <v>4131</v>
      </c>
      <c r="M1599" t="s">
        <v>4132</v>
      </c>
      <c r="N1599" t="s">
        <v>67</v>
      </c>
      <c r="O1599" t="s">
        <v>4133</v>
      </c>
      <c r="P1599" t="s">
        <v>4134</v>
      </c>
      <c r="Q1599" t="s">
        <v>67</v>
      </c>
      <c r="R1599" t="s">
        <v>67</v>
      </c>
      <c r="S1599" s="5"/>
      <c r="T1599" t="s">
        <v>72</v>
      </c>
      <c r="U1599" t="s">
        <v>102</v>
      </c>
      <c r="V1599" t="s">
        <v>74</v>
      </c>
      <c r="W1599" t="s">
        <v>87</v>
      </c>
      <c r="AE1599" s="2"/>
      <c r="AF1599" s="2"/>
      <c r="AG1599" s="2"/>
      <c r="AH1599" s="2"/>
      <c r="AK1599" t="s">
        <v>4135</v>
      </c>
      <c r="AL1599" s="2">
        <v>1241040</v>
      </c>
      <c r="AM1599" s="2">
        <v>0</v>
      </c>
      <c r="AN1599" s="2"/>
      <c r="AO1599" s="2">
        <v>0</v>
      </c>
      <c r="AP1599" s="2">
        <v>1241040</v>
      </c>
      <c r="AQ1599" s="2">
        <v>0</v>
      </c>
      <c r="AR1599" s="2">
        <v>0</v>
      </c>
      <c r="AS1599" s="2">
        <v>0</v>
      </c>
      <c r="AT1599" s="2">
        <v>0</v>
      </c>
      <c r="AU1599" s="2">
        <v>0</v>
      </c>
      <c r="AV1599" s="2">
        <v>0</v>
      </c>
      <c r="AW1599" s="4"/>
      <c r="AX1599" t="s">
        <v>75</v>
      </c>
      <c r="AZ1599" t="s">
        <v>1262</v>
      </c>
      <c r="BA1599" t="s">
        <v>67</v>
      </c>
      <c r="BB1599" t="s">
        <v>1263</v>
      </c>
      <c r="BC1599" t="s">
        <v>1264</v>
      </c>
      <c r="BD1599" t="s">
        <v>79</v>
      </c>
      <c r="BE1599" t="s">
        <v>378</v>
      </c>
      <c r="BF1599" s="5">
        <v>46997</v>
      </c>
      <c r="BH1599">
        <v>2</v>
      </c>
      <c r="BI1599" s="6">
        <v>898000</v>
      </c>
      <c r="BJ1599" s="6">
        <v>0</v>
      </c>
      <c r="BK1599" s="6">
        <v>508000</v>
      </c>
      <c r="BL1599" s="6">
        <v>390000</v>
      </c>
      <c r="BM1599" s="2">
        <v>780000</v>
      </c>
      <c r="BN1599">
        <f>InvoiceTable[[#This Row],[Giảm giá]]*InvoiceTable[[#This Row],[Số lượng]]</f>
        <v>1016000</v>
      </c>
    </row>
    <row r="1600" spans="1:66" x14ac:dyDescent="0.25">
      <c r="A1600" t="s">
        <v>65</v>
      </c>
      <c r="B1600" t="s">
        <v>4140</v>
      </c>
      <c r="F1600" s="2"/>
      <c r="G1600" s="3">
        <v>45999.678856863429</v>
      </c>
      <c r="H1600" s="3">
        <v>46002.606643715277</v>
      </c>
      <c r="I1600" s="4" t="s">
        <v>1465</v>
      </c>
      <c r="J1600" t="s">
        <v>4141</v>
      </c>
      <c r="K1600" t="s">
        <v>67</v>
      </c>
      <c r="L1600" t="s">
        <v>119</v>
      </c>
      <c r="M1600" t="s">
        <v>120</v>
      </c>
      <c r="N1600" t="s">
        <v>67</v>
      </c>
      <c r="O1600" t="s">
        <v>121</v>
      </c>
      <c r="Q1600" t="s">
        <v>122</v>
      </c>
      <c r="R1600" t="s">
        <v>123</v>
      </c>
      <c r="S1600" s="5"/>
      <c r="T1600" t="s">
        <v>72</v>
      </c>
      <c r="U1600" t="s">
        <v>102</v>
      </c>
      <c r="V1600" t="s">
        <v>74</v>
      </c>
      <c r="W1600" t="s">
        <v>102</v>
      </c>
      <c r="AE1600" s="2"/>
      <c r="AF1600" s="2"/>
      <c r="AG1600" s="2"/>
      <c r="AH1600" s="2"/>
      <c r="AK1600" t="s">
        <v>67</v>
      </c>
      <c r="AL1600" s="2">
        <v>14858500</v>
      </c>
      <c r="AM1600" s="2">
        <v>0</v>
      </c>
      <c r="AN1600" s="2"/>
      <c r="AO1600" s="2">
        <v>0</v>
      </c>
      <c r="AP1600" s="2">
        <v>14858500</v>
      </c>
      <c r="AQ1600" s="2">
        <v>0</v>
      </c>
      <c r="AR1600" s="2">
        <v>0</v>
      </c>
      <c r="AS1600" s="2">
        <v>0</v>
      </c>
      <c r="AT1600" s="2">
        <v>0</v>
      </c>
      <c r="AU1600" s="2">
        <v>0</v>
      </c>
      <c r="AV1600" s="2">
        <v>0</v>
      </c>
      <c r="AW1600" s="4"/>
      <c r="AX1600" t="s">
        <v>75</v>
      </c>
      <c r="AZ1600" t="s">
        <v>76</v>
      </c>
      <c r="BA1600" t="s">
        <v>67</v>
      </c>
      <c r="BB1600" t="s">
        <v>77</v>
      </c>
      <c r="BC1600" t="s">
        <v>78</v>
      </c>
      <c r="BD1600" t="s">
        <v>79</v>
      </c>
      <c r="BE1600" t="s">
        <v>80</v>
      </c>
      <c r="BF1600" s="5">
        <v>47300</v>
      </c>
      <c r="BG1600" t="s">
        <v>67</v>
      </c>
      <c r="BH1600">
        <v>2</v>
      </c>
      <c r="BI1600" s="6">
        <v>700000</v>
      </c>
      <c r="BJ1600" s="6">
        <v>47</v>
      </c>
      <c r="BK1600" s="6">
        <v>329000</v>
      </c>
      <c r="BL1600" s="6">
        <v>371000</v>
      </c>
      <c r="BM1600" s="2">
        <v>742000</v>
      </c>
      <c r="BN1600">
        <f>InvoiceTable[[#This Row],[Giảm giá]]*InvoiceTable[[#This Row],[Số lượng]]</f>
        <v>658000</v>
      </c>
    </row>
    <row r="1601" spans="1:66" x14ac:dyDescent="0.25">
      <c r="A1601" t="s">
        <v>65</v>
      </c>
      <c r="B1601" t="s">
        <v>4140</v>
      </c>
      <c r="F1601" s="2"/>
      <c r="G1601" s="3">
        <v>45999.678856863429</v>
      </c>
      <c r="H1601" s="3">
        <v>46002.606643715277</v>
      </c>
      <c r="I1601" s="4" t="s">
        <v>1465</v>
      </c>
      <c r="J1601" t="s">
        <v>4141</v>
      </c>
      <c r="K1601" t="s">
        <v>67</v>
      </c>
      <c r="L1601" t="s">
        <v>119</v>
      </c>
      <c r="M1601" t="s">
        <v>120</v>
      </c>
      <c r="N1601" t="s">
        <v>67</v>
      </c>
      <c r="O1601" t="s">
        <v>121</v>
      </c>
      <c r="Q1601" t="s">
        <v>122</v>
      </c>
      <c r="R1601" t="s">
        <v>123</v>
      </c>
      <c r="S1601" s="5"/>
      <c r="T1601" t="s">
        <v>72</v>
      </c>
      <c r="U1601" t="s">
        <v>102</v>
      </c>
      <c r="V1601" t="s">
        <v>74</v>
      </c>
      <c r="W1601" t="s">
        <v>102</v>
      </c>
      <c r="AE1601" s="2"/>
      <c r="AF1601" s="2"/>
      <c r="AG1601" s="2"/>
      <c r="AH1601" s="2"/>
      <c r="AK1601" t="s">
        <v>67</v>
      </c>
      <c r="AL1601" s="2">
        <v>14858500</v>
      </c>
      <c r="AM1601" s="2">
        <v>0</v>
      </c>
      <c r="AN1601" s="2"/>
      <c r="AO1601" s="2">
        <v>0</v>
      </c>
      <c r="AP1601" s="2">
        <v>14858500</v>
      </c>
      <c r="AQ1601" s="2">
        <v>0</v>
      </c>
      <c r="AR1601" s="2">
        <v>0</v>
      </c>
      <c r="AS1601" s="2">
        <v>0</v>
      </c>
      <c r="AT1601" s="2">
        <v>0</v>
      </c>
      <c r="AU1601" s="2">
        <v>0</v>
      </c>
      <c r="AV1601" s="2">
        <v>0</v>
      </c>
      <c r="AW1601" s="4"/>
      <c r="AX1601" t="s">
        <v>75</v>
      </c>
      <c r="AZ1601" t="s">
        <v>4142</v>
      </c>
      <c r="BA1601" t="s">
        <v>67</v>
      </c>
      <c r="BB1601" t="s">
        <v>4143</v>
      </c>
      <c r="BC1601" t="s">
        <v>154</v>
      </c>
      <c r="BD1601" t="s">
        <v>79</v>
      </c>
      <c r="BE1601" t="s">
        <v>168</v>
      </c>
      <c r="BF1601" s="5">
        <v>46388</v>
      </c>
      <c r="BH1601">
        <v>1</v>
      </c>
      <c r="BI1601" s="6">
        <v>850000</v>
      </c>
      <c r="BJ1601" s="6">
        <v>47</v>
      </c>
      <c r="BK1601" s="6">
        <v>399500</v>
      </c>
      <c r="BL1601" s="6">
        <v>450500</v>
      </c>
      <c r="BM1601" s="2">
        <v>450500</v>
      </c>
      <c r="BN1601">
        <f>InvoiceTable[[#This Row],[Giảm giá]]*InvoiceTable[[#This Row],[Số lượng]]</f>
        <v>399500</v>
      </c>
    </row>
    <row r="1602" spans="1:66" x14ac:dyDescent="0.25">
      <c r="A1602" t="s">
        <v>65</v>
      </c>
      <c r="B1602" t="s">
        <v>4140</v>
      </c>
      <c r="F1602" s="2"/>
      <c r="G1602" s="3">
        <v>45999.678856863429</v>
      </c>
      <c r="H1602" s="3">
        <v>46002.606643715277</v>
      </c>
      <c r="I1602" s="4" t="s">
        <v>1465</v>
      </c>
      <c r="J1602" t="s">
        <v>4141</v>
      </c>
      <c r="K1602" t="s">
        <v>67</v>
      </c>
      <c r="L1602" t="s">
        <v>119</v>
      </c>
      <c r="M1602" t="s">
        <v>120</v>
      </c>
      <c r="N1602" t="s">
        <v>67</v>
      </c>
      <c r="O1602" t="s">
        <v>121</v>
      </c>
      <c r="Q1602" t="s">
        <v>122</v>
      </c>
      <c r="R1602" t="s">
        <v>123</v>
      </c>
      <c r="S1602" s="5"/>
      <c r="T1602" t="s">
        <v>72</v>
      </c>
      <c r="U1602" t="s">
        <v>102</v>
      </c>
      <c r="V1602" t="s">
        <v>74</v>
      </c>
      <c r="W1602" t="s">
        <v>102</v>
      </c>
      <c r="AE1602" s="2"/>
      <c r="AF1602" s="2"/>
      <c r="AG1602" s="2"/>
      <c r="AH1602" s="2"/>
      <c r="AK1602" t="s">
        <v>67</v>
      </c>
      <c r="AL1602" s="2">
        <v>14858500</v>
      </c>
      <c r="AM1602" s="2">
        <v>0</v>
      </c>
      <c r="AN1602" s="2"/>
      <c r="AO1602" s="2">
        <v>0</v>
      </c>
      <c r="AP1602" s="2">
        <v>14858500</v>
      </c>
      <c r="AQ1602" s="2">
        <v>0</v>
      </c>
      <c r="AR1602" s="2">
        <v>0</v>
      </c>
      <c r="AS1602" s="2">
        <v>0</v>
      </c>
      <c r="AT1602" s="2">
        <v>0</v>
      </c>
      <c r="AU1602" s="2">
        <v>0</v>
      </c>
      <c r="AV1602" s="2">
        <v>0</v>
      </c>
      <c r="AW1602" s="4"/>
      <c r="AX1602" t="s">
        <v>75</v>
      </c>
      <c r="AZ1602" t="s">
        <v>438</v>
      </c>
      <c r="BA1602" t="s">
        <v>67</v>
      </c>
      <c r="BB1602" t="s">
        <v>439</v>
      </c>
      <c r="BC1602" t="s">
        <v>440</v>
      </c>
      <c r="BD1602" t="s">
        <v>79</v>
      </c>
      <c r="BE1602" t="s">
        <v>216</v>
      </c>
      <c r="BF1602" s="5">
        <v>46784</v>
      </c>
      <c r="BH1602">
        <v>5</v>
      </c>
      <c r="BI1602" s="6">
        <v>450000</v>
      </c>
      <c r="BJ1602" s="6">
        <v>0</v>
      </c>
      <c r="BK1602" s="6">
        <v>225000</v>
      </c>
      <c r="BL1602" s="6">
        <v>225000</v>
      </c>
      <c r="BM1602" s="2">
        <v>1125000</v>
      </c>
      <c r="BN1602">
        <f>InvoiceTable[[#This Row],[Giảm giá]]*InvoiceTable[[#This Row],[Số lượng]]</f>
        <v>1125000</v>
      </c>
    </row>
    <row r="1603" spans="1:66" x14ac:dyDescent="0.25">
      <c r="A1603" t="s">
        <v>65</v>
      </c>
      <c r="B1603" t="s">
        <v>4140</v>
      </c>
      <c r="F1603" s="2"/>
      <c r="G1603" s="3">
        <v>45999.678856863429</v>
      </c>
      <c r="H1603" s="3">
        <v>46002.606643715277</v>
      </c>
      <c r="I1603" s="4" t="s">
        <v>1465</v>
      </c>
      <c r="J1603" t="s">
        <v>4141</v>
      </c>
      <c r="K1603" t="s">
        <v>67</v>
      </c>
      <c r="L1603" t="s">
        <v>119</v>
      </c>
      <c r="M1603" t="s">
        <v>120</v>
      </c>
      <c r="N1603" t="s">
        <v>67</v>
      </c>
      <c r="O1603" t="s">
        <v>121</v>
      </c>
      <c r="Q1603" t="s">
        <v>122</v>
      </c>
      <c r="R1603" t="s">
        <v>123</v>
      </c>
      <c r="S1603" s="5"/>
      <c r="T1603" t="s">
        <v>72</v>
      </c>
      <c r="U1603" t="s">
        <v>102</v>
      </c>
      <c r="V1603" t="s">
        <v>74</v>
      </c>
      <c r="W1603" t="s">
        <v>102</v>
      </c>
      <c r="AE1603" s="2"/>
      <c r="AF1603" s="2"/>
      <c r="AG1603" s="2"/>
      <c r="AH1603" s="2"/>
      <c r="AK1603" t="s">
        <v>67</v>
      </c>
      <c r="AL1603" s="2">
        <v>14858500</v>
      </c>
      <c r="AM1603" s="2">
        <v>0</v>
      </c>
      <c r="AN1603" s="2"/>
      <c r="AO1603" s="2">
        <v>0</v>
      </c>
      <c r="AP1603" s="2">
        <v>14858500</v>
      </c>
      <c r="AQ1603" s="2">
        <v>0</v>
      </c>
      <c r="AR1603" s="2">
        <v>0</v>
      </c>
      <c r="AS1603" s="2">
        <v>0</v>
      </c>
      <c r="AT1603" s="2">
        <v>0</v>
      </c>
      <c r="AU1603" s="2">
        <v>0</v>
      </c>
      <c r="AV1603" s="2">
        <v>0</v>
      </c>
      <c r="AW1603" s="4"/>
      <c r="AX1603" t="s">
        <v>75</v>
      </c>
      <c r="AZ1603" t="s">
        <v>4144</v>
      </c>
      <c r="BA1603" t="s">
        <v>67</v>
      </c>
      <c r="BB1603" t="s">
        <v>4145</v>
      </c>
      <c r="BC1603" t="s">
        <v>1295</v>
      </c>
      <c r="BD1603" t="s">
        <v>79</v>
      </c>
      <c r="BE1603" t="s">
        <v>4146</v>
      </c>
      <c r="BF1603" s="5">
        <v>46873</v>
      </c>
      <c r="BG1603" t="s">
        <v>67</v>
      </c>
      <c r="BH1603">
        <v>1</v>
      </c>
      <c r="BI1603" s="6">
        <v>1900000</v>
      </c>
      <c r="BJ1603" s="6">
        <v>48</v>
      </c>
      <c r="BK1603" s="6">
        <v>912000</v>
      </c>
      <c r="BL1603" s="6">
        <v>988000</v>
      </c>
      <c r="BM1603" s="2">
        <v>988000</v>
      </c>
      <c r="BN1603">
        <f>InvoiceTable[[#This Row],[Giảm giá]]*InvoiceTable[[#This Row],[Số lượng]]</f>
        <v>912000</v>
      </c>
    </row>
    <row r="1604" spans="1:66" x14ac:dyDescent="0.25">
      <c r="A1604" t="s">
        <v>65</v>
      </c>
      <c r="B1604" t="s">
        <v>4140</v>
      </c>
      <c r="F1604" s="2"/>
      <c r="G1604" s="3">
        <v>45999.678856863429</v>
      </c>
      <c r="H1604" s="3">
        <v>46002.606643715277</v>
      </c>
      <c r="I1604" s="4" t="s">
        <v>1465</v>
      </c>
      <c r="J1604" t="s">
        <v>4141</v>
      </c>
      <c r="K1604" t="s">
        <v>67</v>
      </c>
      <c r="L1604" t="s">
        <v>119</v>
      </c>
      <c r="M1604" t="s">
        <v>120</v>
      </c>
      <c r="N1604" t="s">
        <v>67</v>
      </c>
      <c r="O1604" t="s">
        <v>121</v>
      </c>
      <c r="Q1604" t="s">
        <v>122</v>
      </c>
      <c r="R1604" t="s">
        <v>123</v>
      </c>
      <c r="S1604" s="5"/>
      <c r="T1604" t="s">
        <v>72</v>
      </c>
      <c r="U1604" t="s">
        <v>102</v>
      </c>
      <c r="V1604" t="s">
        <v>74</v>
      </c>
      <c r="W1604" t="s">
        <v>102</v>
      </c>
      <c r="AE1604" s="2"/>
      <c r="AF1604" s="2"/>
      <c r="AG1604" s="2"/>
      <c r="AH1604" s="2"/>
      <c r="AK1604" t="s">
        <v>67</v>
      </c>
      <c r="AL1604" s="2">
        <v>14858500</v>
      </c>
      <c r="AM1604" s="2">
        <v>0</v>
      </c>
      <c r="AN1604" s="2"/>
      <c r="AO1604" s="2">
        <v>0</v>
      </c>
      <c r="AP1604" s="2">
        <v>14858500</v>
      </c>
      <c r="AQ1604" s="2">
        <v>0</v>
      </c>
      <c r="AR1604" s="2">
        <v>0</v>
      </c>
      <c r="AS1604" s="2">
        <v>0</v>
      </c>
      <c r="AT1604" s="2">
        <v>0</v>
      </c>
      <c r="AU1604" s="2">
        <v>0</v>
      </c>
      <c r="AV1604" s="2">
        <v>0</v>
      </c>
      <c r="AW1604" s="4"/>
      <c r="AX1604" t="s">
        <v>75</v>
      </c>
      <c r="AZ1604" t="s">
        <v>2999</v>
      </c>
      <c r="BA1604" t="s">
        <v>67</v>
      </c>
      <c r="BB1604" t="s">
        <v>3000</v>
      </c>
      <c r="BC1604" t="s">
        <v>3001</v>
      </c>
      <c r="BD1604" t="s">
        <v>79</v>
      </c>
      <c r="BE1604" t="s">
        <v>131</v>
      </c>
      <c r="BF1604" s="5">
        <v>46874</v>
      </c>
      <c r="BH1604">
        <v>2</v>
      </c>
      <c r="BI1604" s="6">
        <v>900000</v>
      </c>
      <c r="BJ1604" s="6">
        <v>50</v>
      </c>
      <c r="BK1604" s="6">
        <v>450000</v>
      </c>
      <c r="BL1604" s="6">
        <v>450000</v>
      </c>
      <c r="BM1604" s="2">
        <v>900000</v>
      </c>
      <c r="BN1604">
        <f>InvoiceTable[[#This Row],[Giảm giá]]*InvoiceTable[[#This Row],[Số lượng]]</f>
        <v>900000</v>
      </c>
    </row>
    <row r="1605" spans="1:66" x14ac:dyDescent="0.25">
      <c r="A1605" t="s">
        <v>65</v>
      </c>
      <c r="B1605" t="s">
        <v>4140</v>
      </c>
      <c r="F1605" s="2"/>
      <c r="G1605" s="3">
        <v>45999.678856863429</v>
      </c>
      <c r="H1605" s="3">
        <v>46002.606643715277</v>
      </c>
      <c r="I1605" s="4" t="s">
        <v>1465</v>
      </c>
      <c r="J1605" t="s">
        <v>4141</v>
      </c>
      <c r="K1605" t="s">
        <v>67</v>
      </c>
      <c r="L1605" t="s">
        <v>119</v>
      </c>
      <c r="M1605" t="s">
        <v>120</v>
      </c>
      <c r="N1605" t="s">
        <v>67</v>
      </c>
      <c r="O1605" t="s">
        <v>121</v>
      </c>
      <c r="Q1605" t="s">
        <v>122</v>
      </c>
      <c r="R1605" t="s">
        <v>123</v>
      </c>
      <c r="S1605" s="5"/>
      <c r="T1605" t="s">
        <v>72</v>
      </c>
      <c r="U1605" t="s">
        <v>102</v>
      </c>
      <c r="V1605" t="s">
        <v>74</v>
      </c>
      <c r="W1605" t="s">
        <v>102</v>
      </c>
      <c r="AE1605" s="2"/>
      <c r="AF1605" s="2"/>
      <c r="AG1605" s="2"/>
      <c r="AH1605" s="2"/>
      <c r="AK1605" t="s">
        <v>67</v>
      </c>
      <c r="AL1605" s="2">
        <v>14858500</v>
      </c>
      <c r="AM1605" s="2">
        <v>0</v>
      </c>
      <c r="AN1605" s="2"/>
      <c r="AO1605" s="2">
        <v>0</v>
      </c>
      <c r="AP1605" s="2">
        <v>14858500</v>
      </c>
      <c r="AQ1605" s="2">
        <v>0</v>
      </c>
      <c r="AR1605" s="2">
        <v>0</v>
      </c>
      <c r="AS1605" s="2">
        <v>0</v>
      </c>
      <c r="AT1605" s="2">
        <v>0</v>
      </c>
      <c r="AU1605" s="2">
        <v>0</v>
      </c>
      <c r="AV1605" s="2">
        <v>0</v>
      </c>
      <c r="AW1605" s="4"/>
      <c r="AX1605" t="s">
        <v>75</v>
      </c>
      <c r="AZ1605" t="s">
        <v>107</v>
      </c>
      <c r="BA1605" t="s">
        <v>67</v>
      </c>
      <c r="BB1605" t="s">
        <v>108</v>
      </c>
      <c r="BC1605" t="s">
        <v>109</v>
      </c>
      <c r="BD1605" t="s">
        <v>79</v>
      </c>
      <c r="BE1605" t="s">
        <v>94</v>
      </c>
      <c r="BF1605" s="5">
        <v>46692</v>
      </c>
      <c r="BH1605">
        <v>2</v>
      </c>
      <c r="BI1605" s="6">
        <v>4500000</v>
      </c>
      <c r="BJ1605" s="6">
        <v>0</v>
      </c>
      <c r="BK1605" s="6">
        <v>2000000</v>
      </c>
      <c r="BL1605" s="6">
        <v>2500000</v>
      </c>
      <c r="BM1605" s="2">
        <v>5000000</v>
      </c>
      <c r="BN1605">
        <f>InvoiceTable[[#This Row],[Giảm giá]]*InvoiceTable[[#This Row],[Số lượng]]</f>
        <v>4000000</v>
      </c>
    </row>
    <row r="1606" spans="1:66" x14ac:dyDescent="0.25">
      <c r="A1606" t="s">
        <v>65</v>
      </c>
      <c r="B1606" t="s">
        <v>4140</v>
      </c>
      <c r="F1606" s="2"/>
      <c r="G1606" s="3">
        <v>45999.678856863429</v>
      </c>
      <c r="H1606" s="3">
        <v>46002.606643715277</v>
      </c>
      <c r="I1606" s="4" t="s">
        <v>1465</v>
      </c>
      <c r="J1606" t="s">
        <v>4141</v>
      </c>
      <c r="K1606" t="s">
        <v>67</v>
      </c>
      <c r="L1606" t="s">
        <v>119</v>
      </c>
      <c r="M1606" t="s">
        <v>120</v>
      </c>
      <c r="N1606" t="s">
        <v>67</v>
      </c>
      <c r="O1606" t="s">
        <v>121</v>
      </c>
      <c r="Q1606" t="s">
        <v>122</v>
      </c>
      <c r="R1606" t="s">
        <v>123</v>
      </c>
      <c r="S1606" s="5"/>
      <c r="T1606" t="s">
        <v>72</v>
      </c>
      <c r="U1606" t="s">
        <v>102</v>
      </c>
      <c r="V1606" t="s">
        <v>74</v>
      </c>
      <c r="W1606" t="s">
        <v>102</v>
      </c>
      <c r="AE1606" s="2"/>
      <c r="AF1606" s="2"/>
      <c r="AG1606" s="2"/>
      <c r="AH1606" s="2"/>
      <c r="AK1606" t="s">
        <v>67</v>
      </c>
      <c r="AL1606" s="2">
        <v>14858500</v>
      </c>
      <c r="AM1606" s="2">
        <v>0</v>
      </c>
      <c r="AN1606" s="2"/>
      <c r="AO1606" s="2">
        <v>0</v>
      </c>
      <c r="AP1606" s="2">
        <v>14858500</v>
      </c>
      <c r="AQ1606" s="2">
        <v>0</v>
      </c>
      <c r="AR1606" s="2">
        <v>0</v>
      </c>
      <c r="AS1606" s="2">
        <v>0</v>
      </c>
      <c r="AT1606" s="2">
        <v>0</v>
      </c>
      <c r="AU1606" s="2">
        <v>0</v>
      </c>
      <c r="AV1606" s="2">
        <v>0</v>
      </c>
      <c r="AW1606" s="4"/>
      <c r="AX1606" t="s">
        <v>75</v>
      </c>
      <c r="AZ1606" t="s">
        <v>663</v>
      </c>
      <c r="BA1606" t="s">
        <v>67</v>
      </c>
      <c r="BB1606" t="s">
        <v>664</v>
      </c>
      <c r="BC1606" t="s">
        <v>665</v>
      </c>
      <c r="BD1606" t="s">
        <v>79</v>
      </c>
      <c r="BE1606" t="s">
        <v>159</v>
      </c>
      <c r="BF1606" s="5">
        <v>46478</v>
      </c>
      <c r="BH1606">
        <v>2</v>
      </c>
      <c r="BI1606" s="6">
        <v>380000</v>
      </c>
      <c r="BJ1606" s="6">
        <v>0</v>
      </c>
      <c r="BK1606" s="6">
        <v>240000</v>
      </c>
      <c r="BL1606" s="6">
        <v>140000</v>
      </c>
      <c r="BM1606" s="2">
        <v>280000</v>
      </c>
      <c r="BN1606">
        <f>InvoiceTable[[#This Row],[Giảm giá]]*InvoiceTable[[#This Row],[Số lượng]]</f>
        <v>480000</v>
      </c>
    </row>
    <row r="1607" spans="1:66" x14ac:dyDescent="0.25">
      <c r="A1607" t="s">
        <v>65</v>
      </c>
      <c r="B1607" t="s">
        <v>4140</v>
      </c>
      <c r="F1607" s="2"/>
      <c r="G1607" s="3">
        <v>45999.678856863429</v>
      </c>
      <c r="H1607" s="3">
        <v>46002.606643715277</v>
      </c>
      <c r="I1607" s="4" t="s">
        <v>1465</v>
      </c>
      <c r="J1607" t="s">
        <v>4141</v>
      </c>
      <c r="K1607" t="s">
        <v>67</v>
      </c>
      <c r="L1607" t="s">
        <v>119</v>
      </c>
      <c r="M1607" t="s">
        <v>120</v>
      </c>
      <c r="N1607" t="s">
        <v>67</v>
      </c>
      <c r="O1607" t="s">
        <v>121</v>
      </c>
      <c r="Q1607" t="s">
        <v>122</v>
      </c>
      <c r="R1607" t="s">
        <v>123</v>
      </c>
      <c r="S1607" s="5"/>
      <c r="T1607" t="s">
        <v>72</v>
      </c>
      <c r="U1607" t="s">
        <v>102</v>
      </c>
      <c r="V1607" t="s">
        <v>74</v>
      </c>
      <c r="W1607" t="s">
        <v>102</v>
      </c>
      <c r="AE1607" s="2"/>
      <c r="AF1607" s="2"/>
      <c r="AG1607" s="2"/>
      <c r="AH1607" s="2"/>
      <c r="AK1607" t="s">
        <v>67</v>
      </c>
      <c r="AL1607" s="2">
        <v>14858500</v>
      </c>
      <c r="AM1607" s="2">
        <v>0</v>
      </c>
      <c r="AN1607" s="2"/>
      <c r="AO1607" s="2">
        <v>0</v>
      </c>
      <c r="AP1607" s="2">
        <v>14858500</v>
      </c>
      <c r="AQ1607" s="2">
        <v>0</v>
      </c>
      <c r="AR1607" s="2">
        <v>0</v>
      </c>
      <c r="AS1607" s="2">
        <v>0</v>
      </c>
      <c r="AT1607" s="2">
        <v>0</v>
      </c>
      <c r="AU1607" s="2">
        <v>0</v>
      </c>
      <c r="AV1607" s="2">
        <v>0</v>
      </c>
      <c r="AW1607" s="4"/>
      <c r="AX1607" t="s">
        <v>75</v>
      </c>
      <c r="AZ1607" t="s">
        <v>669</v>
      </c>
      <c r="BA1607" t="s">
        <v>67</v>
      </c>
      <c r="BB1607" t="s">
        <v>670</v>
      </c>
      <c r="BC1607" t="s">
        <v>126</v>
      </c>
      <c r="BD1607" t="s">
        <v>79</v>
      </c>
      <c r="BE1607" t="s">
        <v>159</v>
      </c>
      <c r="BF1607" s="5">
        <v>46478</v>
      </c>
      <c r="BH1607">
        <v>2</v>
      </c>
      <c r="BI1607" s="6">
        <v>350000</v>
      </c>
      <c r="BJ1607" s="6">
        <v>0</v>
      </c>
      <c r="BK1607" s="6">
        <v>210000</v>
      </c>
      <c r="BL1607" s="6">
        <v>140000</v>
      </c>
      <c r="BM1607" s="2">
        <v>280000</v>
      </c>
      <c r="BN1607">
        <f>InvoiceTable[[#This Row],[Giảm giá]]*InvoiceTable[[#This Row],[Số lượng]]</f>
        <v>420000</v>
      </c>
    </row>
    <row r="1608" spans="1:66" x14ac:dyDescent="0.25">
      <c r="A1608" t="s">
        <v>65</v>
      </c>
      <c r="B1608" t="s">
        <v>4140</v>
      </c>
      <c r="F1608" s="2"/>
      <c r="G1608" s="3">
        <v>45999.678856863429</v>
      </c>
      <c r="H1608" s="3">
        <v>46002.606643715277</v>
      </c>
      <c r="I1608" s="4" t="s">
        <v>1465</v>
      </c>
      <c r="J1608" t="s">
        <v>4141</v>
      </c>
      <c r="K1608" t="s">
        <v>67</v>
      </c>
      <c r="L1608" t="s">
        <v>119</v>
      </c>
      <c r="M1608" t="s">
        <v>120</v>
      </c>
      <c r="N1608" t="s">
        <v>67</v>
      </c>
      <c r="O1608" t="s">
        <v>121</v>
      </c>
      <c r="Q1608" t="s">
        <v>122</v>
      </c>
      <c r="R1608" t="s">
        <v>123</v>
      </c>
      <c r="S1608" s="5"/>
      <c r="T1608" t="s">
        <v>72</v>
      </c>
      <c r="U1608" t="s">
        <v>102</v>
      </c>
      <c r="V1608" t="s">
        <v>74</v>
      </c>
      <c r="W1608" t="s">
        <v>102</v>
      </c>
      <c r="AE1608" s="2"/>
      <c r="AF1608" s="2"/>
      <c r="AG1608" s="2"/>
      <c r="AH1608" s="2"/>
      <c r="AK1608" t="s">
        <v>67</v>
      </c>
      <c r="AL1608" s="2">
        <v>14858500</v>
      </c>
      <c r="AM1608" s="2">
        <v>0</v>
      </c>
      <c r="AN1608" s="2"/>
      <c r="AO1608" s="2">
        <v>0</v>
      </c>
      <c r="AP1608" s="2">
        <v>14858500</v>
      </c>
      <c r="AQ1608" s="2">
        <v>0</v>
      </c>
      <c r="AR1608" s="2">
        <v>0</v>
      </c>
      <c r="AS1608" s="2">
        <v>0</v>
      </c>
      <c r="AT1608" s="2">
        <v>0</v>
      </c>
      <c r="AU1608" s="2">
        <v>0</v>
      </c>
      <c r="AV1608" s="2">
        <v>0</v>
      </c>
      <c r="AW1608" s="4"/>
      <c r="AX1608" t="s">
        <v>75</v>
      </c>
      <c r="AZ1608" t="s">
        <v>748</v>
      </c>
      <c r="BA1608" t="s">
        <v>67</v>
      </c>
      <c r="BB1608" t="s">
        <v>749</v>
      </c>
      <c r="BC1608" t="s">
        <v>750</v>
      </c>
      <c r="BD1608" t="s">
        <v>79</v>
      </c>
      <c r="BE1608" t="s">
        <v>117</v>
      </c>
      <c r="BF1608" s="5">
        <v>46569</v>
      </c>
      <c r="BH1608">
        <v>3</v>
      </c>
      <c r="BI1608" s="6">
        <v>1500000</v>
      </c>
      <c r="BJ1608" s="6">
        <v>0</v>
      </c>
      <c r="BK1608" s="6">
        <v>470000</v>
      </c>
      <c r="BL1608" s="6">
        <v>1030000</v>
      </c>
      <c r="BM1608" s="2">
        <v>3090000</v>
      </c>
      <c r="BN1608">
        <f>InvoiceTable[[#This Row],[Giảm giá]]*InvoiceTable[[#This Row],[Số lượng]]</f>
        <v>1410000</v>
      </c>
    </row>
    <row r="1609" spans="1:66" x14ac:dyDescent="0.25">
      <c r="A1609" t="s">
        <v>65</v>
      </c>
      <c r="B1609" t="s">
        <v>4140</v>
      </c>
      <c r="F1609" s="2"/>
      <c r="G1609" s="3">
        <v>45999.678856863429</v>
      </c>
      <c r="H1609" s="3">
        <v>46002.606643715277</v>
      </c>
      <c r="I1609" s="4" t="s">
        <v>1465</v>
      </c>
      <c r="J1609" t="s">
        <v>4141</v>
      </c>
      <c r="K1609" t="s">
        <v>67</v>
      </c>
      <c r="L1609" t="s">
        <v>119</v>
      </c>
      <c r="M1609" t="s">
        <v>120</v>
      </c>
      <c r="N1609" t="s">
        <v>67</v>
      </c>
      <c r="O1609" t="s">
        <v>121</v>
      </c>
      <c r="Q1609" t="s">
        <v>122</v>
      </c>
      <c r="R1609" t="s">
        <v>123</v>
      </c>
      <c r="S1609" s="5"/>
      <c r="T1609" t="s">
        <v>72</v>
      </c>
      <c r="U1609" t="s">
        <v>102</v>
      </c>
      <c r="V1609" t="s">
        <v>74</v>
      </c>
      <c r="W1609" t="s">
        <v>102</v>
      </c>
      <c r="AE1609" s="2"/>
      <c r="AF1609" s="2"/>
      <c r="AG1609" s="2"/>
      <c r="AH1609" s="2"/>
      <c r="AK1609" t="s">
        <v>67</v>
      </c>
      <c r="AL1609" s="2">
        <v>14858500</v>
      </c>
      <c r="AM1609" s="2">
        <v>0</v>
      </c>
      <c r="AN1609" s="2"/>
      <c r="AO1609" s="2">
        <v>0</v>
      </c>
      <c r="AP1609" s="2">
        <v>14858500</v>
      </c>
      <c r="AQ1609" s="2">
        <v>0</v>
      </c>
      <c r="AR1609" s="2">
        <v>0</v>
      </c>
      <c r="AS1609" s="2">
        <v>0</v>
      </c>
      <c r="AT1609" s="2">
        <v>0</v>
      </c>
      <c r="AU1609" s="2">
        <v>0</v>
      </c>
      <c r="AV1609" s="2">
        <v>0</v>
      </c>
      <c r="AW1609" s="4"/>
      <c r="AX1609" t="s">
        <v>75</v>
      </c>
      <c r="AZ1609" t="s">
        <v>1456</v>
      </c>
      <c r="BA1609" t="s">
        <v>67</v>
      </c>
      <c r="BB1609" t="s">
        <v>1457</v>
      </c>
      <c r="BC1609" t="s">
        <v>187</v>
      </c>
      <c r="BD1609" t="s">
        <v>79</v>
      </c>
      <c r="BE1609" t="s">
        <v>324</v>
      </c>
      <c r="BF1609" s="5">
        <v>47058</v>
      </c>
      <c r="BH1609">
        <v>3</v>
      </c>
      <c r="BI1609" s="6">
        <v>450000</v>
      </c>
      <c r="BJ1609" s="6">
        <v>58</v>
      </c>
      <c r="BK1609" s="6">
        <v>261000</v>
      </c>
      <c r="BL1609" s="6">
        <v>189000</v>
      </c>
      <c r="BM1609" s="2">
        <v>567000</v>
      </c>
      <c r="BN1609">
        <f>InvoiceTable[[#This Row],[Giảm giá]]*InvoiceTable[[#This Row],[Số lượng]]</f>
        <v>783000</v>
      </c>
    </row>
    <row r="1610" spans="1:66" x14ac:dyDescent="0.25">
      <c r="A1610" t="s">
        <v>65</v>
      </c>
      <c r="B1610" t="s">
        <v>4140</v>
      </c>
      <c r="F1610" s="2"/>
      <c r="G1610" s="3">
        <v>45999.678856863429</v>
      </c>
      <c r="H1610" s="3">
        <v>46002.606643715277</v>
      </c>
      <c r="I1610" s="4" t="s">
        <v>1465</v>
      </c>
      <c r="J1610" t="s">
        <v>4141</v>
      </c>
      <c r="K1610" t="s">
        <v>67</v>
      </c>
      <c r="L1610" t="s">
        <v>119</v>
      </c>
      <c r="M1610" t="s">
        <v>120</v>
      </c>
      <c r="N1610" t="s">
        <v>67</v>
      </c>
      <c r="O1610" t="s">
        <v>121</v>
      </c>
      <c r="Q1610" t="s">
        <v>122</v>
      </c>
      <c r="R1610" t="s">
        <v>123</v>
      </c>
      <c r="S1610" s="5"/>
      <c r="T1610" t="s">
        <v>72</v>
      </c>
      <c r="U1610" t="s">
        <v>102</v>
      </c>
      <c r="V1610" t="s">
        <v>74</v>
      </c>
      <c r="W1610" t="s">
        <v>102</v>
      </c>
      <c r="AE1610" s="2"/>
      <c r="AF1610" s="2"/>
      <c r="AG1610" s="2"/>
      <c r="AH1610" s="2"/>
      <c r="AK1610" t="s">
        <v>67</v>
      </c>
      <c r="AL1610" s="2">
        <v>14858500</v>
      </c>
      <c r="AM1610" s="2">
        <v>0</v>
      </c>
      <c r="AN1610" s="2"/>
      <c r="AO1610" s="2">
        <v>0</v>
      </c>
      <c r="AP1610" s="2">
        <v>14858500</v>
      </c>
      <c r="AQ1610" s="2">
        <v>0</v>
      </c>
      <c r="AR1610" s="2">
        <v>0</v>
      </c>
      <c r="AS1610" s="2">
        <v>0</v>
      </c>
      <c r="AT1610" s="2">
        <v>0</v>
      </c>
      <c r="AU1610" s="2">
        <v>0</v>
      </c>
      <c r="AV1610" s="2">
        <v>0</v>
      </c>
      <c r="AW1610" s="4"/>
      <c r="AX1610" t="s">
        <v>75</v>
      </c>
      <c r="AZ1610" t="s">
        <v>1866</v>
      </c>
      <c r="BA1610" t="s">
        <v>67</v>
      </c>
      <c r="BB1610" t="s">
        <v>1867</v>
      </c>
      <c r="BC1610" t="s">
        <v>126</v>
      </c>
      <c r="BD1610" t="s">
        <v>79</v>
      </c>
      <c r="BE1610" t="s">
        <v>216</v>
      </c>
      <c r="BF1610" s="5">
        <v>46784</v>
      </c>
      <c r="BH1610">
        <v>3</v>
      </c>
      <c r="BI1610" s="6">
        <v>110000</v>
      </c>
      <c r="BJ1610" s="6">
        <v>0</v>
      </c>
      <c r="BK1610" s="6">
        <v>48000</v>
      </c>
      <c r="BL1610" s="6">
        <v>62000</v>
      </c>
      <c r="BM1610" s="2">
        <v>186000</v>
      </c>
      <c r="BN1610">
        <f>InvoiceTable[[#This Row],[Giảm giá]]*InvoiceTable[[#This Row],[Số lượng]]</f>
        <v>144000</v>
      </c>
    </row>
    <row r="1611" spans="1:66" x14ac:dyDescent="0.25">
      <c r="A1611" t="s">
        <v>65</v>
      </c>
      <c r="B1611" t="s">
        <v>4140</v>
      </c>
      <c r="F1611" s="2"/>
      <c r="G1611" s="3">
        <v>45999.678856863429</v>
      </c>
      <c r="H1611" s="3">
        <v>46002.606643715277</v>
      </c>
      <c r="I1611" s="4" t="s">
        <v>1465</v>
      </c>
      <c r="J1611" t="s">
        <v>4141</v>
      </c>
      <c r="K1611" t="s">
        <v>67</v>
      </c>
      <c r="L1611" t="s">
        <v>119</v>
      </c>
      <c r="M1611" t="s">
        <v>120</v>
      </c>
      <c r="N1611" t="s">
        <v>67</v>
      </c>
      <c r="O1611" t="s">
        <v>121</v>
      </c>
      <c r="Q1611" t="s">
        <v>122</v>
      </c>
      <c r="R1611" t="s">
        <v>123</v>
      </c>
      <c r="S1611" s="5"/>
      <c r="T1611" t="s">
        <v>72</v>
      </c>
      <c r="U1611" t="s">
        <v>102</v>
      </c>
      <c r="V1611" t="s">
        <v>74</v>
      </c>
      <c r="W1611" t="s">
        <v>102</v>
      </c>
      <c r="AE1611" s="2"/>
      <c r="AF1611" s="2"/>
      <c r="AG1611" s="2"/>
      <c r="AH1611" s="2"/>
      <c r="AK1611" t="s">
        <v>67</v>
      </c>
      <c r="AL1611" s="2">
        <v>14858500</v>
      </c>
      <c r="AM1611" s="2">
        <v>0</v>
      </c>
      <c r="AN1611" s="2"/>
      <c r="AO1611" s="2">
        <v>0</v>
      </c>
      <c r="AP1611" s="2">
        <v>14858500</v>
      </c>
      <c r="AQ1611" s="2">
        <v>0</v>
      </c>
      <c r="AR1611" s="2">
        <v>0</v>
      </c>
      <c r="AS1611" s="2">
        <v>0</v>
      </c>
      <c r="AT1611" s="2">
        <v>0</v>
      </c>
      <c r="AU1611" s="2">
        <v>0</v>
      </c>
      <c r="AV1611" s="2">
        <v>0</v>
      </c>
      <c r="AW1611" s="4"/>
      <c r="AX1611" t="s">
        <v>75</v>
      </c>
      <c r="AZ1611" t="s">
        <v>1763</v>
      </c>
      <c r="BA1611" t="s">
        <v>67</v>
      </c>
      <c r="BB1611" t="s">
        <v>1764</v>
      </c>
      <c r="BC1611" t="s">
        <v>90</v>
      </c>
      <c r="BD1611" t="s">
        <v>79</v>
      </c>
      <c r="BE1611" t="s">
        <v>168</v>
      </c>
      <c r="BF1611" s="5">
        <v>46388</v>
      </c>
      <c r="BH1611">
        <v>1</v>
      </c>
      <c r="BI1611" s="6">
        <v>2000000</v>
      </c>
      <c r="BJ1611" s="6">
        <v>0</v>
      </c>
      <c r="BK1611" s="6">
        <v>1100000</v>
      </c>
      <c r="BL1611" s="6">
        <v>900000</v>
      </c>
      <c r="BM1611" s="2">
        <v>900000</v>
      </c>
      <c r="BN1611">
        <f>InvoiceTable[[#This Row],[Giảm giá]]*InvoiceTable[[#This Row],[Số lượng]]</f>
        <v>1100000</v>
      </c>
    </row>
    <row r="1612" spans="1:66" x14ac:dyDescent="0.25">
      <c r="A1612" t="s">
        <v>65</v>
      </c>
      <c r="B1612" t="s">
        <v>4140</v>
      </c>
      <c r="F1612" s="2"/>
      <c r="G1612" s="3">
        <v>45999.678856863429</v>
      </c>
      <c r="H1612" s="3">
        <v>46002.606643715277</v>
      </c>
      <c r="I1612" s="4" t="s">
        <v>1465</v>
      </c>
      <c r="J1612" t="s">
        <v>4141</v>
      </c>
      <c r="K1612" t="s">
        <v>67</v>
      </c>
      <c r="L1612" t="s">
        <v>119</v>
      </c>
      <c r="M1612" t="s">
        <v>120</v>
      </c>
      <c r="N1612" t="s">
        <v>67</v>
      </c>
      <c r="O1612" t="s">
        <v>121</v>
      </c>
      <c r="Q1612" t="s">
        <v>122</v>
      </c>
      <c r="R1612" t="s">
        <v>123</v>
      </c>
      <c r="S1612" s="5"/>
      <c r="T1612" t="s">
        <v>72</v>
      </c>
      <c r="U1612" t="s">
        <v>102</v>
      </c>
      <c r="V1612" t="s">
        <v>74</v>
      </c>
      <c r="W1612" t="s">
        <v>102</v>
      </c>
      <c r="AE1612" s="2"/>
      <c r="AF1612" s="2"/>
      <c r="AG1612" s="2"/>
      <c r="AH1612" s="2"/>
      <c r="AK1612" t="s">
        <v>67</v>
      </c>
      <c r="AL1612" s="2">
        <v>14858500</v>
      </c>
      <c r="AM1612" s="2">
        <v>0</v>
      </c>
      <c r="AN1612" s="2"/>
      <c r="AO1612" s="2">
        <v>0</v>
      </c>
      <c r="AP1612" s="2">
        <v>14858500</v>
      </c>
      <c r="AQ1612" s="2">
        <v>0</v>
      </c>
      <c r="AR1612" s="2">
        <v>0</v>
      </c>
      <c r="AS1612" s="2">
        <v>0</v>
      </c>
      <c r="AT1612" s="2">
        <v>0</v>
      </c>
      <c r="AU1612" s="2">
        <v>0</v>
      </c>
      <c r="AV1612" s="2">
        <v>0</v>
      </c>
      <c r="AW1612" s="4"/>
      <c r="AX1612" t="s">
        <v>75</v>
      </c>
      <c r="AZ1612" t="s">
        <v>828</v>
      </c>
      <c r="BA1612" t="s">
        <v>67</v>
      </c>
      <c r="BB1612" t="s">
        <v>829</v>
      </c>
      <c r="BC1612" t="s">
        <v>830</v>
      </c>
      <c r="BD1612" t="s">
        <v>79</v>
      </c>
      <c r="BE1612" t="s">
        <v>117</v>
      </c>
      <c r="BF1612" s="5">
        <v>46569</v>
      </c>
      <c r="BH1612">
        <v>1</v>
      </c>
      <c r="BI1612" s="6">
        <v>550000</v>
      </c>
      <c r="BJ1612" s="6">
        <v>0</v>
      </c>
      <c r="BK1612" s="6">
        <v>200000</v>
      </c>
      <c r="BL1612" s="6">
        <v>350000</v>
      </c>
      <c r="BM1612" s="2">
        <v>350000</v>
      </c>
      <c r="BN1612">
        <f>InvoiceTable[[#This Row],[Giảm giá]]*InvoiceTable[[#This Row],[Số lượng]]</f>
        <v>200000</v>
      </c>
    </row>
    <row r="1613" spans="1:66" x14ac:dyDescent="0.25">
      <c r="A1613" t="s">
        <v>65</v>
      </c>
      <c r="B1613" t="s">
        <v>4147</v>
      </c>
      <c r="F1613" s="2"/>
      <c r="G1613" s="3">
        <v>45999.67873190972</v>
      </c>
      <c r="H1613" s="3">
        <v>45999.678732141205</v>
      </c>
      <c r="I1613" s="4" t="s">
        <v>67</v>
      </c>
      <c r="J1613" t="s">
        <v>4148</v>
      </c>
      <c r="K1613" t="s">
        <v>67</v>
      </c>
      <c r="L1613" t="s">
        <v>4149</v>
      </c>
      <c r="M1613" t="s">
        <v>4150</v>
      </c>
      <c r="N1613" t="s">
        <v>4151</v>
      </c>
      <c r="O1613" t="s">
        <v>4152</v>
      </c>
      <c r="P1613" t="s">
        <v>4153</v>
      </c>
      <c r="S1613" s="5"/>
      <c r="T1613" t="s">
        <v>72</v>
      </c>
      <c r="U1613" t="s">
        <v>87</v>
      </c>
      <c r="V1613" t="s">
        <v>74</v>
      </c>
      <c r="W1613" t="s">
        <v>87</v>
      </c>
      <c r="AE1613" s="2"/>
      <c r="AF1613" s="2"/>
      <c r="AG1613" s="2"/>
      <c r="AH1613" s="2"/>
      <c r="AL1613" s="2">
        <v>2092640</v>
      </c>
      <c r="AM1613" s="2">
        <v>0</v>
      </c>
      <c r="AN1613" s="2"/>
      <c r="AO1613" s="2">
        <v>0</v>
      </c>
      <c r="AP1613" s="2">
        <v>2092640</v>
      </c>
      <c r="AQ1613" s="2">
        <v>0</v>
      </c>
      <c r="AR1613" s="2">
        <v>0</v>
      </c>
      <c r="AS1613" s="2">
        <v>0</v>
      </c>
      <c r="AT1613" s="2">
        <v>0</v>
      </c>
      <c r="AU1613" s="2">
        <v>0</v>
      </c>
      <c r="AV1613" s="2">
        <v>0</v>
      </c>
      <c r="AW1613" s="4"/>
      <c r="AX1613" t="s">
        <v>75</v>
      </c>
      <c r="AZ1613" t="s">
        <v>3873</v>
      </c>
      <c r="BA1613" t="s">
        <v>67</v>
      </c>
      <c r="BB1613" t="s">
        <v>3874</v>
      </c>
      <c r="BC1613" t="s">
        <v>1292</v>
      </c>
      <c r="BD1613" t="s">
        <v>79</v>
      </c>
      <c r="BE1613" t="s">
        <v>201</v>
      </c>
      <c r="BF1613" s="5">
        <v>46966</v>
      </c>
      <c r="BH1613">
        <v>1</v>
      </c>
      <c r="BI1613" s="6">
        <v>1945000</v>
      </c>
      <c r="BJ1613" s="6">
        <v>42</v>
      </c>
      <c r="BK1613" s="6">
        <v>816900</v>
      </c>
      <c r="BL1613" s="6">
        <v>1128100</v>
      </c>
      <c r="BM1613" s="2">
        <v>1128100</v>
      </c>
      <c r="BN1613">
        <f>InvoiceTable[[#This Row],[Giảm giá]]*InvoiceTable[[#This Row],[Số lượng]]</f>
        <v>816900</v>
      </c>
    </row>
    <row r="1614" spans="1:66" x14ac:dyDescent="0.25">
      <c r="A1614" t="s">
        <v>65</v>
      </c>
      <c r="B1614" t="s">
        <v>4147</v>
      </c>
      <c r="F1614" s="2"/>
      <c r="G1614" s="3">
        <v>45999.67873190972</v>
      </c>
      <c r="H1614" s="3">
        <v>45999.678732141205</v>
      </c>
      <c r="I1614" s="4" t="s">
        <v>67</v>
      </c>
      <c r="J1614" t="s">
        <v>4148</v>
      </c>
      <c r="K1614" t="s">
        <v>67</v>
      </c>
      <c r="L1614" t="s">
        <v>4149</v>
      </c>
      <c r="M1614" t="s">
        <v>4150</v>
      </c>
      <c r="N1614" t="s">
        <v>4151</v>
      </c>
      <c r="O1614" t="s">
        <v>4152</v>
      </c>
      <c r="P1614" t="s">
        <v>4153</v>
      </c>
      <c r="S1614" s="5"/>
      <c r="T1614" t="s">
        <v>72</v>
      </c>
      <c r="U1614" t="s">
        <v>87</v>
      </c>
      <c r="V1614" t="s">
        <v>74</v>
      </c>
      <c r="W1614" t="s">
        <v>87</v>
      </c>
      <c r="AE1614" s="2"/>
      <c r="AF1614" s="2"/>
      <c r="AG1614" s="2"/>
      <c r="AH1614" s="2"/>
      <c r="AL1614" s="2">
        <v>2092640</v>
      </c>
      <c r="AM1614" s="2">
        <v>0</v>
      </c>
      <c r="AN1614" s="2"/>
      <c r="AO1614" s="2">
        <v>0</v>
      </c>
      <c r="AP1614" s="2">
        <v>2092640</v>
      </c>
      <c r="AQ1614" s="2">
        <v>0</v>
      </c>
      <c r="AR1614" s="2">
        <v>0</v>
      </c>
      <c r="AS1614" s="2">
        <v>0</v>
      </c>
      <c r="AT1614" s="2">
        <v>0</v>
      </c>
      <c r="AU1614" s="2">
        <v>0</v>
      </c>
      <c r="AV1614" s="2">
        <v>0</v>
      </c>
      <c r="AW1614" s="4"/>
      <c r="AX1614" t="s">
        <v>75</v>
      </c>
      <c r="AZ1614" t="s">
        <v>4154</v>
      </c>
      <c r="BB1614" t="s">
        <v>4155</v>
      </c>
      <c r="BC1614" t="s">
        <v>187</v>
      </c>
      <c r="BD1614" t="s">
        <v>79</v>
      </c>
      <c r="BE1614" t="s">
        <v>4156</v>
      </c>
      <c r="BF1614" s="5">
        <v>46797</v>
      </c>
      <c r="BG1614" t="s">
        <v>67</v>
      </c>
      <c r="BH1614">
        <v>1</v>
      </c>
      <c r="BI1614" s="6">
        <v>320000</v>
      </c>
      <c r="BJ1614" s="6">
        <v>50</v>
      </c>
      <c r="BK1614" s="6">
        <v>160000</v>
      </c>
      <c r="BL1614" s="6">
        <v>160000</v>
      </c>
      <c r="BM1614" s="2">
        <v>160000</v>
      </c>
      <c r="BN1614">
        <f>InvoiceTable[[#This Row],[Giảm giá]]*InvoiceTable[[#This Row],[Số lượng]]</f>
        <v>160000</v>
      </c>
    </row>
    <row r="1615" spans="1:66" x14ac:dyDescent="0.25">
      <c r="A1615" t="s">
        <v>65</v>
      </c>
      <c r="B1615" t="s">
        <v>4147</v>
      </c>
      <c r="F1615" s="2"/>
      <c r="G1615" s="3">
        <v>45999.67873190972</v>
      </c>
      <c r="H1615" s="3">
        <v>45999.678732141205</v>
      </c>
      <c r="I1615" s="4" t="s">
        <v>67</v>
      </c>
      <c r="J1615" t="s">
        <v>4148</v>
      </c>
      <c r="K1615" t="s">
        <v>67</v>
      </c>
      <c r="L1615" t="s">
        <v>4149</v>
      </c>
      <c r="M1615" t="s">
        <v>4150</v>
      </c>
      <c r="N1615" t="s">
        <v>4151</v>
      </c>
      <c r="O1615" t="s">
        <v>4152</v>
      </c>
      <c r="P1615" t="s">
        <v>4153</v>
      </c>
      <c r="S1615" s="5"/>
      <c r="T1615" t="s">
        <v>72</v>
      </c>
      <c r="U1615" t="s">
        <v>87</v>
      </c>
      <c r="V1615" t="s">
        <v>74</v>
      </c>
      <c r="W1615" t="s">
        <v>87</v>
      </c>
      <c r="AE1615" s="2"/>
      <c r="AF1615" s="2"/>
      <c r="AG1615" s="2"/>
      <c r="AH1615" s="2"/>
      <c r="AL1615" s="2">
        <v>2092640</v>
      </c>
      <c r="AM1615" s="2">
        <v>0</v>
      </c>
      <c r="AN1615" s="2"/>
      <c r="AO1615" s="2">
        <v>0</v>
      </c>
      <c r="AP1615" s="2">
        <v>2092640</v>
      </c>
      <c r="AQ1615" s="2">
        <v>0</v>
      </c>
      <c r="AR1615" s="2">
        <v>0</v>
      </c>
      <c r="AS1615" s="2">
        <v>0</v>
      </c>
      <c r="AT1615" s="2">
        <v>0</v>
      </c>
      <c r="AU1615" s="2">
        <v>0</v>
      </c>
      <c r="AV1615" s="2">
        <v>0</v>
      </c>
      <c r="AW1615" s="4"/>
      <c r="AX1615" t="s">
        <v>75</v>
      </c>
      <c r="AZ1615" t="s">
        <v>4157</v>
      </c>
      <c r="BA1615" t="s">
        <v>67</v>
      </c>
      <c r="BB1615" t="s">
        <v>4158</v>
      </c>
      <c r="BC1615" t="s">
        <v>1376</v>
      </c>
      <c r="BD1615" t="s">
        <v>79</v>
      </c>
      <c r="BE1615" t="s">
        <v>2426</v>
      </c>
      <c r="BF1615" s="5">
        <v>46934</v>
      </c>
      <c r="BG1615" t="s">
        <v>67</v>
      </c>
      <c r="BH1615">
        <v>1</v>
      </c>
      <c r="BI1615" s="6">
        <v>1518000</v>
      </c>
      <c r="BJ1615" s="6">
        <v>47</v>
      </c>
      <c r="BK1615" s="6">
        <v>713460</v>
      </c>
      <c r="BL1615" s="6">
        <v>804540</v>
      </c>
      <c r="BM1615" s="2">
        <v>804540</v>
      </c>
      <c r="BN1615">
        <f>InvoiceTable[[#This Row],[Giảm giá]]*InvoiceTable[[#This Row],[Số lượng]]</f>
        <v>713460</v>
      </c>
    </row>
    <row r="1616" spans="1:66" x14ac:dyDescent="0.25">
      <c r="A1616" t="s">
        <v>65</v>
      </c>
      <c r="B1616" t="s">
        <v>4159</v>
      </c>
      <c r="F1616" s="2"/>
      <c r="G1616" s="3">
        <v>45999.678377199074</v>
      </c>
      <c r="H1616" s="3">
        <v>45999.678378506942</v>
      </c>
      <c r="I1616" s="4" t="s">
        <v>67</v>
      </c>
      <c r="J1616" t="s">
        <v>4160</v>
      </c>
      <c r="K1616" t="s">
        <v>67</v>
      </c>
      <c r="L1616" t="s">
        <v>3812</v>
      </c>
      <c r="M1616" t="s">
        <v>3813</v>
      </c>
      <c r="N1616" t="s">
        <v>67</v>
      </c>
      <c r="O1616" t="s">
        <v>3814</v>
      </c>
      <c r="P1616" t="s">
        <v>3815</v>
      </c>
      <c r="S1616" s="5"/>
      <c r="T1616" t="s">
        <v>72</v>
      </c>
      <c r="U1616" t="s">
        <v>102</v>
      </c>
      <c r="V1616" t="s">
        <v>74</v>
      </c>
      <c r="W1616" t="s">
        <v>87</v>
      </c>
      <c r="AE1616" s="2"/>
      <c r="AF1616" s="2"/>
      <c r="AG1616" s="2"/>
      <c r="AH1616" s="2"/>
      <c r="AK1616" t="s">
        <v>4161</v>
      </c>
      <c r="AL1616" s="2">
        <v>231000</v>
      </c>
      <c r="AM1616" s="2">
        <v>0</v>
      </c>
      <c r="AN1616" s="2"/>
      <c r="AO1616" s="2">
        <v>0</v>
      </c>
      <c r="AP1616" s="2">
        <v>231000</v>
      </c>
      <c r="AQ1616" s="2">
        <v>0</v>
      </c>
      <c r="AR1616" s="2">
        <v>0</v>
      </c>
      <c r="AS1616" s="2">
        <v>0</v>
      </c>
      <c r="AT1616" s="2">
        <v>0</v>
      </c>
      <c r="AU1616" s="2">
        <v>0</v>
      </c>
      <c r="AV1616" s="2">
        <v>0</v>
      </c>
      <c r="AW1616" s="4"/>
      <c r="AX1616" t="s">
        <v>75</v>
      </c>
      <c r="AZ1616" t="s">
        <v>761</v>
      </c>
      <c r="BB1616" t="s">
        <v>762</v>
      </c>
      <c r="BC1616" t="s">
        <v>251</v>
      </c>
      <c r="BD1616" t="s">
        <v>79</v>
      </c>
      <c r="BE1616" t="s">
        <v>715</v>
      </c>
      <c r="BF1616" s="5">
        <v>46631</v>
      </c>
      <c r="BH1616">
        <v>1</v>
      </c>
      <c r="BI1616" s="6">
        <v>385000</v>
      </c>
      <c r="BJ1616" s="6">
        <v>40</v>
      </c>
      <c r="BK1616" s="6">
        <v>154000</v>
      </c>
      <c r="BL1616" s="6">
        <v>231000</v>
      </c>
      <c r="BM1616" s="2">
        <v>231000</v>
      </c>
      <c r="BN1616">
        <f>InvoiceTable[[#This Row],[Giảm giá]]*InvoiceTable[[#This Row],[Số lượng]]</f>
        <v>154000</v>
      </c>
    </row>
    <row r="1617" spans="1:66" x14ac:dyDescent="0.25">
      <c r="A1617" t="s">
        <v>65</v>
      </c>
      <c r="B1617" t="s">
        <v>4162</v>
      </c>
      <c r="F1617" s="2"/>
      <c r="G1617" s="3">
        <v>45999.677728969909</v>
      </c>
      <c r="H1617" s="3">
        <v>45999.677729085648</v>
      </c>
      <c r="I1617" s="4" t="s">
        <v>4163</v>
      </c>
      <c r="J1617" t="s">
        <v>67</v>
      </c>
      <c r="K1617" t="s">
        <v>67</v>
      </c>
      <c r="L1617" t="s">
        <v>2482</v>
      </c>
      <c r="M1617" t="s">
        <v>2483</v>
      </c>
      <c r="N1617" t="s">
        <v>67</v>
      </c>
      <c r="O1617" t="s">
        <v>2484</v>
      </c>
      <c r="P1617" t="s">
        <v>2485</v>
      </c>
      <c r="Q1617" t="s">
        <v>67</v>
      </c>
      <c r="R1617" t="s">
        <v>67</v>
      </c>
      <c r="S1617" s="5"/>
      <c r="T1617" t="s">
        <v>72</v>
      </c>
      <c r="U1617" t="s">
        <v>87</v>
      </c>
      <c r="V1617" t="s">
        <v>74</v>
      </c>
      <c r="W1617" t="s">
        <v>87</v>
      </c>
      <c r="AE1617" s="2"/>
      <c r="AF1617" s="2"/>
      <c r="AG1617" s="2"/>
      <c r="AH1617" s="2"/>
      <c r="AK1617" t="s">
        <v>3931</v>
      </c>
      <c r="AL1617" s="2">
        <v>1963540</v>
      </c>
      <c r="AM1617" s="2">
        <v>0</v>
      </c>
      <c r="AN1617" s="2"/>
      <c r="AO1617" s="2">
        <v>0</v>
      </c>
      <c r="AP1617" s="2">
        <v>1963540</v>
      </c>
      <c r="AQ1617" s="2">
        <v>0</v>
      </c>
      <c r="AR1617" s="2">
        <v>0</v>
      </c>
      <c r="AS1617" s="2">
        <v>0</v>
      </c>
      <c r="AT1617" s="2">
        <v>0</v>
      </c>
      <c r="AU1617" s="2">
        <v>0</v>
      </c>
      <c r="AV1617" s="2">
        <v>0</v>
      </c>
      <c r="AW1617" s="4"/>
      <c r="AX1617" t="s">
        <v>75</v>
      </c>
      <c r="AZ1617" t="s">
        <v>4136</v>
      </c>
      <c r="BA1617" t="s">
        <v>67</v>
      </c>
      <c r="BB1617" t="s">
        <v>4137</v>
      </c>
      <c r="BC1617" t="s">
        <v>4138</v>
      </c>
      <c r="BD1617" t="s">
        <v>79</v>
      </c>
      <c r="BE1617" t="s">
        <v>4139</v>
      </c>
      <c r="BF1617" s="5">
        <v>46877</v>
      </c>
      <c r="BG1617" t="s">
        <v>67</v>
      </c>
      <c r="BH1617">
        <v>2</v>
      </c>
      <c r="BI1617" s="6">
        <v>339000</v>
      </c>
      <c r="BJ1617" s="6">
        <v>32</v>
      </c>
      <c r="BK1617" s="6">
        <v>108480</v>
      </c>
      <c r="BL1617" s="6">
        <v>230520</v>
      </c>
      <c r="BM1617" s="2">
        <v>461040</v>
      </c>
      <c r="BN1617">
        <f>InvoiceTable[[#This Row],[Giảm giá]]*InvoiceTable[[#This Row],[Số lượng]]</f>
        <v>216960</v>
      </c>
    </row>
    <row r="1618" spans="1:66" x14ac:dyDescent="0.25">
      <c r="A1618" t="s">
        <v>65</v>
      </c>
      <c r="B1618" t="s">
        <v>4162</v>
      </c>
      <c r="F1618" s="2"/>
      <c r="G1618" s="3">
        <v>45999.677728969909</v>
      </c>
      <c r="H1618" s="3">
        <v>45999.677729085648</v>
      </c>
      <c r="I1618" s="4" t="s">
        <v>4163</v>
      </c>
      <c r="J1618" t="s">
        <v>67</v>
      </c>
      <c r="K1618" t="s">
        <v>67</v>
      </c>
      <c r="L1618" t="s">
        <v>2482</v>
      </c>
      <c r="M1618" t="s">
        <v>2483</v>
      </c>
      <c r="N1618" t="s">
        <v>67</v>
      </c>
      <c r="O1618" t="s">
        <v>2484</v>
      </c>
      <c r="P1618" t="s">
        <v>2485</v>
      </c>
      <c r="Q1618" t="s">
        <v>67</v>
      </c>
      <c r="R1618" t="s">
        <v>67</v>
      </c>
      <c r="S1618" s="5"/>
      <c r="T1618" t="s">
        <v>72</v>
      </c>
      <c r="U1618" t="s">
        <v>87</v>
      </c>
      <c r="V1618" t="s">
        <v>74</v>
      </c>
      <c r="W1618" t="s">
        <v>87</v>
      </c>
      <c r="AE1618" s="2"/>
      <c r="AF1618" s="2"/>
      <c r="AG1618" s="2"/>
      <c r="AH1618" s="2"/>
      <c r="AK1618" t="s">
        <v>3931</v>
      </c>
      <c r="AL1618" s="2">
        <v>1963540</v>
      </c>
      <c r="AM1618" s="2">
        <v>0</v>
      </c>
      <c r="AN1618" s="2"/>
      <c r="AO1618" s="2">
        <v>0</v>
      </c>
      <c r="AP1618" s="2">
        <v>1963540</v>
      </c>
      <c r="AQ1618" s="2">
        <v>0</v>
      </c>
      <c r="AR1618" s="2">
        <v>0</v>
      </c>
      <c r="AS1618" s="2">
        <v>0</v>
      </c>
      <c r="AT1618" s="2">
        <v>0</v>
      </c>
      <c r="AU1618" s="2">
        <v>0</v>
      </c>
      <c r="AV1618" s="2">
        <v>0</v>
      </c>
      <c r="AW1618" s="4"/>
      <c r="AX1618" t="s">
        <v>75</v>
      </c>
      <c r="AZ1618" t="s">
        <v>1123</v>
      </c>
      <c r="BA1618" t="s">
        <v>67</v>
      </c>
      <c r="BB1618" t="s">
        <v>1124</v>
      </c>
      <c r="BC1618" t="s">
        <v>1125</v>
      </c>
      <c r="BD1618" t="s">
        <v>79</v>
      </c>
      <c r="BE1618" t="s">
        <v>201</v>
      </c>
      <c r="BF1618" s="5">
        <v>46966</v>
      </c>
      <c r="BH1618">
        <v>2</v>
      </c>
      <c r="BI1618" s="6">
        <v>450000</v>
      </c>
      <c r="BJ1618" s="6">
        <v>45</v>
      </c>
      <c r="BK1618" s="6">
        <v>202500</v>
      </c>
      <c r="BL1618" s="6">
        <v>247500</v>
      </c>
      <c r="BM1618" s="2">
        <v>495000</v>
      </c>
      <c r="BN1618">
        <f>InvoiceTable[[#This Row],[Giảm giá]]*InvoiceTable[[#This Row],[Số lượng]]</f>
        <v>405000</v>
      </c>
    </row>
    <row r="1619" spans="1:66" x14ac:dyDescent="0.25">
      <c r="A1619" t="s">
        <v>65</v>
      </c>
      <c r="B1619" t="s">
        <v>4162</v>
      </c>
      <c r="F1619" s="2"/>
      <c r="G1619" s="3">
        <v>45999.677728969909</v>
      </c>
      <c r="H1619" s="3">
        <v>45999.677729085648</v>
      </c>
      <c r="I1619" s="4" t="s">
        <v>4163</v>
      </c>
      <c r="J1619" t="s">
        <v>67</v>
      </c>
      <c r="K1619" t="s">
        <v>67</v>
      </c>
      <c r="L1619" t="s">
        <v>2482</v>
      </c>
      <c r="M1619" t="s">
        <v>2483</v>
      </c>
      <c r="N1619" t="s">
        <v>67</v>
      </c>
      <c r="O1619" t="s">
        <v>2484</v>
      </c>
      <c r="P1619" t="s">
        <v>2485</v>
      </c>
      <c r="Q1619" t="s">
        <v>67</v>
      </c>
      <c r="R1619" t="s">
        <v>67</v>
      </c>
      <c r="S1619" s="5"/>
      <c r="T1619" t="s">
        <v>72</v>
      </c>
      <c r="U1619" t="s">
        <v>87</v>
      </c>
      <c r="V1619" t="s">
        <v>74</v>
      </c>
      <c r="W1619" t="s">
        <v>87</v>
      </c>
      <c r="AE1619" s="2"/>
      <c r="AF1619" s="2"/>
      <c r="AG1619" s="2"/>
      <c r="AH1619" s="2"/>
      <c r="AK1619" t="s">
        <v>3931</v>
      </c>
      <c r="AL1619" s="2">
        <v>1963540</v>
      </c>
      <c r="AM1619" s="2">
        <v>0</v>
      </c>
      <c r="AN1619" s="2"/>
      <c r="AO1619" s="2">
        <v>0</v>
      </c>
      <c r="AP1619" s="2">
        <v>1963540</v>
      </c>
      <c r="AQ1619" s="2">
        <v>0</v>
      </c>
      <c r="AR1619" s="2">
        <v>0</v>
      </c>
      <c r="AS1619" s="2">
        <v>0</v>
      </c>
      <c r="AT1619" s="2">
        <v>0</v>
      </c>
      <c r="AU1619" s="2">
        <v>0</v>
      </c>
      <c r="AV1619" s="2">
        <v>0</v>
      </c>
      <c r="AW1619" s="4"/>
      <c r="AX1619" t="s">
        <v>75</v>
      </c>
      <c r="AZ1619" t="s">
        <v>4164</v>
      </c>
      <c r="BA1619" t="s">
        <v>67</v>
      </c>
      <c r="BB1619" t="s">
        <v>4165</v>
      </c>
      <c r="BC1619" t="s">
        <v>1489</v>
      </c>
      <c r="BD1619" t="s">
        <v>79</v>
      </c>
      <c r="BE1619" t="s">
        <v>1351</v>
      </c>
      <c r="BF1619" s="5">
        <v>46477</v>
      </c>
      <c r="BH1619">
        <v>1</v>
      </c>
      <c r="BI1619" s="6">
        <v>1550000</v>
      </c>
      <c r="BJ1619" s="6">
        <v>35</v>
      </c>
      <c r="BK1619" s="6">
        <v>542500</v>
      </c>
      <c r="BL1619" s="6">
        <v>1007500</v>
      </c>
      <c r="BM1619" s="2">
        <v>1007500</v>
      </c>
      <c r="BN1619">
        <f>InvoiceTable[[#This Row],[Giảm giá]]*InvoiceTable[[#This Row],[Số lượng]]</f>
        <v>542500</v>
      </c>
    </row>
    <row r="1620" spans="1:66" x14ac:dyDescent="0.25">
      <c r="A1620" t="s">
        <v>65</v>
      </c>
      <c r="B1620" t="s">
        <v>4166</v>
      </c>
      <c r="F1620" s="2"/>
      <c r="G1620" s="3">
        <v>45999.6719099537</v>
      </c>
      <c r="H1620" s="3">
        <v>45999.671910104167</v>
      </c>
      <c r="I1620" s="4" t="s">
        <v>67</v>
      </c>
      <c r="J1620" t="s">
        <v>67</v>
      </c>
      <c r="K1620" t="s">
        <v>67</v>
      </c>
      <c r="L1620" t="s">
        <v>569</v>
      </c>
      <c r="M1620" t="s">
        <v>570</v>
      </c>
      <c r="N1620" t="s">
        <v>67</v>
      </c>
      <c r="O1620" t="s">
        <v>571</v>
      </c>
      <c r="P1620" t="s">
        <v>572</v>
      </c>
      <c r="S1620" s="5"/>
      <c r="T1620" t="s">
        <v>72</v>
      </c>
      <c r="U1620" t="s">
        <v>87</v>
      </c>
      <c r="V1620" t="s">
        <v>74</v>
      </c>
      <c r="W1620" t="s">
        <v>87</v>
      </c>
      <c r="AE1620" s="2"/>
      <c r="AF1620" s="2"/>
      <c r="AG1620" s="2"/>
      <c r="AH1620" s="2"/>
      <c r="AK1620" t="s">
        <v>4167</v>
      </c>
      <c r="AL1620" s="2">
        <v>2635000</v>
      </c>
      <c r="AM1620" s="2">
        <v>0</v>
      </c>
      <c r="AN1620" s="2"/>
      <c r="AO1620" s="2">
        <v>0</v>
      </c>
      <c r="AP1620" s="2">
        <v>2635000</v>
      </c>
      <c r="AQ1620" s="2">
        <v>0</v>
      </c>
      <c r="AR1620" s="2">
        <v>0</v>
      </c>
      <c r="AS1620" s="2">
        <v>0</v>
      </c>
      <c r="AT1620" s="2">
        <v>0</v>
      </c>
      <c r="AU1620" s="2">
        <v>0</v>
      </c>
      <c r="AV1620" s="2">
        <v>0</v>
      </c>
      <c r="AW1620" s="4"/>
      <c r="AX1620" t="s">
        <v>75</v>
      </c>
      <c r="AZ1620" t="s">
        <v>4168</v>
      </c>
      <c r="BA1620" t="s">
        <v>67</v>
      </c>
      <c r="BB1620" t="s">
        <v>4169</v>
      </c>
      <c r="BC1620" t="s">
        <v>681</v>
      </c>
      <c r="BD1620" t="s">
        <v>79</v>
      </c>
      <c r="BE1620" t="s">
        <v>117</v>
      </c>
      <c r="BF1620" s="5">
        <v>46569</v>
      </c>
      <c r="BG1620" t="s">
        <v>67</v>
      </c>
      <c r="BH1620">
        <v>1</v>
      </c>
      <c r="BI1620" s="6">
        <v>4250000</v>
      </c>
      <c r="BJ1620" s="6">
        <v>38</v>
      </c>
      <c r="BK1620" s="6">
        <v>1615000</v>
      </c>
      <c r="BL1620" s="6">
        <v>2635000</v>
      </c>
      <c r="BM1620" s="2">
        <v>2635000</v>
      </c>
      <c r="BN1620">
        <f>InvoiceTable[[#This Row],[Giảm giá]]*InvoiceTable[[#This Row],[Số lượng]]</f>
        <v>1615000</v>
      </c>
    </row>
    <row r="1621" spans="1:66" x14ac:dyDescent="0.25">
      <c r="A1621" t="s">
        <v>65</v>
      </c>
      <c r="B1621" t="s">
        <v>4170</v>
      </c>
      <c r="F1621" s="2"/>
      <c r="G1621" s="3">
        <v>45999.653034525465</v>
      </c>
      <c r="H1621" s="3">
        <v>45999.653034687501</v>
      </c>
      <c r="I1621" s="4" t="s">
        <v>67</v>
      </c>
      <c r="J1621" t="s">
        <v>67</v>
      </c>
      <c r="K1621" t="s">
        <v>67</v>
      </c>
      <c r="L1621" t="s">
        <v>119</v>
      </c>
      <c r="M1621" t="s">
        <v>120</v>
      </c>
      <c r="N1621" t="s">
        <v>67</v>
      </c>
      <c r="O1621" t="s">
        <v>121</v>
      </c>
      <c r="Q1621" t="s">
        <v>122</v>
      </c>
      <c r="R1621" t="s">
        <v>123</v>
      </c>
      <c r="S1621" s="5"/>
      <c r="T1621" t="s">
        <v>72</v>
      </c>
      <c r="U1621" t="s">
        <v>102</v>
      </c>
      <c r="V1621" t="s">
        <v>74</v>
      </c>
      <c r="W1621" t="s">
        <v>102</v>
      </c>
      <c r="AE1621" s="2"/>
      <c r="AF1621" s="2"/>
      <c r="AG1621" s="2"/>
      <c r="AH1621" s="2"/>
      <c r="AL1621" s="2">
        <v>1000000</v>
      </c>
      <c r="AM1621" s="2">
        <v>0</v>
      </c>
      <c r="AN1621" s="2"/>
      <c r="AO1621" s="2">
        <v>0</v>
      </c>
      <c r="AP1621" s="2">
        <v>1000000</v>
      </c>
      <c r="AQ1621" s="2">
        <v>0</v>
      </c>
      <c r="AR1621" s="2">
        <v>0</v>
      </c>
      <c r="AS1621" s="2">
        <v>0</v>
      </c>
      <c r="AT1621" s="2">
        <v>0</v>
      </c>
      <c r="AU1621" s="2">
        <v>0</v>
      </c>
      <c r="AV1621" s="2">
        <v>0</v>
      </c>
      <c r="AW1621" s="4"/>
      <c r="AX1621" t="s">
        <v>75</v>
      </c>
      <c r="AZ1621" t="s">
        <v>604</v>
      </c>
      <c r="BA1621" t="s">
        <v>67</v>
      </c>
      <c r="BB1621" t="s">
        <v>605</v>
      </c>
      <c r="BC1621" t="s">
        <v>606</v>
      </c>
      <c r="BD1621" t="s">
        <v>79</v>
      </c>
      <c r="BE1621" t="s">
        <v>168</v>
      </c>
      <c r="BF1621" s="5">
        <v>46388</v>
      </c>
      <c r="BH1621">
        <v>1</v>
      </c>
      <c r="BI1621" s="6">
        <v>1100000</v>
      </c>
      <c r="BJ1621" s="6">
        <v>50</v>
      </c>
      <c r="BK1621" s="6">
        <v>550000</v>
      </c>
      <c r="BL1621" s="6">
        <v>550000</v>
      </c>
      <c r="BM1621" s="2">
        <v>550000</v>
      </c>
      <c r="BN1621">
        <f>InvoiceTable[[#This Row],[Giảm giá]]*InvoiceTable[[#This Row],[Số lượng]]</f>
        <v>550000</v>
      </c>
    </row>
    <row r="1622" spans="1:66" x14ac:dyDescent="0.25">
      <c r="A1622" t="s">
        <v>65</v>
      </c>
      <c r="B1622" t="s">
        <v>4170</v>
      </c>
      <c r="F1622" s="2"/>
      <c r="G1622" s="3">
        <v>45999.653034525465</v>
      </c>
      <c r="H1622" s="3">
        <v>45999.653034687501</v>
      </c>
      <c r="I1622" s="4" t="s">
        <v>67</v>
      </c>
      <c r="J1622" t="s">
        <v>67</v>
      </c>
      <c r="K1622" t="s">
        <v>67</v>
      </c>
      <c r="L1622" t="s">
        <v>119</v>
      </c>
      <c r="M1622" t="s">
        <v>120</v>
      </c>
      <c r="N1622" t="s">
        <v>67</v>
      </c>
      <c r="O1622" t="s">
        <v>121</v>
      </c>
      <c r="Q1622" t="s">
        <v>122</v>
      </c>
      <c r="R1622" t="s">
        <v>123</v>
      </c>
      <c r="S1622" s="5"/>
      <c r="T1622" t="s">
        <v>72</v>
      </c>
      <c r="U1622" t="s">
        <v>102</v>
      </c>
      <c r="V1622" t="s">
        <v>74</v>
      </c>
      <c r="W1622" t="s">
        <v>102</v>
      </c>
      <c r="AE1622" s="2"/>
      <c r="AF1622" s="2"/>
      <c r="AG1622" s="2"/>
      <c r="AH1622" s="2"/>
      <c r="AL1622" s="2">
        <v>1000000</v>
      </c>
      <c r="AM1622" s="2">
        <v>0</v>
      </c>
      <c r="AN1622" s="2"/>
      <c r="AO1622" s="2">
        <v>0</v>
      </c>
      <c r="AP1622" s="2">
        <v>1000000</v>
      </c>
      <c r="AQ1622" s="2">
        <v>0</v>
      </c>
      <c r="AR1622" s="2">
        <v>0</v>
      </c>
      <c r="AS1622" s="2">
        <v>0</v>
      </c>
      <c r="AT1622" s="2">
        <v>0</v>
      </c>
      <c r="AU1622" s="2">
        <v>0</v>
      </c>
      <c r="AV1622" s="2">
        <v>0</v>
      </c>
      <c r="AW1622" s="4"/>
      <c r="AX1622" t="s">
        <v>75</v>
      </c>
      <c r="AZ1622" t="s">
        <v>2999</v>
      </c>
      <c r="BA1622" t="s">
        <v>67</v>
      </c>
      <c r="BB1622" t="s">
        <v>3000</v>
      </c>
      <c r="BC1622" t="s">
        <v>3001</v>
      </c>
      <c r="BD1622" t="s">
        <v>79</v>
      </c>
      <c r="BE1622" t="s">
        <v>131</v>
      </c>
      <c r="BF1622" s="5">
        <v>46874</v>
      </c>
      <c r="BH1622">
        <v>1</v>
      </c>
      <c r="BI1622" s="6">
        <v>900000</v>
      </c>
      <c r="BJ1622" s="6">
        <v>0</v>
      </c>
      <c r="BK1622" s="6">
        <v>450000</v>
      </c>
      <c r="BL1622" s="6">
        <v>450000</v>
      </c>
      <c r="BM1622" s="2">
        <v>450000</v>
      </c>
      <c r="BN1622">
        <f>InvoiceTable[[#This Row],[Giảm giá]]*InvoiceTable[[#This Row],[Số lượng]]</f>
        <v>450000</v>
      </c>
    </row>
    <row r="1623" spans="1:66" x14ac:dyDescent="0.25">
      <c r="A1623" t="s">
        <v>65</v>
      </c>
      <c r="B1623" t="s">
        <v>4171</v>
      </c>
      <c r="F1623" s="2"/>
      <c r="G1623" s="3">
        <v>45999.649510266201</v>
      </c>
      <c r="H1623" s="3">
        <v>45999.649510451389</v>
      </c>
      <c r="I1623" s="4" t="s">
        <v>67</v>
      </c>
      <c r="J1623" t="s">
        <v>4172</v>
      </c>
      <c r="K1623" t="s">
        <v>67</v>
      </c>
      <c r="L1623" t="s">
        <v>1353</v>
      </c>
      <c r="M1623" t="s">
        <v>1354</v>
      </c>
      <c r="N1623" t="s">
        <v>1355</v>
      </c>
      <c r="O1623" t="s">
        <v>1356</v>
      </c>
      <c r="P1623" t="s">
        <v>1357</v>
      </c>
      <c r="S1623" s="5"/>
      <c r="T1623" t="s">
        <v>72</v>
      </c>
      <c r="U1623" t="s">
        <v>102</v>
      </c>
      <c r="V1623" t="s">
        <v>74</v>
      </c>
      <c r="W1623" t="s">
        <v>87</v>
      </c>
      <c r="AE1623" s="2"/>
      <c r="AF1623" s="2"/>
      <c r="AG1623" s="2"/>
      <c r="AH1623" s="2"/>
      <c r="AK1623" t="s">
        <v>4173</v>
      </c>
      <c r="AL1623" s="2">
        <v>4440000</v>
      </c>
      <c r="AM1623" s="2">
        <v>0</v>
      </c>
      <c r="AN1623" s="2"/>
      <c r="AO1623" s="2">
        <v>0</v>
      </c>
      <c r="AP1623" s="2">
        <v>4440000</v>
      </c>
      <c r="AQ1623" s="2">
        <v>0</v>
      </c>
      <c r="AR1623" s="2">
        <v>0</v>
      </c>
      <c r="AS1623" s="2">
        <v>0</v>
      </c>
      <c r="AT1623" s="2">
        <v>0</v>
      </c>
      <c r="AU1623" s="2">
        <v>0</v>
      </c>
      <c r="AV1623" s="2">
        <v>0</v>
      </c>
      <c r="AW1623" s="4"/>
      <c r="AX1623" t="s">
        <v>75</v>
      </c>
      <c r="AZ1623" t="s">
        <v>2021</v>
      </c>
      <c r="BA1623" t="s">
        <v>67</v>
      </c>
      <c r="BB1623" t="s">
        <v>2022</v>
      </c>
      <c r="BC1623" t="s">
        <v>2023</v>
      </c>
      <c r="BD1623" t="s">
        <v>79</v>
      </c>
      <c r="BE1623" t="s">
        <v>117</v>
      </c>
      <c r="BF1623" s="5">
        <v>46569</v>
      </c>
      <c r="BH1623">
        <v>1</v>
      </c>
      <c r="BI1623" s="6">
        <v>1100000</v>
      </c>
      <c r="BJ1623" s="6">
        <v>40</v>
      </c>
      <c r="BK1623" s="6">
        <v>440000</v>
      </c>
      <c r="BL1623" s="6">
        <v>660000</v>
      </c>
      <c r="BM1623" s="2">
        <v>660000</v>
      </c>
      <c r="BN1623">
        <f>InvoiceTable[[#This Row],[Giảm giá]]*InvoiceTable[[#This Row],[Số lượng]]</f>
        <v>440000</v>
      </c>
    </row>
    <row r="1624" spans="1:66" x14ac:dyDescent="0.25">
      <c r="A1624" t="s">
        <v>65</v>
      </c>
      <c r="B1624" t="s">
        <v>4171</v>
      </c>
      <c r="F1624" s="2"/>
      <c r="G1624" s="3">
        <v>45999.649510266201</v>
      </c>
      <c r="H1624" s="3">
        <v>45999.649510451389</v>
      </c>
      <c r="I1624" s="4" t="s">
        <v>67</v>
      </c>
      <c r="J1624" t="s">
        <v>4172</v>
      </c>
      <c r="K1624" t="s">
        <v>67</v>
      </c>
      <c r="L1624" t="s">
        <v>1353</v>
      </c>
      <c r="M1624" t="s">
        <v>1354</v>
      </c>
      <c r="N1624" t="s">
        <v>1355</v>
      </c>
      <c r="O1624" t="s">
        <v>1356</v>
      </c>
      <c r="P1624" t="s">
        <v>1357</v>
      </c>
      <c r="S1624" s="5"/>
      <c r="T1624" t="s">
        <v>72</v>
      </c>
      <c r="U1624" t="s">
        <v>102</v>
      </c>
      <c r="V1624" t="s">
        <v>74</v>
      </c>
      <c r="W1624" t="s">
        <v>87</v>
      </c>
      <c r="AE1624" s="2"/>
      <c r="AF1624" s="2"/>
      <c r="AG1624" s="2"/>
      <c r="AH1624" s="2"/>
      <c r="AK1624" t="s">
        <v>4173</v>
      </c>
      <c r="AL1624" s="2">
        <v>4440000</v>
      </c>
      <c r="AM1624" s="2">
        <v>0</v>
      </c>
      <c r="AN1624" s="2"/>
      <c r="AO1624" s="2">
        <v>0</v>
      </c>
      <c r="AP1624" s="2">
        <v>4440000</v>
      </c>
      <c r="AQ1624" s="2">
        <v>0</v>
      </c>
      <c r="AR1624" s="2">
        <v>0</v>
      </c>
      <c r="AS1624" s="2">
        <v>0</v>
      </c>
      <c r="AT1624" s="2">
        <v>0</v>
      </c>
      <c r="AU1624" s="2">
        <v>0</v>
      </c>
      <c r="AV1624" s="2">
        <v>0</v>
      </c>
      <c r="AW1624" s="4"/>
      <c r="AX1624" t="s">
        <v>75</v>
      </c>
      <c r="AZ1624" t="s">
        <v>2595</v>
      </c>
      <c r="BA1624" t="s">
        <v>67</v>
      </c>
      <c r="BB1624" t="s">
        <v>2596</v>
      </c>
      <c r="BC1624" t="s">
        <v>347</v>
      </c>
      <c r="BD1624" t="s">
        <v>79</v>
      </c>
      <c r="BE1624" t="s">
        <v>423</v>
      </c>
      <c r="BF1624" s="5">
        <v>47543</v>
      </c>
      <c r="BH1624">
        <v>3</v>
      </c>
      <c r="BI1624" s="6">
        <v>480000</v>
      </c>
      <c r="BJ1624" s="6">
        <v>35</v>
      </c>
      <c r="BK1624" s="6">
        <v>168000</v>
      </c>
      <c r="BL1624" s="6">
        <v>312000</v>
      </c>
      <c r="BM1624" s="2">
        <v>936000</v>
      </c>
      <c r="BN1624">
        <f>InvoiceTable[[#This Row],[Giảm giá]]*InvoiceTable[[#This Row],[Số lượng]]</f>
        <v>504000</v>
      </c>
    </row>
    <row r="1625" spans="1:66" x14ac:dyDescent="0.25">
      <c r="A1625" t="s">
        <v>65</v>
      </c>
      <c r="B1625" t="s">
        <v>4171</v>
      </c>
      <c r="F1625" s="2"/>
      <c r="G1625" s="3">
        <v>45999.649510266201</v>
      </c>
      <c r="H1625" s="3">
        <v>45999.649510451389</v>
      </c>
      <c r="I1625" s="4" t="s">
        <v>67</v>
      </c>
      <c r="J1625" t="s">
        <v>4172</v>
      </c>
      <c r="K1625" t="s">
        <v>67</v>
      </c>
      <c r="L1625" t="s">
        <v>1353</v>
      </c>
      <c r="M1625" t="s">
        <v>1354</v>
      </c>
      <c r="N1625" t="s">
        <v>1355</v>
      </c>
      <c r="O1625" t="s">
        <v>1356</v>
      </c>
      <c r="P1625" t="s">
        <v>1357</v>
      </c>
      <c r="S1625" s="5"/>
      <c r="T1625" t="s">
        <v>72</v>
      </c>
      <c r="U1625" t="s">
        <v>102</v>
      </c>
      <c r="V1625" t="s">
        <v>74</v>
      </c>
      <c r="W1625" t="s">
        <v>87</v>
      </c>
      <c r="AE1625" s="2"/>
      <c r="AF1625" s="2"/>
      <c r="AG1625" s="2"/>
      <c r="AH1625" s="2"/>
      <c r="AK1625" t="s">
        <v>4173</v>
      </c>
      <c r="AL1625" s="2">
        <v>4440000</v>
      </c>
      <c r="AM1625" s="2">
        <v>0</v>
      </c>
      <c r="AN1625" s="2"/>
      <c r="AO1625" s="2">
        <v>0</v>
      </c>
      <c r="AP1625" s="2">
        <v>4440000</v>
      </c>
      <c r="AQ1625" s="2">
        <v>0</v>
      </c>
      <c r="AR1625" s="2">
        <v>0</v>
      </c>
      <c r="AS1625" s="2">
        <v>0</v>
      </c>
      <c r="AT1625" s="2">
        <v>0</v>
      </c>
      <c r="AU1625" s="2">
        <v>0</v>
      </c>
      <c r="AV1625" s="2">
        <v>0</v>
      </c>
      <c r="AW1625" s="4"/>
      <c r="AX1625" t="s">
        <v>75</v>
      </c>
      <c r="AZ1625" t="s">
        <v>4174</v>
      </c>
      <c r="BA1625" t="s">
        <v>67</v>
      </c>
      <c r="BB1625" t="s">
        <v>4175</v>
      </c>
      <c r="BC1625" t="s">
        <v>970</v>
      </c>
      <c r="BD1625" t="s">
        <v>79</v>
      </c>
      <c r="BE1625" t="s">
        <v>273</v>
      </c>
      <c r="BF1625" s="5">
        <v>46266</v>
      </c>
      <c r="BG1625" t="s">
        <v>67</v>
      </c>
      <c r="BH1625">
        <v>1</v>
      </c>
      <c r="BI1625" s="6">
        <v>3160000</v>
      </c>
      <c r="BJ1625" s="6">
        <v>10</v>
      </c>
      <c r="BK1625" s="6">
        <v>316000</v>
      </c>
      <c r="BL1625" s="6">
        <v>2844000</v>
      </c>
      <c r="BM1625" s="2">
        <v>2844000</v>
      </c>
      <c r="BN1625">
        <f>InvoiceTable[[#This Row],[Giảm giá]]*InvoiceTable[[#This Row],[Số lượng]]</f>
        <v>316000</v>
      </c>
    </row>
    <row r="1626" spans="1:66" x14ac:dyDescent="0.25">
      <c r="A1626" t="s">
        <v>65</v>
      </c>
      <c r="B1626" t="s">
        <v>4176</v>
      </c>
      <c r="F1626" s="2"/>
      <c r="G1626" s="3">
        <v>45999.645869328706</v>
      </c>
      <c r="H1626" s="3">
        <v>45999.645869444445</v>
      </c>
      <c r="I1626" s="4" t="s">
        <v>67</v>
      </c>
      <c r="J1626" t="s">
        <v>67</v>
      </c>
      <c r="K1626" t="s">
        <v>67</v>
      </c>
      <c r="L1626" t="s">
        <v>672</v>
      </c>
      <c r="M1626" t="s">
        <v>673</v>
      </c>
      <c r="N1626" t="s">
        <v>67</v>
      </c>
      <c r="Q1626" t="s">
        <v>67</v>
      </c>
      <c r="R1626" t="s">
        <v>67</v>
      </c>
      <c r="S1626" s="5"/>
      <c r="T1626" t="s">
        <v>72</v>
      </c>
      <c r="U1626" t="s">
        <v>87</v>
      </c>
      <c r="V1626" t="s">
        <v>74</v>
      </c>
      <c r="W1626" t="s">
        <v>87</v>
      </c>
      <c r="AE1626" s="2"/>
      <c r="AF1626" s="2"/>
      <c r="AG1626" s="2"/>
      <c r="AH1626" s="2"/>
      <c r="AL1626" s="2">
        <v>15260000</v>
      </c>
      <c r="AM1626" s="2">
        <v>0</v>
      </c>
      <c r="AN1626" s="2"/>
      <c r="AO1626" s="2">
        <v>0</v>
      </c>
      <c r="AP1626" s="2">
        <v>15260000</v>
      </c>
      <c r="AQ1626" s="2">
        <v>15260000</v>
      </c>
      <c r="AR1626" s="2">
        <v>11040000</v>
      </c>
      <c r="AS1626" s="2">
        <v>0</v>
      </c>
      <c r="AT1626" s="2">
        <v>0</v>
      </c>
      <c r="AU1626" s="2">
        <v>4220000</v>
      </c>
      <c r="AV1626" s="2">
        <v>0</v>
      </c>
      <c r="AW1626" s="4"/>
      <c r="AX1626" t="s">
        <v>75</v>
      </c>
      <c r="AZ1626" t="s">
        <v>1019</v>
      </c>
      <c r="BA1626" t="s">
        <v>67</v>
      </c>
      <c r="BB1626" t="s">
        <v>1020</v>
      </c>
      <c r="BC1626" t="s">
        <v>676</v>
      </c>
      <c r="BD1626" t="s">
        <v>79</v>
      </c>
      <c r="BE1626" t="s">
        <v>131</v>
      </c>
      <c r="BF1626" s="5">
        <v>46874</v>
      </c>
      <c r="BH1626">
        <v>6</v>
      </c>
      <c r="BI1626" s="6">
        <v>1690000</v>
      </c>
      <c r="BJ1626" s="6">
        <v>0</v>
      </c>
      <c r="BK1626" s="6">
        <v>600000</v>
      </c>
      <c r="BL1626" s="6">
        <v>1090000</v>
      </c>
      <c r="BM1626" s="2">
        <v>6540000</v>
      </c>
      <c r="BN1626">
        <f>InvoiceTable[[#This Row],[Giảm giá]]*InvoiceTable[[#This Row],[Số lượng]]</f>
        <v>3600000</v>
      </c>
    </row>
    <row r="1627" spans="1:66" x14ac:dyDescent="0.25">
      <c r="A1627" t="s">
        <v>65</v>
      </c>
      <c r="B1627" t="s">
        <v>4176</v>
      </c>
      <c r="F1627" s="2"/>
      <c r="G1627" s="3">
        <v>45999.645869328706</v>
      </c>
      <c r="H1627" s="3">
        <v>45999.645869444445</v>
      </c>
      <c r="I1627" s="4" t="s">
        <v>67</v>
      </c>
      <c r="J1627" t="s">
        <v>67</v>
      </c>
      <c r="K1627" t="s">
        <v>67</v>
      </c>
      <c r="L1627" t="s">
        <v>672</v>
      </c>
      <c r="M1627" t="s">
        <v>673</v>
      </c>
      <c r="N1627" t="s">
        <v>67</v>
      </c>
      <c r="Q1627" t="s">
        <v>67</v>
      </c>
      <c r="R1627" t="s">
        <v>67</v>
      </c>
      <c r="S1627" s="5"/>
      <c r="T1627" t="s">
        <v>72</v>
      </c>
      <c r="U1627" t="s">
        <v>87</v>
      </c>
      <c r="V1627" t="s">
        <v>74</v>
      </c>
      <c r="W1627" t="s">
        <v>87</v>
      </c>
      <c r="AE1627" s="2"/>
      <c r="AF1627" s="2"/>
      <c r="AG1627" s="2"/>
      <c r="AH1627" s="2"/>
      <c r="AL1627" s="2">
        <v>15260000</v>
      </c>
      <c r="AM1627" s="2">
        <v>0</v>
      </c>
      <c r="AN1627" s="2"/>
      <c r="AO1627" s="2">
        <v>0</v>
      </c>
      <c r="AP1627" s="2">
        <v>15260000</v>
      </c>
      <c r="AQ1627" s="2">
        <v>15260000</v>
      </c>
      <c r="AR1627" s="2">
        <v>11040000</v>
      </c>
      <c r="AS1627" s="2">
        <v>0</v>
      </c>
      <c r="AT1627" s="2">
        <v>0</v>
      </c>
      <c r="AU1627" s="2">
        <v>4220000</v>
      </c>
      <c r="AV1627" s="2">
        <v>0</v>
      </c>
      <c r="AW1627" s="4"/>
      <c r="AX1627" t="s">
        <v>75</v>
      </c>
      <c r="AZ1627" t="s">
        <v>674</v>
      </c>
      <c r="BA1627" t="s">
        <v>67</v>
      </c>
      <c r="BB1627" t="s">
        <v>675</v>
      </c>
      <c r="BC1627" t="s">
        <v>676</v>
      </c>
      <c r="BD1627" t="s">
        <v>79</v>
      </c>
      <c r="BE1627" t="s">
        <v>142</v>
      </c>
      <c r="BF1627" s="5">
        <v>46844</v>
      </c>
      <c r="BH1627">
        <v>8</v>
      </c>
      <c r="BI1627" s="6">
        <v>1690000</v>
      </c>
      <c r="BJ1627" s="6">
        <v>0</v>
      </c>
      <c r="BK1627" s="6">
        <v>600000</v>
      </c>
      <c r="BL1627" s="6">
        <v>1090000</v>
      </c>
      <c r="BM1627" s="2">
        <v>8720000</v>
      </c>
      <c r="BN1627">
        <f>InvoiceTable[[#This Row],[Giảm giá]]*InvoiceTable[[#This Row],[Số lượng]]</f>
        <v>4800000</v>
      </c>
    </row>
    <row r="1628" spans="1:66" x14ac:dyDescent="0.25">
      <c r="A1628" t="s">
        <v>65</v>
      </c>
      <c r="B1628" t="s">
        <v>4177</v>
      </c>
      <c r="F1628" s="2"/>
      <c r="G1628" s="3">
        <v>45999.636538275467</v>
      </c>
      <c r="H1628" s="3">
        <v>45999.636526886577</v>
      </c>
      <c r="I1628" s="4" t="s">
        <v>3787</v>
      </c>
      <c r="J1628" t="s">
        <v>4178</v>
      </c>
      <c r="K1628" t="s">
        <v>67</v>
      </c>
      <c r="L1628" t="s">
        <v>1166</v>
      </c>
      <c r="M1628" t="s">
        <v>1167</v>
      </c>
      <c r="N1628" t="s">
        <v>67</v>
      </c>
      <c r="O1628" t="s">
        <v>1168</v>
      </c>
      <c r="P1628" t="s">
        <v>1169</v>
      </c>
      <c r="Q1628" t="s">
        <v>1170</v>
      </c>
      <c r="R1628" t="s">
        <v>1171</v>
      </c>
      <c r="S1628" s="5"/>
      <c r="T1628" t="s">
        <v>72</v>
      </c>
      <c r="U1628" t="s">
        <v>102</v>
      </c>
      <c r="V1628" t="s">
        <v>74</v>
      </c>
      <c r="W1628" t="s">
        <v>87</v>
      </c>
      <c r="AE1628" s="2"/>
      <c r="AF1628" s="2"/>
      <c r="AG1628" s="2"/>
      <c r="AH1628" s="2"/>
      <c r="AK1628" t="s">
        <v>4179</v>
      </c>
      <c r="AL1628" s="2">
        <v>533400</v>
      </c>
      <c r="AM1628" s="2">
        <v>0</v>
      </c>
      <c r="AN1628" s="2"/>
      <c r="AO1628" s="2">
        <v>0</v>
      </c>
      <c r="AP1628" s="2">
        <v>533400</v>
      </c>
      <c r="AQ1628" s="2">
        <v>0</v>
      </c>
      <c r="AR1628" s="2">
        <v>0</v>
      </c>
      <c r="AS1628" s="2">
        <v>0</v>
      </c>
      <c r="AT1628" s="2">
        <v>0</v>
      </c>
      <c r="AU1628" s="2">
        <v>0</v>
      </c>
      <c r="AV1628" s="2">
        <v>0</v>
      </c>
      <c r="AW1628" s="4"/>
      <c r="AX1628" t="s">
        <v>75</v>
      </c>
      <c r="AZ1628" t="s">
        <v>420</v>
      </c>
      <c r="BA1628" t="s">
        <v>67</v>
      </c>
      <c r="BB1628" t="s">
        <v>421</v>
      </c>
      <c r="BC1628" t="s">
        <v>422</v>
      </c>
      <c r="BD1628" t="s">
        <v>79</v>
      </c>
      <c r="BE1628" t="s">
        <v>423</v>
      </c>
      <c r="BF1628" s="5">
        <v>47543</v>
      </c>
      <c r="BH1628">
        <v>1</v>
      </c>
      <c r="BI1628" s="6">
        <v>567000</v>
      </c>
      <c r="BJ1628" s="6">
        <v>40</v>
      </c>
      <c r="BK1628" s="6">
        <v>226800</v>
      </c>
      <c r="BL1628" s="6">
        <v>340200</v>
      </c>
      <c r="BM1628" s="2">
        <v>340200</v>
      </c>
      <c r="BN1628">
        <f>InvoiceTable[[#This Row],[Giảm giá]]*InvoiceTable[[#This Row],[Số lượng]]</f>
        <v>226800</v>
      </c>
    </row>
    <row r="1629" spans="1:66" x14ac:dyDescent="0.25">
      <c r="A1629" t="s">
        <v>65</v>
      </c>
      <c r="B1629" t="s">
        <v>4177</v>
      </c>
      <c r="F1629" s="2"/>
      <c r="G1629" s="3">
        <v>45999.636538275467</v>
      </c>
      <c r="H1629" s="3">
        <v>45999.636526886577</v>
      </c>
      <c r="I1629" s="4" t="s">
        <v>3787</v>
      </c>
      <c r="J1629" t="s">
        <v>4178</v>
      </c>
      <c r="K1629" t="s">
        <v>67</v>
      </c>
      <c r="L1629" t="s">
        <v>1166</v>
      </c>
      <c r="M1629" t="s">
        <v>1167</v>
      </c>
      <c r="N1629" t="s">
        <v>67</v>
      </c>
      <c r="O1629" t="s">
        <v>1168</v>
      </c>
      <c r="P1629" t="s">
        <v>1169</v>
      </c>
      <c r="Q1629" t="s">
        <v>1170</v>
      </c>
      <c r="R1629" t="s">
        <v>1171</v>
      </c>
      <c r="S1629" s="5"/>
      <c r="T1629" t="s">
        <v>72</v>
      </c>
      <c r="U1629" t="s">
        <v>102</v>
      </c>
      <c r="V1629" t="s">
        <v>74</v>
      </c>
      <c r="W1629" t="s">
        <v>87</v>
      </c>
      <c r="AE1629" s="2"/>
      <c r="AF1629" s="2"/>
      <c r="AG1629" s="2"/>
      <c r="AH1629" s="2"/>
      <c r="AK1629" t="s">
        <v>4179</v>
      </c>
      <c r="AL1629" s="2">
        <v>533400</v>
      </c>
      <c r="AM1629" s="2">
        <v>0</v>
      </c>
      <c r="AN1629" s="2"/>
      <c r="AO1629" s="2">
        <v>0</v>
      </c>
      <c r="AP1629" s="2">
        <v>533400</v>
      </c>
      <c r="AQ1629" s="2">
        <v>0</v>
      </c>
      <c r="AR1629" s="2">
        <v>0</v>
      </c>
      <c r="AS1629" s="2">
        <v>0</v>
      </c>
      <c r="AT1629" s="2">
        <v>0</v>
      </c>
      <c r="AU1629" s="2">
        <v>0</v>
      </c>
      <c r="AV1629" s="2">
        <v>0</v>
      </c>
      <c r="AW1629" s="4"/>
      <c r="AX1629" t="s">
        <v>75</v>
      </c>
      <c r="AZ1629" t="s">
        <v>3481</v>
      </c>
      <c r="BA1629" t="s">
        <v>67</v>
      </c>
      <c r="BB1629" t="s">
        <v>3482</v>
      </c>
      <c r="BC1629" t="s">
        <v>3483</v>
      </c>
      <c r="BD1629" t="s">
        <v>79</v>
      </c>
      <c r="BE1629" t="s">
        <v>434</v>
      </c>
      <c r="BF1629" s="5">
        <v>46661</v>
      </c>
      <c r="BH1629">
        <v>2</v>
      </c>
      <c r="BI1629" s="6">
        <v>138000</v>
      </c>
      <c r="BJ1629" s="6">
        <v>30</v>
      </c>
      <c r="BK1629" s="6">
        <v>41400</v>
      </c>
      <c r="BL1629" s="6">
        <v>96600</v>
      </c>
      <c r="BM1629" s="2">
        <v>193200</v>
      </c>
      <c r="BN1629">
        <f>InvoiceTable[[#This Row],[Giảm giá]]*InvoiceTable[[#This Row],[Số lượng]]</f>
        <v>82800</v>
      </c>
    </row>
    <row r="1630" spans="1:66" x14ac:dyDescent="0.25">
      <c r="A1630" t="s">
        <v>65</v>
      </c>
      <c r="B1630" t="s">
        <v>4180</v>
      </c>
      <c r="F1630" s="2"/>
      <c r="G1630" s="3">
        <v>45999.621797337961</v>
      </c>
      <c r="H1630" s="3">
        <v>45999.621797453707</v>
      </c>
      <c r="I1630" s="4" t="s">
        <v>67</v>
      </c>
      <c r="J1630" t="s">
        <v>67</v>
      </c>
      <c r="K1630" t="s">
        <v>67</v>
      </c>
      <c r="L1630" t="s">
        <v>119</v>
      </c>
      <c r="M1630" t="s">
        <v>120</v>
      </c>
      <c r="N1630" t="s">
        <v>67</v>
      </c>
      <c r="O1630" t="s">
        <v>121</v>
      </c>
      <c r="Q1630" t="s">
        <v>122</v>
      </c>
      <c r="R1630" t="s">
        <v>123</v>
      </c>
      <c r="S1630" s="5"/>
      <c r="T1630" t="s">
        <v>72</v>
      </c>
      <c r="U1630" t="s">
        <v>102</v>
      </c>
      <c r="V1630" t="s">
        <v>74</v>
      </c>
      <c r="W1630" t="s">
        <v>102</v>
      </c>
      <c r="AE1630" s="2"/>
      <c r="AF1630" s="2"/>
      <c r="AG1630" s="2"/>
      <c r="AH1630" s="2"/>
      <c r="AK1630" t="s">
        <v>1003</v>
      </c>
      <c r="AL1630" s="2">
        <v>4350000</v>
      </c>
      <c r="AM1630" s="2">
        <v>0</v>
      </c>
      <c r="AN1630" s="2"/>
      <c r="AO1630" s="2">
        <v>0</v>
      </c>
      <c r="AP1630" s="2">
        <v>4350000</v>
      </c>
      <c r="AQ1630" s="2">
        <v>0</v>
      </c>
      <c r="AR1630" s="2">
        <v>0</v>
      </c>
      <c r="AS1630" s="2">
        <v>0</v>
      </c>
      <c r="AT1630" s="2">
        <v>0</v>
      </c>
      <c r="AU1630" s="2">
        <v>0</v>
      </c>
      <c r="AV1630" s="2">
        <v>0</v>
      </c>
      <c r="AW1630" s="4"/>
      <c r="AX1630" t="s">
        <v>75</v>
      </c>
      <c r="AZ1630" t="s">
        <v>2747</v>
      </c>
      <c r="BB1630" t="s">
        <v>2748</v>
      </c>
      <c r="BC1630" t="s">
        <v>2749</v>
      </c>
      <c r="BD1630" t="s">
        <v>79</v>
      </c>
      <c r="BE1630" t="s">
        <v>228</v>
      </c>
      <c r="BF1630" s="5">
        <v>46813</v>
      </c>
      <c r="BH1630">
        <v>5</v>
      </c>
      <c r="BI1630" s="6">
        <v>1500000</v>
      </c>
      <c r="BJ1630" s="6">
        <v>42</v>
      </c>
      <c r="BK1630" s="6">
        <v>630000</v>
      </c>
      <c r="BL1630" s="6">
        <v>870000</v>
      </c>
      <c r="BM1630" s="2">
        <v>4350000</v>
      </c>
      <c r="BN1630">
        <f>InvoiceTable[[#This Row],[Giảm giá]]*InvoiceTable[[#This Row],[Số lượng]]</f>
        <v>3150000</v>
      </c>
    </row>
    <row r="1631" spans="1:66" x14ac:dyDescent="0.25">
      <c r="A1631" t="s">
        <v>65</v>
      </c>
      <c r="B1631" t="s">
        <v>4181</v>
      </c>
      <c r="F1631" s="2"/>
      <c r="G1631" s="3">
        <v>45999.61554309028</v>
      </c>
      <c r="H1631" s="3">
        <v>45999.615543206019</v>
      </c>
      <c r="I1631" s="4" t="s">
        <v>67</v>
      </c>
      <c r="J1631" t="s">
        <v>67</v>
      </c>
      <c r="K1631" t="s">
        <v>67</v>
      </c>
      <c r="L1631" t="s">
        <v>2366</v>
      </c>
      <c r="M1631" t="s">
        <v>2367</v>
      </c>
      <c r="N1631" t="s">
        <v>67</v>
      </c>
      <c r="S1631" s="5"/>
      <c r="T1631" t="s">
        <v>72</v>
      </c>
      <c r="U1631" t="s">
        <v>87</v>
      </c>
      <c r="V1631" t="s">
        <v>74</v>
      </c>
      <c r="W1631" t="s">
        <v>87</v>
      </c>
      <c r="AE1631" s="2"/>
      <c r="AF1631" s="2"/>
      <c r="AG1631" s="2"/>
      <c r="AH1631" s="2"/>
      <c r="AL1631" s="2">
        <v>30900000</v>
      </c>
      <c r="AM1631" s="2">
        <v>14832000</v>
      </c>
      <c r="AN1631" s="2"/>
      <c r="AO1631" s="2">
        <v>0</v>
      </c>
      <c r="AP1631" s="2">
        <v>16068000</v>
      </c>
      <c r="AQ1631" s="2">
        <v>0</v>
      </c>
      <c r="AR1631" s="2">
        <v>0</v>
      </c>
      <c r="AS1631" s="2">
        <v>0</v>
      </c>
      <c r="AT1631" s="2">
        <v>0</v>
      </c>
      <c r="AU1631" s="2">
        <v>0</v>
      </c>
      <c r="AV1631" s="2">
        <v>0</v>
      </c>
      <c r="AW1631" s="4"/>
      <c r="AX1631" t="s">
        <v>75</v>
      </c>
      <c r="AZ1631" t="s">
        <v>1268</v>
      </c>
      <c r="BA1631" t="s">
        <v>67</v>
      </c>
      <c r="BB1631" t="s">
        <v>1269</v>
      </c>
      <c r="BC1631" t="s">
        <v>770</v>
      </c>
      <c r="BD1631" t="s">
        <v>79</v>
      </c>
      <c r="BE1631" t="s">
        <v>715</v>
      </c>
      <c r="BF1631" s="5">
        <v>46631</v>
      </c>
      <c r="BH1631">
        <v>5</v>
      </c>
      <c r="BI1631" s="6">
        <v>690000</v>
      </c>
      <c r="BJ1631" s="6">
        <v>0</v>
      </c>
      <c r="BK1631" s="6">
        <v>0</v>
      </c>
      <c r="BL1631" s="6">
        <v>690000</v>
      </c>
      <c r="BM1631" s="2">
        <v>3450000</v>
      </c>
      <c r="BN1631">
        <f>InvoiceTable[[#This Row],[Giảm giá]]*InvoiceTable[[#This Row],[Số lượng]]</f>
        <v>0</v>
      </c>
    </row>
    <row r="1632" spans="1:66" x14ac:dyDescent="0.25">
      <c r="A1632" t="s">
        <v>65</v>
      </c>
      <c r="B1632" t="s">
        <v>4181</v>
      </c>
      <c r="F1632" s="2"/>
      <c r="G1632" s="3">
        <v>45999.61554309028</v>
      </c>
      <c r="H1632" s="3">
        <v>45999.615543206019</v>
      </c>
      <c r="I1632" s="4" t="s">
        <v>67</v>
      </c>
      <c r="J1632" t="s">
        <v>67</v>
      </c>
      <c r="K1632" t="s">
        <v>67</v>
      </c>
      <c r="L1632" t="s">
        <v>2366</v>
      </c>
      <c r="M1632" t="s">
        <v>2367</v>
      </c>
      <c r="N1632" t="s">
        <v>67</v>
      </c>
      <c r="S1632" s="5"/>
      <c r="T1632" t="s">
        <v>72</v>
      </c>
      <c r="U1632" t="s">
        <v>87</v>
      </c>
      <c r="V1632" t="s">
        <v>74</v>
      </c>
      <c r="W1632" t="s">
        <v>87</v>
      </c>
      <c r="AE1632" s="2"/>
      <c r="AF1632" s="2"/>
      <c r="AG1632" s="2"/>
      <c r="AH1632" s="2"/>
      <c r="AL1632" s="2">
        <v>30900000</v>
      </c>
      <c r="AM1632" s="2">
        <v>14832000</v>
      </c>
      <c r="AN1632" s="2"/>
      <c r="AO1632" s="2">
        <v>0</v>
      </c>
      <c r="AP1632" s="2">
        <v>16068000</v>
      </c>
      <c r="AQ1632" s="2">
        <v>0</v>
      </c>
      <c r="AR1632" s="2">
        <v>0</v>
      </c>
      <c r="AS1632" s="2">
        <v>0</v>
      </c>
      <c r="AT1632" s="2">
        <v>0</v>
      </c>
      <c r="AU1632" s="2">
        <v>0</v>
      </c>
      <c r="AV1632" s="2">
        <v>0</v>
      </c>
      <c r="AW1632" s="4"/>
      <c r="AX1632" t="s">
        <v>75</v>
      </c>
      <c r="AZ1632" t="s">
        <v>771</v>
      </c>
      <c r="BA1632" t="s">
        <v>67</v>
      </c>
      <c r="BB1632" t="s">
        <v>772</v>
      </c>
      <c r="BC1632" t="s">
        <v>770</v>
      </c>
      <c r="BD1632" t="s">
        <v>79</v>
      </c>
      <c r="BE1632" t="s">
        <v>201</v>
      </c>
      <c r="BF1632" s="5">
        <v>46966</v>
      </c>
      <c r="BH1632">
        <v>50</v>
      </c>
      <c r="BI1632" s="6">
        <v>399000</v>
      </c>
      <c r="BJ1632" s="6">
        <v>0</v>
      </c>
      <c r="BK1632" s="6">
        <v>0</v>
      </c>
      <c r="BL1632" s="6">
        <v>399000</v>
      </c>
      <c r="BM1632" s="2">
        <v>19950000</v>
      </c>
      <c r="BN1632">
        <f>InvoiceTable[[#This Row],[Giảm giá]]*InvoiceTable[[#This Row],[Số lượng]]</f>
        <v>0</v>
      </c>
    </row>
    <row r="1633" spans="1:66" x14ac:dyDescent="0.25">
      <c r="A1633" t="s">
        <v>65</v>
      </c>
      <c r="B1633" t="s">
        <v>4181</v>
      </c>
      <c r="F1633" s="2"/>
      <c r="G1633" s="3">
        <v>45999.61554309028</v>
      </c>
      <c r="H1633" s="3">
        <v>45999.615543206019</v>
      </c>
      <c r="I1633" s="4" t="s">
        <v>67</v>
      </c>
      <c r="J1633" t="s">
        <v>67</v>
      </c>
      <c r="K1633" t="s">
        <v>67</v>
      </c>
      <c r="L1633" t="s">
        <v>2366</v>
      </c>
      <c r="M1633" t="s">
        <v>2367</v>
      </c>
      <c r="N1633" t="s">
        <v>67</v>
      </c>
      <c r="S1633" s="5"/>
      <c r="T1633" t="s">
        <v>72</v>
      </c>
      <c r="U1633" t="s">
        <v>87</v>
      </c>
      <c r="V1633" t="s">
        <v>74</v>
      </c>
      <c r="W1633" t="s">
        <v>87</v>
      </c>
      <c r="AE1633" s="2"/>
      <c r="AF1633" s="2"/>
      <c r="AG1633" s="2"/>
      <c r="AH1633" s="2"/>
      <c r="AL1633" s="2">
        <v>30900000</v>
      </c>
      <c r="AM1633" s="2">
        <v>14832000</v>
      </c>
      <c r="AN1633" s="2"/>
      <c r="AO1633" s="2">
        <v>0</v>
      </c>
      <c r="AP1633" s="2">
        <v>16068000</v>
      </c>
      <c r="AQ1633" s="2">
        <v>0</v>
      </c>
      <c r="AR1633" s="2">
        <v>0</v>
      </c>
      <c r="AS1633" s="2">
        <v>0</v>
      </c>
      <c r="AT1633" s="2">
        <v>0</v>
      </c>
      <c r="AU1633" s="2">
        <v>0</v>
      </c>
      <c r="AV1633" s="2">
        <v>0</v>
      </c>
      <c r="AW1633" s="4"/>
      <c r="AX1633" t="s">
        <v>75</v>
      </c>
      <c r="AZ1633" t="s">
        <v>1215</v>
      </c>
      <c r="BA1633" t="s">
        <v>67</v>
      </c>
      <c r="BB1633" t="s">
        <v>1216</v>
      </c>
      <c r="BC1633" t="s">
        <v>770</v>
      </c>
      <c r="BD1633" t="s">
        <v>79</v>
      </c>
      <c r="BE1633" t="s">
        <v>201</v>
      </c>
      <c r="BF1633" s="5">
        <v>46966</v>
      </c>
      <c r="BH1633">
        <v>30</v>
      </c>
      <c r="BI1633" s="6">
        <v>250000</v>
      </c>
      <c r="BJ1633" s="6">
        <v>0</v>
      </c>
      <c r="BK1633" s="6">
        <v>0</v>
      </c>
      <c r="BL1633" s="6">
        <v>250000</v>
      </c>
      <c r="BM1633" s="2">
        <v>7500000</v>
      </c>
      <c r="BN1633">
        <f>InvoiceTable[[#This Row],[Giảm giá]]*InvoiceTable[[#This Row],[Số lượng]]</f>
        <v>0</v>
      </c>
    </row>
    <row r="1634" spans="1:66" x14ac:dyDescent="0.25">
      <c r="A1634" t="s">
        <v>65</v>
      </c>
      <c r="B1634" t="s">
        <v>4182</v>
      </c>
      <c r="F1634" s="2"/>
      <c r="G1634" s="3">
        <v>45999.614842013892</v>
      </c>
      <c r="H1634" s="3">
        <v>45999.614842210649</v>
      </c>
      <c r="I1634" s="4" t="s">
        <v>67</v>
      </c>
      <c r="J1634" t="s">
        <v>67</v>
      </c>
      <c r="K1634" t="s">
        <v>67</v>
      </c>
      <c r="L1634" t="s">
        <v>1854</v>
      </c>
      <c r="M1634" t="s">
        <v>1855</v>
      </c>
      <c r="N1634" t="s">
        <v>67</v>
      </c>
      <c r="O1634" t="s">
        <v>1856</v>
      </c>
      <c r="P1634" t="s">
        <v>1857</v>
      </c>
      <c r="Q1634" t="s">
        <v>1858</v>
      </c>
      <c r="R1634" t="s">
        <v>1859</v>
      </c>
      <c r="S1634" s="5"/>
      <c r="T1634" t="s">
        <v>72</v>
      </c>
      <c r="U1634" t="s">
        <v>87</v>
      </c>
      <c r="V1634" t="s">
        <v>74</v>
      </c>
      <c r="W1634" t="s">
        <v>87</v>
      </c>
      <c r="AE1634" s="2"/>
      <c r="AF1634" s="2"/>
      <c r="AG1634" s="2"/>
      <c r="AH1634" s="2"/>
      <c r="AL1634" s="2">
        <v>1897500</v>
      </c>
      <c r="AM1634" s="2">
        <v>0</v>
      </c>
      <c r="AN1634" s="2"/>
      <c r="AO1634" s="2">
        <v>0</v>
      </c>
      <c r="AP1634" s="2">
        <v>1897500</v>
      </c>
      <c r="AQ1634" s="2">
        <v>0</v>
      </c>
      <c r="AR1634" s="2">
        <v>0</v>
      </c>
      <c r="AS1634" s="2">
        <v>0</v>
      </c>
      <c r="AT1634" s="2">
        <v>0</v>
      </c>
      <c r="AU1634" s="2">
        <v>0</v>
      </c>
      <c r="AV1634" s="2">
        <v>0</v>
      </c>
      <c r="AW1634" s="4"/>
      <c r="AX1634" t="s">
        <v>75</v>
      </c>
      <c r="AZ1634" t="s">
        <v>4183</v>
      </c>
      <c r="BA1634" t="s">
        <v>67</v>
      </c>
      <c r="BB1634" t="s">
        <v>4184</v>
      </c>
      <c r="BC1634" t="s">
        <v>176</v>
      </c>
      <c r="BD1634" t="s">
        <v>79</v>
      </c>
      <c r="BE1634" t="s">
        <v>810</v>
      </c>
      <c r="BF1634" s="5">
        <v>46539</v>
      </c>
      <c r="BH1634">
        <v>3</v>
      </c>
      <c r="BI1634" s="6">
        <v>1150000</v>
      </c>
      <c r="BJ1634" s="6">
        <v>45</v>
      </c>
      <c r="BK1634" s="6">
        <v>517500</v>
      </c>
      <c r="BL1634" s="6">
        <v>632500</v>
      </c>
      <c r="BM1634" s="2">
        <v>1897500</v>
      </c>
      <c r="BN1634">
        <f>InvoiceTable[[#This Row],[Giảm giá]]*InvoiceTable[[#This Row],[Số lượng]]</f>
        <v>1552500</v>
      </c>
    </row>
    <row r="1635" spans="1:66" x14ac:dyDescent="0.25">
      <c r="A1635" t="s">
        <v>65</v>
      </c>
      <c r="B1635" t="s">
        <v>4185</v>
      </c>
      <c r="F1635" s="2"/>
      <c r="G1635" s="3">
        <v>45999.611749340278</v>
      </c>
      <c r="H1635" s="3">
        <v>45999.611749421296</v>
      </c>
      <c r="I1635" s="4" t="s">
        <v>67</v>
      </c>
      <c r="J1635" t="s">
        <v>67</v>
      </c>
      <c r="K1635" t="s">
        <v>67</v>
      </c>
      <c r="L1635" t="s">
        <v>1901</v>
      </c>
      <c r="M1635" t="s">
        <v>1902</v>
      </c>
      <c r="N1635" t="s">
        <v>67</v>
      </c>
      <c r="O1635" t="s">
        <v>1903</v>
      </c>
      <c r="P1635" t="s">
        <v>1904</v>
      </c>
      <c r="Q1635" t="s">
        <v>67</v>
      </c>
      <c r="R1635" t="s">
        <v>67</v>
      </c>
      <c r="S1635" s="5"/>
      <c r="T1635" t="s">
        <v>72</v>
      </c>
      <c r="U1635" t="s">
        <v>87</v>
      </c>
      <c r="V1635" t="s">
        <v>74</v>
      </c>
      <c r="W1635" t="s">
        <v>87</v>
      </c>
      <c r="AE1635" s="2"/>
      <c r="AF1635" s="2"/>
      <c r="AG1635" s="2"/>
      <c r="AH1635" s="2"/>
      <c r="AL1635" s="2">
        <v>6625000</v>
      </c>
      <c r="AM1635" s="2">
        <v>0</v>
      </c>
      <c r="AN1635" s="2"/>
      <c r="AO1635" s="2">
        <v>0</v>
      </c>
      <c r="AP1635" s="2">
        <v>6625000</v>
      </c>
      <c r="AQ1635" s="2">
        <v>0</v>
      </c>
      <c r="AR1635" s="2">
        <v>0</v>
      </c>
      <c r="AS1635" s="2">
        <v>0</v>
      </c>
      <c r="AT1635" s="2">
        <v>0</v>
      </c>
      <c r="AU1635" s="2">
        <v>0</v>
      </c>
      <c r="AV1635" s="2">
        <v>0</v>
      </c>
      <c r="AW1635" s="4"/>
      <c r="AX1635" t="s">
        <v>75</v>
      </c>
      <c r="AZ1635" t="s">
        <v>1215</v>
      </c>
      <c r="BA1635" t="s">
        <v>67</v>
      </c>
      <c r="BB1635" t="s">
        <v>1216</v>
      </c>
      <c r="BC1635" t="s">
        <v>770</v>
      </c>
      <c r="BD1635" t="s">
        <v>79</v>
      </c>
      <c r="BE1635" t="s">
        <v>201</v>
      </c>
      <c r="BF1635" s="5">
        <v>46966</v>
      </c>
      <c r="BH1635">
        <v>50</v>
      </c>
      <c r="BI1635" s="6">
        <v>250000</v>
      </c>
      <c r="BJ1635" s="6">
        <v>47</v>
      </c>
      <c r="BK1635" s="6">
        <v>117500</v>
      </c>
      <c r="BL1635" s="6">
        <v>132500</v>
      </c>
      <c r="BM1635" s="2">
        <v>6625000</v>
      </c>
      <c r="BN1635">
        <f>InvoiceTable[[#This Row],[Giảm giá]]*InvoiceTable[[#This Row],[Số lượng]]</f>
        <v>5875000</v>
      </c>
    </row>
    <row r="1636" spans="1:66" x14ac:dyDescent="0.25">
      <c r="A1636" t="s">
        <v>65</v>
      </c>
      <c r="B1636" t="s">
        <v>4186</v>
      </c>
      <c r="F1636" s="2"/>
      <c r="G1636" s="3">
        <v>45999.609346874997</v>
      </c>
      <c r="H1636" s="3">
        <v>45999.609347256941</v>
      </c>
      <c r="I1636" s="4" t="s">
        <v>67</v>
      </c>
      <c r="J1636" t="s">
        <v>4187</v>
      </c>
      <c r="K1636" t="s">
        <v>67</v>
      </c>
      <c r="L1636" t="s">
        <v>796</v>
      </c>
      <c r="M1636" t="s">
        <v>797</v>
      </c>
      <c r="N1636" t="s">
        <v>67</v>
      </c>
      <c r="O1636" t="s">
        <v>798</v>
      </c>
      <c r="P1636" t="s">
        <v>799</v>
      </c>
      <c r="Q1636" t="s">
        <v>800</v>
      </c>
      <c r="R1636" t="s">
        <v>801</v>
      </c>
      <c r="S1636" s="5"/>
      <c r="T1636" t="s">
        <v>72</v>
      </c>
      <c r="U1636" t="s">
        <v>73</v>
      </c>
      <c r="V1636" t="s">
        <v>74</v>
      </c>
      <c r="W1636" t="s">
        <v>73</v>
      </c>
      <c r="AE1636" s="2"/>
      <c r="AF1636" s="2"/>
      <c r="AG1636" s="2"/>
      <c r="AH1636" s="2"/>
      <c r="AK1636" t="s">
        <v>282</v>
      </c>
      <c r="AL1636" s="2">
        <v>876200</v>
      </c>
      <c r="AM1636" s="2">
        <v>0</v>
      </c>
      <c r="AN1636" s="2"/>
      <c r="AO1636" s="2">
        <v>0</v>
      </c>
      <c r="AP1636" s="2">
        <v>876200</v>
      </c>
      <c r="AQ1636" s="2">
        <v>0</v>
      </c>
      <c r="AR1636" s="2">
        <v>0</v>
      </c>
      <c r="AS1636" s="2">
        <v>0</v>
      </c>
      <c r="AT1636" s="2">
        <v>0</v>
      </c>
      <c r="AU1636" s="2">
        <v>0</v>
      </c>
      <c r="AV1636" s="2">
        <v>0</v>
      </c>
      <c r="AW1636" s="4"/>
      <c r="AX1636" t="s">
        <v>75</v>
      </c>
      <c r="AZ1636" t="s">
        <v>739</v>
      </c>
      <c r="BA1636" t="s">
        <v>67</v>
      </c>
      <c r="BB1636" t="s">
        <v>740</v>
      </c>
      <c r="BC1636" t="s">
        <v>223</v>
      </c>
      <c r="BD1636" t="s">
        <v>79</v>
      </c>
      <c r="BE1636" t="s">
        <v>317</v>
      </c>
      <c r="BF1636" s="5">
        <v>46935</v>
      </c>
      <c r="BH1636">
        <v>1</v>
      </c>
      <c r="BI1636" s="6">
        <v>1685000</v>
      </c>
      <c r="BJ1636" s="6">
        <v>48</v>
      </c>
      <c r="BK1636" s="6">
        <v>808800</v>
      </c>
      <c r="BL1636" s="6">
        <v>876200</v>
      </c>
      <c r="BM1636" s="2">
        <v>876200</v>
      </c>
      <c r="BN1636">
        <f>InvoiceTable[[#This Row],[Giảm giá]]*InvoiceTable[[#This Row],[Số lượng]]</f>
        <v>808800</v>
      </c>
    </row>
    <row r="1637" spans="1:66" x14ac:dyDescent="0.25">
      <c r="A1637" t="s">
        <v>65</v>
      </c>
      <c r="B1637" t="s">
        <v>4188</v>
      </c>
      <c r="F1637" s="2"/>
      <c r="G1637" s="3">
        <v>45999.607480555555</v>
      </c>
      <c r="H1637" s="3">
        <v>45999.607480671293</v>
      </c>
      <c r="I1637" s="4" t="s">
        <v>67</v>
      </c>
      <c r="J1637" t="s">
        <v>4189</v>
      </c>
      <c r="K1637" t="s">
        <v>67</v>
      </c>
      <c r="L1637" t="s">
        <v>1238</v>
      </c>
      <c r="M1637" t="s">
        <v>1239</v>
      </c>
      <c r="N1637" t="s">
        <v>67</v>
      </c>
      <c r="O1637" t="s">
        <v>67</v>
      </c>
      <c r="Q1637" t="s">
        <v>67</v>
      </c>
      <c r="R1637" t="s">
        <v>67</v>
      </c>
      <c r="S1637" s="5"/>
      <c r="T1637" t="s">
        <v>72</v>
      </c>
      <c r="U1637" t="s">
        <v>87</v>
      </c>
      <c r="V1637" t="s">
        <v>74</v>
      </c>
      <c r="W1637" t="s">
        <v>87</v>
      </c>
      <c r="AE1637" s="2"/>
      <c r="AF1637" s="2"/>
      <c r="AG1637" s="2"/>
      <c r="AH1637" s="2"/>
      <c r="AL1637" s="2">
        <v>7827000</v>
      </c>
      <c r="AM1637" s="2">
        <v>0</v>
      </c>
      <c r="AN1637" s="2"/>
      <c r="AO1637" s="2">
        <v>0</v>
      </c>
      <c r="AP1637" s="2">
        <v>7827000</v>
      </c>
      <c r="AQ1637" s="2">
        <v>0</v>
      </c>
      <c r="AR1637" s="2">
        <v>0</v>
      </c>
      <c r="AS1637" s="2">
        <v>0</v>
      </c>
      <c r="AT1637" s="2">
        <v>0</v>
      </c>
      <c r="AU1637" s="2">
        <v>0</v>
      </c>
      <c r="AV1637" s="2">
        <v>0</v>
      </c>
      <c r="AW1637" s="4"/>
      <c r="AX1637" t="s">
        <v>75</v>
      </c>
      <c r="AZ1637" t="s">
        <v>88</v>
      </c>
      <c r="BB1637" t="s">
        <v>89</v>
      </c>
      <c r="BC1637" t="s">
        <v>90</v>
      </c>
      <c r="BF1637" s="5"/>
      <c r="BG1637" t="s">
        <v>67</v>
      </c>
      <c r="BH1637">
        <v>1</v>
      </c>
      <c r="BI1637" s="6">
        <v>35000</v>
      </c>
      <c r="BJ1637" s="6">
        <v>0</v>
      </c>
      <c r="BK1637" s="6">
        <v>0</v>
      </c>
      <c r="BL1637" s="6">
        <v>35000</v>
      </c>
      <c r="BM1637" s="2">
        <v>35000</v>
      </c>
      <c r="BN1637">
        <f>InvoiceTable[[#This Row],[Giảm giá]]*InvoiceTable[[#This Row],[Số lượng]]</f>
        <v>0</v>
      </c>
    </row>
    <row r="1638" spans="1:66" x14ac:dyDescent="0.25">
      <c r="A1638" t="s">
        <v>65</v>
      </c>
      <c r="B1638" t="s">
        <v>4188</v>
      </c>
      <c r="F1638" s="2"/>
      <c r="G1638" s="3">
        <v>45999.607480555555</v>
      </c>
      <c r="H1638" s="3">
        <v>45999.607480671293</v>
      </c>
      <c r="I1638" s="4" t="s">
        <v>67</v>
      </c>
      <c r="J1638" t="s">
        <v>4189</v>
      </c>
      <c r="K1638" t="s">
        <v>67</v>
      </c>
      <c r="L1638" t="s">
        <v>1238</v>
      </c>
      <c r="M1638" t="s">
        <v>1239</v>
      </c>
      <c r="N1638" t="s">
        <v>67</v>
      </c>
      <c r="O1638" t="s">
        <v>67</v>
      </c>
      <c r="Q1638" t="s">
        <v>67</v>
      </c>
      <c r="R1638" t="s">
        <v>67</v>
      </c>
      <c r="S1638" s="5"/>
      <c r="T1638" t="s">
        <v>72</v>
      </c>
      <c r="U1638" t="s">
        <v>87</v>
      </c>
      <c r="V1638" t="s">
        <v>74</v>
      </c>
      <c r="W1638" t="s">
        <v>87</v>
      </c>
      <c r="AE1638" s="2"/>
      <c r="AF1638" s="2"/>
      <c r="AG1638" s="2"/>
      <c r="AH1638" s="2"/>
      <c r="AL1638" s="2">
        <v>7827000</v>
      </c>
      <c r="AM1638" s="2">
        <v>0</v>
      </c>
      <c r="AN1638" s="2"/>
      <c r="AO1638" s="2">
        <v>0</v>
      </c>
      <c r="AP1638" s="2">
        <v>7827000</v>
      </c>
      <c r="AQ1638" s="2">
        <v>0</v>
      </c>
      <c r="AR1638" s="2">
        <v>0</v>
      </c>
      <c r="AS1638" s="2">
        <v>0</v>
      </c>
      <c r="AT1638" s="2">
        <v>0</v>
      </c>
      <c r="AU1638" s="2">
        <v>0</v>
      </c>
      <c r="AV1638" s="2">
        <v>0</v>
      </c>
      <c r="AW1638" s="4"/>
      <c r="AX1638" t="s">
        <v>75</v>
      </c>
      <c r="AZ1638" t="s">
        <v>504</v>
      </c>
      <c r="BA1638" t="s">
        <v>67</v>
      </c>
      <c r="BB1638" t="s">
        <v>505</v>
      </c>
      <c r="BC1638" t="s">
        <v>78</v>
      </c>
      <c r="BD1638" t="s">
        <v>79</v>
      </c>
      <c r="BE1638" t="s">
        <v>1231</v>
      </c>
      <c r="BF1638" s="5">
        <v>47239</v>
      </c>
      <c r="BH1638">
        <v>1</v>
      </c>
      <c r="BI1638" s="6">
        <v>1990000</v>
      </c>
      <c r="BJ1638" s="6">
        <v>50</v>
      </c>
      <c r="BK1638" s="6">
        <v>995000</v>
      </c>
      <c r="BL1638" s="6">
        <v>995000</v>
      </c>
      <c r="BM1638" s="2">
        <v>995000</v>
      </c>
      <c r="BN1638">
        <f>InvoiceTable[[#This Row],[Giảm giá]]*InvoiceTable[[#This Row],[Số lượng]]</f>
        <v>995000</v>
      </c>
    </row>
    <row r="1639" spans="1:66" x14ac:dyDescent="0.25">
      <c r="A1639" t="s">
        <v>65</v>
      </c>
      <c r="B1639" t="s">
        <v>4188</v>
      </c>
      <c r="F1639" s="2"/>
      <c r="G1639" s="3">
        <v>45999.607480555555</v>
      </c>
      <c r="H1639" s="3">
        <v>45999.607480671293</v>
      </c>
      <c r="I1639" s="4" t="s">
        <v>67</v>
      </c>
      <c r="J1639" t="s">
        <v>4189</v>
      </c>
      <c r="K1639" t="s">
        <v>67</v>
      </c>
      <c r="L1639" t="s">
        <v>1238</v>
      </c>
      <c r="M1639" t="s">
        <v>1239</v>
      </c>
      <c r="N1639" t="s">
        <v>67</v>
      </c>
      <c r="O1639" t="s">
        <v>67</v>
      </c>
      <c r="Q1639" t="s">
        <v>67</v>
      </c>
      <c r="R1639" t="s">
        <v>67</v>
      </c>
      <c r="S1639" s="5"/>
      <c r="T1639" t="s">
        <v>72</v>
      </c>
      <c r="U1639" t="s">
        <v>87</v>
      </c>
      <c r="V1639" t="s">
        <v>74</v>
      </c>
      <c r="W1639" t="s">
        <v>87</v>
      </c>
      <c r="AE1639" s="2"/>
      <c r="AF1639" s="2"/>
      <c r="AG1639" s="2"/>
      <c r="AH1639" s="2"/>
      <c r="AL1639" s="2">
        <v>7827000</v>
      </c>
      <c r="AM1639" s="2">
        <v>0</v>
      </c>
      <c r="AN1639" s="2"/>
      <c r="AO1639" s="2">
        <v>0</v>
      </c>
      <c r="AP1639" s="2">
        <v>7827000</v>
      </c>
      <c r="AQ1639" s="2">
        <v>0</v>
      </c>
      <c r="AR1639" s="2">
        <v>0</v>
      </c>
      <c r="AS1639" s="2">
        <v>0</v>
      </c>
      <c r="AT1639" s="2">
        <v>0</v>
      </c>
      <c r="AU1639" s="2">
        <v>0</v>
      </c>
      <c r="AV1639" s="2">
        <v>0</v>
      </c>
      <c r="AW1639" s="4"/>
      <c r="AX1639" t="s">
        <v>75</v>
      </c>
      <c r="AZ1639" t="s">
        <v>806</v>
      </c>
      <c r="BA1639" t="s">
        <v>67</v>
      </c>
      <c r="BB1639" t="s">
        <v>807</v>
      </c>
      <c r="BC1639" t="s">
        <v>78</v>
      </c>
      <c r="BD1639" t="s">
        <v>79</v>
      </c>
      <c r="BE1639" t="s">
        <v>188</v>
      </c>
      <c r="BF1639" s="5">
        <v>46905</v>
      </c>
      <c r="BH1639">
        <v>1</v>
      </c>
      <c r="BI1639" s="6">
        <v>5300000</v>
      </c>
      <c r="BJ1639" s="6">
        <v>50</v>
      </c>
      <c r="BK1639" s="6">
        <v>2650000</v>
      </c>
      <c r="BL1639" s="6">
        <v>2650000</v>
      </c>
      <c r="BM1639" s="2">
        <v>2650000</v>
      </c>
      <c r="BN1639">
        <f>InvoiceTable[[#This Row],[Giảm giá]]*InvoiceTable[[#This Row],[Số lượng]]</f>
        <v>2650000</v>
      </c>
    </row>
    <row r="1640" spans="1:66" x14ac:dyDescent="0.25">
      <c r="A1640" t="s">
        <v>65</v>
      </c>
      <c r="B1640" t="s">
        <v>4188</v>
      </c>
      <c r="F1640" s="2"/>
      <c r="G1640" s="3">
        <v>45999.607480555555</v>
      </c>
      <c r="H1640" s="3">
        <v>45999.607480671293</v>
      </c>
      <c r="I1640" s="4" t="s">
        <v>67</v>
      </c>
      <c r="J1640" t="s">
        <v>4189</v>
      </c>
      <c r="K1640" t="s">
        <v>67</v>
      </c>
      <c r="L1640" t="s">
        <v>1238</v>
      </c>
      <c r="M1640" t="s">
        <v>1239</v>
      </c>
      <c r="N1640" t="s">
        <v>67</v>
      </c>
      <c r="O1640" t="s">
        <v>67</v>
      </c>
      <c r="Q1640" t="s">
        <v>67</v>
      </c>
      <c r="R1640" t="s">
        <v>67</v>
      </c>
      <c r="S1640" s="5"/>
      <c r="T1640" t="s">
        <v>72</v>
      </c>
      <c r="U1640" t="s">
        <v>87</v>
      </c>
      <c r="V1640" t="s">
        <v>74</v>
      </c>
      <c r="W1640" t="s">
        <v>87</v>
      </c>
      <c r="AE1640" s="2"/>
      <c r="AF1640" s="2"/>
      <c r="AG1640" s="2"/>
      <c r="AH1640" s="2"/>
      <c r="AL1640" s="2">
        <v>7827000</v>
      </c>
      <c r="AM1640" s="2">
        <v>0</v>
      </c>
      <c r="AN1640" s="2"/>
      <c r="AO1640" s="2">
        <v>0</v>
      </c>
      <c r="AP1640" s="2">
        <v>7827000</v>
      </c>
      <c r="AQ1640" s="2">
        <v>0</v>
      </c>
      <c r="AR1640" s="2">
        <v>0</v>
      </c>
      <c r="AS1640" s="2">
        <v>0</v>
      </c>
      <c r="AT1640" s="2">
        <v>0</v>
      </c>
      <c r="AU1640" s="2">
        <v>0</v>
      </c>
      <c r="AV1640" s="2">
        <v>0</v>
      </c>
      <c r="AW1640" s="4"/>
      <c r="AX1640" t="s">
        <v>75</v>
      </c>
      <c r="AZ1640" t="s">
        <v>518</v>
      </c>
      <c r="BA1640" t="s">
        <v>67</v>
      </c>
      <c r="BB1640" t="s">
        <v>519</v>
      </c>
      <c r="BC1640" t="s">
        <v>78</v>
      </c>
      <c r="BD1640" t="s">
        <v>79</v>
      </c>
      <c r="BE1640" t="s">
        <v>80</v>
      </c>
      <c r="BF1640" s="5">
        <v>47300</v>
      </c>
      <c r="BH1640">
        <v>1</v>
      </c>
      <c r="BI1640" s="6">
        <v>3500000</v>
      </c>
      <c r="BJ1640" s="6">
        <v>50</v>
      </c>
      <c r="BK1640" s="6">
        <v>1750000</v>
      </c>
      <c r="BL1640" s="6">
        <v>1750000</v>
      </c>
      <c r="BM1640" s="2">
        <v>1750000</v>
      </c>
      <c r="BN1640">
        <f>InvoiceTable[[#This Row],[Giảm giá]]*InvoiceTable[[#This Row],[Số lượng]]</f>
        <v>1750000</v>
      </c>
    </row>
    <row r="1641" spans="1:66" x14ac:dyDescent="0.25">
      <c r="A1641" t="s">
        <v>65</v>
      </c>
      <c r="B1641" t="s">
        <v>4188</v>
      </c>
      <c r="F1641" s="2"/>
      <c r="G1641" s="3">
        <v>45999.607480555555</v>
      </c>
      <c r="H1641" s="3">
        <v>45999.607480671293</v>
      </c>
      <c r="I1641" s="4" t="s">
        <v>67</v>
      </c>
      <c r="J1641" t="s">
        <v>4189</v>
      </c>
      <c r="K1641" t="s">
        <v>67</v>
      </c>
      <c r="L1641" t="s">
        <v>1238</v>
      </c>
      <c r="M1641" t="s">
        <v>1239</v>
      </c>
      <c r="N1641" t="s">
        <v>67</v>
      </c>
      <c r="O1641" t="s">
        <v>67</v>
      </c>
      <c r="Q1641" t="s">
        <v>67</v>
      </c>
      <c r="R1641" t="s">
        <v>67</v>
      </c>
      <c r="S1641" s="5"/>
      <c r="T1641" t="s">
        <v>72</v>
      </c>
      <c r="U1641" t="s">
        <v>87</v>
      </c>
      <c r="V1641" t="s">
        <v>74</v>
      </c>
      <c r="W1641" t="s">
        <v>87</v>
      </c>
      <c r="AE1641" s="2"/>
      <c r="AF1641" s="2"/>
      <c r="AG1641" s="2"/>
      <c r="AH1641" s="2"/>
      <c r="AL1641" s="2">
        <v>7827000</v>
      </c>
      <c r="AM1641" s="2">
        <v>0</v>
      </c>
      <c r="AN1641" s="2"/>
      <c r="AO1641" s="2">
        <v>0</v>
      </c>
      <c r="AP1641" s="2">
        <v>7827000</v>
      </c>
      <c r="AQ1641" s="2">
        <v>0</v>
      </c>
      <c r="AR1641" s="2">
        <v>0</v>
      </c>
      <c r="AS1641" s="2">
        <v>0</v>
      </c>
      <c r="AT1641" s="2">
        <v>0</v>
      </c>
      <c r="AU1641" s="2">
        <v>0</v>
      </c>
      <c r="AV1641" s="2">
        <v>0</v>
      </c>
      <c r="AW1641" s="4"/>
      <c r="AX1641" t="s">
        <v>75</v>
      </c>
      <c r="AZ1641" t="s">
        <v>1408</v>
      </c>
      <c r="BA1641" t="s">
        <v>67</v>
      </c>
      <c r="BB1641" t="s">
        <v>1409</v>
      </c>
      <c r="BC1641" t="s">
        <v>138</v>
      </c>
      <c r="BD1641" t="s">
        <v>79</v>
      </c>
      <c r="BE1641" t="s">
        <v>142</v>
      </c>
      <c r="BF1641" s="5">
        <v>46844</v>
      </c>
      <c r="BH1641">
        <v>1</v>
      </c>
      <c r="BI1641" s="6">
        <v>4700000</v>
      </c>
      <c r="BJ1641" s="6">
        <v>49</v>
      </c>
      <c r="BK1641" s="6">
        <v>2303000</v>
      </c>
      <c r="BL1641" s="6">
        <v>2397000</v>
      </c>
      <c r="BM1641" s="2">
        <v>2397000</v>
      </c>
      <c r="BN1641">
        <f>InvoiceTable[[#This Row],[Giảm giá]]*InvoiceTable[[#This Row],[Số lượng]]</f>
        <v>2303000</v>
      </c>
    </row>
    <row r="1642" spans="1:66" x14ac:dyDescent="0.25">
      <c r="A1642" t="s">
        <v>65</v>
      </c>
      <c r="B1642" t="s">
        <v>4190</v>
      </c>
      <c r="F1642" s="2"/>
      <c r="G1642" s="3">
        <v>45999.605816585645</v>
      </c>
      <c r="H1642" s="3">
        <v>45999.606976238429</v>
      </c>
      <c r="I1642" s="4" t="s">
        <v>67</v>
      </c>
      <c r="J1642" t="s">
        <v>4191</v>
      </c>
      <c r="K1642" t="s">
        <v>67</v>
      </c>
      <c r="L1642" t="s">
        <v>796</v>
      </c>
      <c r="M1642" t="s">
        <v>797</v>
      </c>
      <c r="N1642" t="s">
        <v>67</v>
      </c>
      <c r="O1642" t="s">
        <v>798</v>
      </c>
      <c r="P1642" t="s">
        <v>799</v>
      </c>
      <c r="Q1642" t="s">
        <v>800</v>
      </c>
      <c r="R1642" t="s">
        <v>801</v>
      </c>
      <c r="S1642" s="5"/>
      <c r="T1642" t="s">
        <v>72</v>
      </c>
      <c r="U1642" t="s">
        <v>73</v>
      </c>
      <c r="V1642" t="s">
        <v>74</v>
      </c>
      <c r="W1642" t="s">
        <v>73</v>
      </c>
      <c r="AE1642" s="2"/>
      <c r="AF1642" s="2"/>
      <c r="AG1642" s="2"/>
      <c r="AH1642" s="2"/>
      <c r="AK1642" t="s">
        <v>258</v>
      </c>
      <c r="AL1642" s="2">
        <v>4256392</v>
      </c>
      <c r="AM1642" s="2">
        <v>0</v>
      </c>
      <c r="AN1642" s="2"/>
      <c r="AO1642" s="2">
        <v>0</v>
      </c>
      <c r="AP1642" s="2">
        <v>4256392</v>
      </c>
      <c r="AQ1642" s="2">
        <v>5132592</v>
      </c>
      <c r="AR1642" s="2">
        <v>5132592</v>
      </c>
      <c r="AS1642" s="2">
        <v>0</v>
      </c>
      <c r="AT1642" s="2">
        <v>0</v>
      </c>
      <c r="AU1642" s="2">
        <v>0</v>
      </c>
      <c r="AV1642" s="2">
        <v>0</v>
      </c>
      <c r="AW1642" s="4"/>
      <c r="AX1642" t="s">
        <v>75</v>
      </c>
      <c r="AZ1642" t="s">
        <v>1072</v>
      </c>
      <c r="BA1642" t="s">
        <v>67</v>
      </c>
      <c r="BB1642" t="s">
        <v>1073</v>
      </c>
      <c r="BC1642" t="s">
        <v>204</v>
      </c>
      <c r="BD1642" t="s">
        <v>79</v>
      </c>
      <c r="BE1642" t="s">
        <v>1074</v>
      </c>
      <c r="BF1642" s="5">
        <v>47423</v>
      </c>
      <c r="BG1642" t="s">
        <v>67</v>
      </c>
      <c r="BH1642">
        <v>1</v>
      </c>
      <c r="BI1642" s="6">
        <v>545000</v>
      </c>
      <c r="BJ1642" s="6">
        <v>35</v>
      </c>
      <c r="BK1642" s="6">
        <v>190750</v>
      </c>
      <c r="BL1642" s="6">
        <v>354250</v>
      </c>
      <c r="BM1642" s="2">
        <v>354250</v>
      </c>
      <c r="BN1642">
        <f>InvoiceTable[[#This Row],[Giảm giá]]*InvoiceTable[[#This Row],[Số lượng]]</f>
        <v>190750</v>
      </c>
    </row>
    <row r="1643" spans="1:66" x14ac:dyDescent="0.25">
      <c r="A1643" t="s">
        <v>65</v>
      </c>
      <c r="B1643" t="s">
        <v>4190</v>
      </c>
      <c r="F1643" s="2"/>
      <c r="G1643" s="3">
        <v>45999.605816585645</v>
      </c>
      <c r="H1643" s="3">
        <v>45999.606976238429</v>
      </c>
      <c r="I1643" s="4" t="s">
        <v>67</v>
      </c>
      <c r="J1643" t="s">
        <v>4191</v>
      </c>
      <c r="K1643" t="s">
        <v>67</v>
      </c>
      <c r="L1643" t="s">
        <v>796</v>
      </c>
      <c r="M1643" t="s">
        <v>797</v>
      </c>
      <c r="N1643" t="s">
        <v>67</v>
      </c>
      <c r="O1643" t="s">
        <v>798</v>
      </c>
      <c r="P1643" t="s">
        <v>799</v>
      </c>
      <c r="Q1643" t="s">
        <v>800</v>
      </c>
      <c r="R1643" t="s">
        <v>801</v>
      </c>
      <c r="S1643" s="5"/>
      <c r="T1643" t="s">
        <v>72</v>
      </c>
      <c r="U1643" t="s">
        <v>73</v>
      </c>
      <c r="V1643" t="s">
        <v>74</v>
      </c>
      <c r="W1643" t="s">
        <v>73</v>
      </c>
      <c r="AE1643" s="2"/>
      <c r="AF1643" s="2"/>
      <c r="AG1643" s="2"/>
      <c r="AH1643" s="2"/>
      <c r="AK1643" t="s">
        <v>258</v>
      </c>
      <c r="AL1643" s="2">
        <v>4256392</v>
      </c>
      <c r="AM1643" s="2">
        <v>0</v>
      </c>
      <c r="AN1643" s="2"/>
      <c r="AO1643" s="2">
        <v>0</v>
      </c>
      <c r="AP1643" s="2">
        <v>4256392</v>
      </c>
      <c r="AQ1643" s="2">
        <v>5132592</v>
      </c>
      <c r="AR1643" s="2">
        <v>5132592</v>
      </c>
      <c r="AS1643" s="2">
        <v>0</v>
      </c>
      <c r="AT1643" s="2">
        <v>0</v>
      </c>
      <c r="AU1643" s="2">
        <v>0</v>
      </c>
      <c r="AV1643" s="2">
        <v>0</v>
      </c>
      <c r="AW1643" s="4"/>
      <c r="AX1643" t="s">
        <v>75</v>
      </c>
      <c r="AZ1643" t="s">
        <v>1862</v>
      </c>
      <c r="BA1643" t="s">
        <v>67</v>
      </c>
      <c r="BB1643" t="s">
        <v>1863</v>
      </c>
      <c r="BC1643" t="s">
        <v>721</v>
      </c>
      <c r="BD1643" t="s">
        <v>79</v>
      </c>
      <c r="BE1643" t="s">
        <v>324</v>
      </c>
      <c r="BF1643" s="5">
        <v>47058</v>
      </c>
      <c r="BG1643" t="s">
        <v>67</v>
      </c>
      <c r="BH1643">
        <v>1</v>
      </c>
      <c r="BI1643" s="6">
        <v>1100000</v>
      </c>
      <c r="BJ1643" s="6">
        <v>42</v>
      </c>
      <c r="BK1643" s="6">
        <v>462000</v>
      </c>
      <c r="BL1643" s="6">
        <v>638000</v>
      </c>
      <c r="BM1643" s="2">
        <v>638000</v>
      </c>
      <c r="BN1643">
        <f>InvoiceTable[[#This Row],[Giảm giá]]*InvoiceTable[[#This Row],[Số lượng]]</f>
        <v>462000</v>
      </c>
    </row>
    <row r="1644" spans="1:66" x14ac:dyDescent="0.25">
      <c r="A1644" t="s">
        <v>65</v>
      </c>
      <c r="B1644" t="s">
        <v>4190</v>
      </c>
      <c r="F1644" s="2"/>
      <c r="G1644" s="3">
        <v>45999.605816585645</v>
      </c>
      <c r="H1644" s="3">
        <v>45999.606976238429</v>
      </c>
      <c r="I1644" s="4" t="s">
        <v>67</v>
      </c>
      <c r="J1644" t="s">
        <v>4191</v>
      </c>
      <c r="K1644" t="s">
        <v>67</v>
      </c>
      <c r="L1644" t="s">
        <v>796</v>
      </c>
      <c r="M1644" t="s">
        <v>797</v>
      </c>
      <c r="N1644" t="s">
        <v>67</v>
      </c>
      <c r="O1644" t="s">
        <v>798</v>
      </c>
      <c r="P1644" t="s">
        <v>799</v>
      </c>
      <c r="Q1644" t="s">
        <v>800</v>
      </c>
      <c r="R1644" t="s">
        <v>801</v>
      </c>
      <c r="S1644" s="5"/>
      <c r="T1644" t="s">
        <v>72</v>
      </c>
      <c r="U1644" t="s">
        <v>73</v>
      </c>
      <c r="V1644" t="s">
        <v>74</v>
      </c>
      <c r="W1644" t="s">
        <v>73</v>
      </c>
      <c r="AE1644" s="2"/>
      <c r="AF1644" s="2"/>
      <c r="AG1644" s="2"/>
      <c r="AH1644" s="2"/>
      <c r="AK1644" t="s">
        <v>258</v>
      </c>
      <c r="AL1644" s="2">
        <v>4256392</v>
      </c>
      <c r="AM1644" s="2">
        <v>0</v>
      </c>
      <c r="AN1644" s="2"/>
      <c r="AO1644" s="2">
        <v>0</v>
      </c>
      <c r="AP1644" s="2">
        <v>4256392</v>
      </c>
      <c r="AQ1644" s="2">
        <v>5132592</v>
      </c>
      <c r="AR1644" s="2">
        <v>5132592</v>
      </c>
      <c r="AS1644" s="2">
        <v>0</v>
      </c>
      <c r="AT1644" s="2">
        <v>0</v>
      </c>
      <c r="AU1644" s="2">
        <v>0</v>
      </c>
      <c r="AV1644" s="2">
        <v>0</v>
      </c>
      <c r="AW1644" s="4"/>
      <c r="AX1644" t="s">
        <v>75</v>
      </c>
      <c r="AZ1644" t="s">
        <v>919</v>
      </c>
      <c r="BA1644" t="s">
        <v>67</v>
      </c>
      <c r="BB1644" t="s">
        <v>920</v>
      </c>
      <c r="BC1644" t="s">
        <v>822</v>
      </c>
      <c r="BD1644" t="s">
        <v>79</v>
      </c>
      <c r="BE1644" t="s">
        <v>921</v>
      </c>
      <c r="BF1644" s="5">
        <v>47392</v>
      </c>
      <c r="BG1644" t="s">
        <v>67</v>
      </c>
      <c r="BH1644">
        <v>1</v>
      </c>
      <c r="BI1644" s="6">
        <v>1364727</v>
      </c>
      <c r="BJ1644" s="6">
        <v>42</v>
      </c>
      <c r="BK1644" s="6">
        <v>573185.34</v>
      </c>
      <c r="BL1644" s="6">
        <v>791541.66</v>
      </c>
      <c r="BM1644" s="2">
        <v>791542</v>
      </c>
      <c r="BN1644">
        <f>InvoiceTable[[#This Row],[Giảm giá]]*InvoiceTable[[#This Row],[Số lượng]]</f>
        <v>573185.34</v>
      </c>
    </row>
    <row r="1645" spans="1:66" x14ac:dyDescent="0.25">
      <c r="A1645" t="s">
        <v>65</v>
      </c>
      <c r="B1645" t="s">
        <v>4190</v>
      </c>
      <c r="F1645" s="2"/>
      <c r="G1645" s="3">
        <v>45999.605816585645</v>
      </c>
      <c r="H1645" s="3">
        <v>45999.606976238429</v>
      </c>
      <c r="I1645" s="4" t="s">
        <v>67</v>
      </c>
      <c r="J1645" t="s">
        <v>4191</v>
      </c>
      <c r="K1645" t="s">
        <v>67</v>
      </c>
      <c r="L1645" t="s">
        <v>796</v>
      </c>
      <c r="M1645" t="s">
        <v>797</v>
      </c>
      <c r="N1645" t="s">
        <v>67</v>
      </c>
      <c r="O1645" t="s">
        <v>798</v>
      </c>
      <c r="P1645" t="s">
        <v>799</v>
      </c>
      <c r="Q1645" t="s">
        <v>800</v>
      </c>
      <c r="R1645" t="s">
        <v>801</v>
      </c>
      <c r="S1645" s="5"/>
      <c r="T1645" t="s">
        <v>72</v>
      </c>
      <c r="U1645" t="s">
        <v>73</v>
      </c>
      <c r="V1645" t="s">
        <v>74</v>
      </c>
      <c r="W1645" t="s">
        <v>73</v>
      </c>
      <c r="AE1645" s="2"/>
      <c r="AF1645" s="2"/>
      <c r="AG1645" s="2"/>
      <c r="AH1645" s="2"/>
      <c r="AK1645" t="s">
        <v>258</v>
      </c>
      <c r="AL1645" s="2">
        <v>4256392</v>
      </c>
      <c r="AM1645" s="2">
        <v>0</v>
      </c>
      <c r="AN1645" s="2"/>
      <c r="AO1645" s="2">
        <v>0</v>
      </c>
      <c r="AP1645" s="2">
        <v>4256392</v>
      </c>
      <c r="AQ1645" s="2">
        <v>5132592</v>
      </c>
      <c r="AR1645" s="2">
        <v>5132592</v>
      </c>
      <c r="AS1645" s="2">
        <v>0</v>
      </c>
      <c r="AT1645" s="2">
        <v>0</v>
      </c>
      <c r="AU1645" s="2">
        <v>0</v>
      </c>
      <c r="AV1645" s="2">
        <v>0</v>
      </c>
      <c r="AW1645" s="4"/>
      <c r="AX1645" t="s">
        <v>75</v>
      </c>
      <c r="AZ1645" t="s">
        <v>802</v>
      </c>
      <c r="BA1645" t="s">
        <v>67</v>
      </c>
      <c r="BB1645" t="s">
        <v>803</v>
      </c>
      <c r="BC1645" t="s">
        <v>804</v>
      </c>
      <c r="BD1645" t="s">
        <v>79</v>
      </c>
      <c r="BE1645" t="s">
        <v>159</v>
      </c>
      <c r="BF1645" s="5">
        <v>46478</v>
      </c>
      <c r="BG1645" t="s">
        <v>67</v>
      </c>
      <c r="BH1645">
        <v>1</v>
      </c>
      <c r="BI1645" s="6">
        <v>486000</v>
      </c>
      <c r="BJ1645" s="6">
        <v>30</v>
      </c>
      <c r="BK1645" s="6">
        <v>145800</v>
      </c>
      <c r="BL1645" s="6">
        <v>340200</v>
      </c>
      <c r="BM1645" s="2">
        <v>340200</v>
      </c>
      <c r="BN1645">
        <f>InvoiceTable[[#This Row],[Giảm giá]]*InvoiceTable[[#This Row],[Số lượng]]</f>
        <v>145800</v>
      </c>
    </row>
    <row r="1646" spans="1:66" x14ac:dyDescent="0.25">
      <c r="A1646" t="s">
        <v>65</v>
      </c>
      <c r="B1646" t="s">
        <v>4190</v>
      </c>
      <c r="F1646" s="2"/>
      <c r="G1646" s="3">
        <v>45999.605816585645</v>
      </c>
      <c r="H1646" s="3">
        <v>45999.606976238429</v>
      </c>
      <c r="I1646" s="4" t="s">
        <v>67</v>
      </c>
      <c r="J1646" t="s">
        <v>4191</v>
      </c>
      <c r="K1646" t="s">
        <v>67</v>
      </c>
      <c r="L1646" t="s">
        <v>796</v>
      </c>
      <c r="M1646" t="s">
        <v>797</v>
      </c>
      <c r="N1646" t="s">
        <v>67</v>
      </c>
      <c r="O1646" t="s">
        <v>798</v>
      </c>
      <c r="P1646" t="s">
        <v>799</v>
      </c>
      <c r="Q1646" t="s">
        <v>800</v>
      </c>
      <c r="R1646" t="s">
        <v>801</v>
      </c>
      <c r="S1646" s="5"/>
      <c r="T1646" t="s">
        <v>72</v>
      </c>
      <c r="U1646" t="s">
        <v>73</v>
      </c>
      <c r="V1646" t="s">
        <v>74</v>
      </c>
      <c r="W1646" t="s">
        <v>73</v>
      </c>
      <c r="AE1646" s="2"/>
      <c r="AF1646" s="2"/>
      <c r="AG1646" s="2"/>
      <c r="AH1646" s="2"/>
      <c r="AK1646" t="s">
        <v>258</v>
      </c>
      <c r="AL1646" s="2">
        <v>4256392</v>
      </c>
      <c r="AM1646" s="2">
        <v>0</v>
      </c>
      <c r="AN1646" s="2"/>
      <c r="AO1646" s="2">
        <v>0</v>
      </c>
      <c r="AP1646" s="2">
        <v>4256392</v>
      </c>
      <c r="AQ1646" s="2">
        <v>5132592</v>
      </c>
      <c r="AR1646" s="2">
        <v>5132592</v>
      </c>
      <c r="AS1646" s="2">
        <v>0</v>
      </c>
      <c r="AT1646" s="2">
        <v>0</v>
      </c>
      <c r="AU1646" s="2">
        <v>0</v>
      </c>
      <c r="AV1646" s="2">
        <v>0</v>
      </c>
      <c r="AW1646" s="4"/>
      <c r="AX1646" t="s">
        <v>75</v>
      </c>
      <c r="AZ1646" t="s">
        <v>213</v>
      </c>
      <c r="BA1646" t="s">
        <v>67</v>
      </c>
      <c r="BB1646" t="s">
        <v>214</v>
      </c>
      <c r="BC1646" t="s">
        <v>215</v>
      </c>
      <c r="BD1646" t="s">
        <v>79</v>
      </c>
      <c r="BE1646" t="s">
        <v>216</v>
      </c>
      <c r="BF1646" s="5">
        <v>46784</v>
      </c>
      <c r="BG1646" t="s">
        <v>67</v>
      </c>
      <c r="BH1646">
        <v>1</v>
      </c>
      <c r="BI1646" s="6">
        <v>760000</v>
      </c>
      <c r="BJ1646" s="6">
        <v>50</v>
      </c>
      <c r="BK1646" s="6">
        <v>380000</v>
      </c>
      <c r="BL1646" s="6">
        <v>380000</v>
      </c>
      <c r="BM1646" s="2">
        <v>380000</v>
      </c>
      <c r="BN1646">
        <f>InvoiceTable[[#This Row],[Giảm giá]]*InvoiceTable[[#This Row],[Số lượng]]</f>
        <v>380000</v>
      </c>
    </row>
    <row r="1647" spans="1:66" x14ac:dyDescent="0.25">
      <c r="A1647" t="s">
        <v>65</v>
      </c>
      <c r="B1647" t="s">
        <v>4190</v>
      </c>
      <c r="F1647" s="2"/>
      <c r="G1647" s="3">
        <v>45999.605816585645</v>
      </c>
      <c r="H1647" s="3">
        <v>45999.606976238429</v>
      </c>
      <c r="I1647" s="4" t="s">
        <v>67</v>
      </c>
      <c r="J1647" t="s">
        <v>4191</v>
      </c>
      <c r="K1647" t="s">
        <v>67</v>
      </c>
      <c r="L1647" t="s">
        <v>796</v>
      </c>
      <c r="M1647" t="s">
        <v>797</v>
      </c>
      <c r="N1647" t="s">
        <v>67</v>
      </c>
      <c r="O1647" t="s">
        <v>798</v>
      </c>
      <c r="P1647" t="s">
        <v>799</v>
      </c>
      <c r="Q1647" t="s">
        <v>800</v>
      </c>
      <c r="R1647" t="s">
        <v>801</v>
      </c>
      <c r="S1647" s="5"/>
      <c r="T1647" t="s">
        <v>72</v>
      </c>
      <c r="U1647" t="s">
        <v>73</v>
      </c>
      <c r="V1647" t="s">
        <v>74</v>
      </c>
      <c r="W1647" t="s">
        <v>73</v>
      </c>
      <c r="AE1647" s="2"/>
      <c r="AF1647" s="2"/>
      <c r="AG1647" s="2"/>
      <c r="AH1647" s="2"/>
      <c r="AK1647" t="s">
        <v>258</v>
      </c>
      <c r="AL1647" s="2">
        <v>4256392</v>
      </c>
      <c r="AM1647" s="2">
        <v>0</v>
      </c>
      <c r="AN1647" s="2"/>
      <c r="AO1647" s="2">
        <v>0</v>
      </c>
      <c r="AP1647" s="2">
        <v>4256392</v>
      </c>
      <c r="AQ1647" s="2">
        <v>5132592</v>
      </c>
      <c r="AR1647" s="2">
        <v>5132592</v>
      </c>
      <c r="AS1647" s="2">
        <v>0</v>
      </c>
      <c r="AT1647" s="2">
        <v>0</v>
      </c>
      <c r="AU1647" s="2">
        <v>0</v>
      </c>
      <c r="AV1647" s="2">
        <v>0</v>
      </c>
      <c r="AW1647" s="4"/>
      <c r="AX1647" t="s">
        <v>75</v>
      </c>
      <c r="AZ1647" t="s">
        <v>739</v>
      </c>
      <c r="BA1647" t="s">
        <v>67</v>
      </c>
      <c r="BB1647" t="s">
        <v>740</v>
      </c>
      <c r="BC1647" t="s">
        <v>223</v>
      </c>
      <c r="BD1647" t="s">
        <v>79</v>
      </c>
      <c r="BE1647" t="s">
        <v>741</v>
      </c>
      <c r="BF1647" s="5">
        <v>46963</v>
      </c>
      <c r="BG1647" t="s">
        <v>67</v>
      </c>
      <c r="BH1647">
        <v>2</v>
      </c>
      <c r="BI1647" s="6">
        <v>1685000</v>
      </c>
      <c r="BJ1647" s="6">
        <v>48</v>
      </c>
      <c r="BK1647" s="6">
        <v>808800</v>
      </c>
      <c r="BL1647" s="6">
        <v>876200</v>
      </c>
      <c r="BM1647" s="2">
        <v>1752400</v>
      </c>
      <c r="BN1647">
        <f>InvoiceTable[[#This Row],[Giảm giá]]*InvoiceTable[[#This Row],[Số lượng]]</f>
        <v>1617600</v>
      </c>
    </row>
    <row r="1648" spans="1:66" x14ac:dyDescent="0.25">
      <c r="A1648" t="s">
        <v>65</v>
      </c>
      <c r="B1648" t="s">
        <v>4192</v>
      </c>
      <c r="F1648" s="2"/>
      <c r="G1648" s="3">
        <v>45999.605613460648</v>
      </c>
      <c r="H1648" s="3">
        <v>45999.685914814814</v>
      </c>
      <c r="I1648" s="4" t="s">
        <v>67</v>
      </c>
      <c r="J1648" t="s">
        <v>4193</v>
      </c>
      <c r="K1648" t="s">
        <v>67</v>
      </c>
      <c r="L1648" t="s">
        <v>1223</v>
      </c>
      <c r="M1648" t="s">
        <v>1224</v>
      </c>
      <c r="N1648" t="s">
        <v>1225</v>
      </c>
      <c r="O1648" t="s">
        <v>1226</v>
      </c>
      <c r="P1648" t="s">
        <v>1227</v>
      </c>
      <c r="S1648" s="5"/>
      <c r="T1648" t="s">
        <v>72</v>
      </c>
      <c r="U1648" t="s">
        <v>102</v>
      </c>
      <c r="V1648" t="s">
        <v>74</v>
      </c>
      <c r="W1648" t="s">
        <v>102</v>
      </c>
      <c r="AE1648" s="2"/>
      <c r="AF1648" s="2"/>
      <c r="AG1648" s="2"/>
      <c r="AH1648" s="2"/>
      <c r="AK1648" t="s">
        <v>4107</v>
      </c>
      <c r="AL1648" s="2">
        <v>11765653</v>
      </c>
      <c r="AM1648" s="2">
        <v>0</v>
      </c>
      <c r="AN1648" s="2"/>
      <c r="AO1648" s="2">
        <v>0</v>
      </c>
      <c r="AP1648" s="2">
        <v>11765653</v>
      </c>
      <c r="AQ1648" s="2">
        <v>0</v>
      </c>
      <c r="AR1648" s="2">
        <v>0</v>
      </c>
      <c r="AS1648" s="2">
        <v>0</v>
      </c>
      <c r="AT1648" s="2">
        <v>0</v>
      </c>
      <c r="AU1648" s="2">
        <v>0</v>
      </c>
      <c r="AV1648" s="2">
        <v>0</v>
      </c>
      <c r="AW1648" s="4"/>
      <c r="AX1648" t="s">
        <v>75</v>
      </c>
      <c r="AZ1648" t="s">
        <v>88</v>
      </c>
      <c r="BB1648" t="s">
        <v>89</v>
      </c>
      <c r="BC1648" t="s">
        <v>90</v>
      </c>
      <c r="BF1648" s="5"/>
      <c r="BG1648" t="s">
        <v>67</v>
      </c>
      <c r="BH1648">
        <v>1</v>
      </c>
      <c r="BI1648" s="6">
        <v>30000</v>
      </c>
      <c r="BJ1648" s="6">
        <v>0</v>
      </c>
      <c r="BK1648" s="6">
        <v>0</v>
      </c>
      <c r="BL1648" s="6">
        <v>30000</v>
      </c>
      <c r="BM1648" s="2">
        <v>30000</v>
      </c>
      <c r="BN1648">
        <f>InvoiceTable[[#This Row],[Giảm giá]]*InvoiceTable[[#This Row],[Số lượng]]</f>
        <v>0</v>
      </c>
    </row>
    <row r="1649" spans="1:66" x14ac:dyDescent="0.25">
      <c r="A1649" t="s">
        <v>65</v>
      </c>
      <c r="B1649" t="s">
        <v>4192</v>
      </c>
      <c r="F1649" s="2"/>
      <c r="G1649" s="3">
        <v>45999.605613460648</v>
      </c>
      <c r="H1649" s="3">
        <v>45999.685914814814</v>
      </c>
      <c r="I1649" s="4" t="s">
        <v>67</v>
      </c>
      <c r="J1649" t="s">
        <v>4193</v>
      </c>
      <c r="K1649" t="s">
        <v>67</v>
      </c>
      <c r="L1649" t="s">
        <v>1223</v>
      </c>
      <c r="M1649" t="s">
        <v>1224</v>
      </c>
      <c r="N1649" t="s">
        <v>1225</v>
      </c>
      <c r="O1649" t="s">
        <v>1226</v>
      </c>
      <c r="P1649" t="s">
        <v>1227</v>
      </c>
      <c r="S1649" s="5"/>
      <c r="T1649" t="s">
        <v>72</v>
      </c>
      <c r="U1649" t="s">
        <v>102</v>
      </c>
      <c r="V1649" t="s">
        <v>74</v>
      </c>
      <c r="W1649" t="s">
        <v>102</v>
      </c>
      <c r="AE1649" s="2"/>
      <c r="AF1649" s="2"/>
      <c r="AG1649" s="2"/>
      <c r="AH1649" s="2"/>
      <c r="AK1649" t="s">
        <v>4107</v>
      </c>
      <c r="AL1649" s="2">
        <v>11765653</v>
      </c>
      <c r="AM1649" s="2">
        <v>0</v>
      </c>
      <c r="AN1649" s="2"/>
      <c r="AO1649" s="2">
        <v>0</v>
      </c>
      <c r="AP1649" s="2">
        <v>11765653</v>
      </c>
      <c r="AQ1649" s="2">
        <v>0</v>
      </c>
      <c r="AR1649" s="2">
        <v>0</v>
      </c>
      <c r="AS1649" s="2">
        <v>0</v>
      </c>
      <c r="AT1649" s="2">
        <v>0</v>
      </c>
      <c r="AU1649" s="2">
        <v>0</v>
      </c>
      <c r="AV1649" s="2">
        <v>0</v>
      </c>
      <c r="AW1649" s="4"/>
      <c r="AX1649" t="s">
        <v>75</v>
      </c>
      <c r="AZ1649" t="s">
        <v>143</v>
      </c>
      <c r="BA1649" t="s">
        <v>143</v>
      </c>
      <c r="BB1649" t="s">
        <v>144</v>
      </c>
      <c r="BC1649" t="s">
        <v>138</v>
      </c>
      <c r="BD1649" t="s">
        <v>79</v>
      </c>
      <c r="BE1649" t="s">
        <v>145</v>
      </c>
      <c r="BF1649" s="5">
        <v>46508</v>
      </c>
      <c r="BG1649" t="s">
        <v>67</v>
      </c>
      <c r="BH1649">
        <v>2</v>
      </c>
      <c r="BI1649" s="6">
        <v>1750000</v>
      </c>
      <c r="BJ1649" s="6">
        <v>47</v>
      </c>
      <c r="BK1649" s="6">
        <v>822500</v>
      </c>
      <c r="BL1649" s="6">
        <v>927500</v>
      </c>
      <c r="BM1649" s="2">
        <v>1855000</v>
      </c>
      <c r="BN1649">
        <f>InvoiceTable[[#This Row],[Giảm giá]]*InvoiceTable[[#This Row],[Số lượng]]</f>
        <v>1645000</v>
      </c>
    </row>
    <row r="1650" spans="1:66" x14ac:dyDescent="0.25">
      <c r="A1650" t="s">
        <v>65</v>
      </c>
      <c r="B1650" t="s">
        <v>4192</v>
      </c>
      <c r="F1650" s="2"/>
      <c r="G1650" s="3">
        <v>45999.605613460648</v>
      </c>
      <c r="H1650" s="3">
        <v>45999.685914814814</v>
      </c>
      <c r="I1650" s="4" t="s">
        <v>67</v>
      </c>
      <c r="J1650" t="s">
        <v>4193</v>
      </c>
      <c r="K1650" t="s">
        <v>67</v>
      </c>
      <c r="L1650" t="s">
        <v>1223</v>
      </c>
      <c r="M1650" t="s">
        <v>1224</v>
      </c>
      <c r="N1650" t="s">
        <v>1225</v>
      </c>
      <c r="O1650" t="s">
        <v>1226</v>
      </c>
      <c r="P1650" t="s">
        <v>1227</v>
      </c>
      <c r="S1650" s="5"/>
      <c r="T1650" t="s">
        <v>72</v>
      </c>
      <c r="U1650" t="s">
        <v>102</v>
      </c>
      <c r="V1650" t="s">
        <v>74</v>
      </c>
      <c r="W1650" t="s">
        <v>102</v>
      </c>
      <c r="AE1650" s="2"/>
      <c r="AF1650" s="2"/>
      <c r="AG1650" s="2"/>
      <c r="AH1650" s="2"/>
      <c r="AK1650" t="s">
        <v>4107</v>
      </c>
      <c r="AL1650" s="2">
        <v>11765653</v>
      </c>
      <c r="AM1650" s="2">
        <v>0</v>
      </c>
      <c r="AN1650" s="2"/>
      <c r="AO1650" s="2">
        <v>0</v>
      </c>
      <c r="AP1650" s="2">
        <v>11765653</v>
      </c>
      <c r="AQ1650" s="2">
        <v>0</v>
      </c>
      <c r="AR1650" s="2">
        <v>0</v>
      </c>
      <c r="AS1650" s="2">
        <v>0</v>
      </c>
      <c r="AT1650" s="2">
        <v>0</v>
      </c>
      <c r="AU1650" s="2">
        <v>0</v>
      </c>
      <c r="AV1650" s="2">
        <v>0</v>
      </c>
      <c r="AW1650" s="4"/>
      <c r="AX1650" t="s">
        <v>75</v>
      </c>
      <c r="AZ1650" t="s">
        <v>919</v>
      </c>
      <c r="BA1650" t="s">
        <v>67</v>
      </c>
      <c r="BB1650" t="s">
        <v>920</v>
      </c>
      <c r="BC1650" t="s">
        <v>822</v>
      </c>
      <c r="BD1650" t="s">
        <v>79</v>
      </c>
      <c r="BE1650" t="s">
        <v>921</v>
      </c>
      <c r="BF1650" s="5">
        <v>47392</v>
      </c>
      <c r="BG1650" t="s">
        <v>67</v>
      </c>
      <c r="BH1650">
        <v>1</v>
      </c>
      <c r="BI1650" s="6">
        <v>1364727</v>
      </c>
      <c r="BJ1650" s="6">
        <v>46</v>
      </c>
      <c r="BK1650" s="6">
        <v>627774.42000000004</v>
      </c>
      <c r="BL1650" s="6">
        <v>736952.58</v>
      </c>
      <c r="BM1650" s="2">
        <v>736953</v>
      </c>
      <c r="BN1650">
        <f>InvoiceTable[[#This Row],[Giảm giá]]*InvoiceTable[[#This Row],[Số lượng]]</f>
        <v>627774.42000000004</v>
      </c>
    </row>
    <row r="1651" spans="1:66" x14ac:dyDescent="0.25">
      <c r="A1651" t="s">
        <v>65</v>
      </c>
      <c r="B1651" t="s">
        <v>4192</v>
      </c>
      <c r="F1651" s="2"/>
      <c r="G1651" s="3">
        <v>45999.605613460648</v>
      </c>
      <c r="H1651" s="3">
        <v>45999.685914814814</v>
      </c>
      <c r="I1651" s="4" t="s">
        <v>67</v>
      </c>
      <c r="J1651" t="s">
        <v>4193</v>
      </c>
      <c r="K1651" t="s">
        <v>67</v>
      </c>
      <c r="L1651" t="s">
        <v>1223</v>
      </c>
      <c r="M1651" t="s">
        <v>1224</v>
      </c>
      <c r="N1651" t="s">
        <v>1225</v>
      </c>
      <c r="O1651" t="s">
        <v>1226</v>
      </c>
      <c r="P1651" t="s">
        <v>1227</v>
      </c>
      <c r="S1651" s="5"/>
      <c r="T1651" t="s">
        <v>72</v>
      </c>
      <c r="U1651" t="s">
        <v>102</v>
      </c>
      <c r="V1651" t="s">
        <v>74</v>
      </c>
      <c r="W1651" t="s">
        <v>102</v>
      </c>
      <c r="AE1651" s="2"/>
      <c r="AF1651" s="2"/>
      <c r="AG1651" s="2"/>
      <c r="AH1651" s="2"/>
      <c r="AK1651" t="s">
        <v>4107</v>
      </c>
      <c r="AL1651" s="2">
        <v>11765653</v>
      </c>
      <c r="AM1651" s="2">
        <v>0</v>
      </c>
      <c r="AN1651" s="2"/>
      <c r="AO1651" s="2">
        <v>0</v>
      </c>
      <c r="AP1651" s="2">
        <v>11765653</v>
      </c>
      <c r="AQ1651" s="2">
        <v>0</v>
      </c>
      <c r="AR1651" s="2">
        <v>0</v>
      </c>
      <c r="AS1651" s="2">
        <v>0</v>
      </c>
      <c r="AT1651" s="2">
        <v>0</v>
      </c>
      <c r="AU1651" s="2">
        <v>0</v>
      </c>
      <c r="AV1651" s="2">
        <v>0</v>
      </c>
      <c r="AW1651" s="4"/>
      <c r="AX1651" t="s">
        <v>75</v>
      </c>
      <c r="AZ1651" t="s">
        <v>340</v>
      </c>
      <c r="BA1651" t="s">
        <v>67</v>
      </c>
      <c r="BB1651" t="s">
        <v>341</v>
      </c>
      <c r="BC1651" t="s">
        <v>204</v>
      </c>
      <c r="BD1651" t="s">
        <v>79</v>
      </c>
      <c r="BE1651" t="s">
        <v>334</v>
      </c>
      <c r="BF1651" s="5">
        <v>47209</v>
      </c>
      <c r="BH1651">
        <v>1</v>
      </c>
      <c r="BI1651" s="6">
        <v>710000</v>
      </c>
      <c r="BJ1651" s="6">
        <v>40</v>
      </c>
      <c r="BK1651" s="6">
        <v>284000</v>
      </c>
      <c r="BL1651" s="6">
        <v>426000</v>
      </c>
      <c r="BM1651" s="2">
        <v>426000</v>
      </c>
      <c r="BN1651">
        <f>InvoiceTable[[#This Row],[Giảm giá]]*InvoiceTable[[#This Row],[Số lượng]]</f>
        <v>284000</v>
      </c>
    </row>
    <row r="1652" spans="1:66" x14ac:dyDescent="0.25">
      <c r="A1652" t="s">
        <v>65</v>
      </c>
      <c r="B1652" t="s">
        <v>4192</v>
      </c>
      <c r="F1652" s="2"/>
      <c r="G1652" s="3">
        <v>45999.605613460648</v>
      </c>
      <c r="H1652" s="3">
        <v>45999.685914814814</v>
      </c>
      <c r="I1652" s="4" t="s">
        <v>67</v>
      </c>
      <c r="J1652" t="s">
        <v>4193</v>
      </c>
      <c r="K1652" t="s">
        <v>67</v>
      </c>
      <c r="L1652" t="s">
        <v>1223</v>
      </c>
      <c r="M1652" t="s">
        <v>1224</v>
      </c>
      <c r="N1652" t="s">
        <v>1225</v>
      </c>
      <c r="O1652" t="s">
        <v>1226</v>
      </c>
      <c r="P1652" t="s">
        <v>1227</v>
      </c>
      <c r="S1652" s="5"/>
      <c r="T1652" t="s">
        <v>72</v>
      </c>
      <c r="U1652" t="s">
        <v>102</v>
      </c>
      <c r="V1652" t="s">
        <v>74</v>
      </c>
      <c r="W1652" t="s">
        <v>102</v>
      </c>
      <c r="AE1652" s="2"/>
      <c r="AF1652" s="2"/>
      <c r="AG1652" s="2"/>
      <c r="AH1652" s="2"/>
      <c r="AK1652" t="s">
        <v>4107</v>
      </c>
      <c r="AL1652" s="2">
        <v>11765653</v>
      </c>
      <c r="AM1652" s="2">
        <v>0</v>
      </c>
      <c r="AN1652" s="2"/>
      <c r="AO1652" s="2">
        <v>0</v>
      </c>
      <c r="AP1652" s="2">
        <v>11765653</v>
      </c>
      <c r="AQ1652" s="2">
        <v>0</v>
      </c>
      <c r="AR1652" s="2">
        <v>0</v>
      </c>
      <c r="AS1652" s="2">
        <v>0</v>
      </c>
      <c r="AT1652" s="2">
        <v>0</v>
      </c>
      <c r="AU1652" s="2">
        <v>0</v>
      </c>
      <c r="AV1652" s="2">
        <v>0</v>
      </c>
      <c r="AW1652" s="4"/>
      <c r="AX1652" t="s">
        <v>75</v>
      </c>
      <c r="AZ1652" t="s">
        <v>3750</v>
      </c>
      <c r="BA1652" t="s">
        <v>67</v>
      </c>
      <c r="BB1652" t="s">
        <v>3751</v>
      </c>
      <c r="BC1652" t="s">
        <v>204</v>
      </c>
      <c r="BD1652" t="s">
        <v>79</v>
      </c>
      <c r="BE1652" t="s">
        <v>1231</v>
      </c>
      <c r="BF1652" s="5">
        <v>47239</v>
      </c>
      <c r="BH1652">
        <v>1</v>
      </c>
      <c r="BI1652" s="6">
        <v>610000</v>
      </c>
      <c r="BJ1652" s="6">
        <v>40</v>
      </c>
      <c r="BK1652" s="6">
        <v>244000</v>
      </c>
      <c r="BL1652" s="6">
        <v>366000</v>
      </c>
      <c r="BM1652" s="2">
        <v>366000</v>
      </c>
      <c r="BN1652">
        <f>InvoiceTable[[#This Row],[Giảm giá]]*InvoiceTable[[#This Row],[Số lượng]]</f>
        <v>244000</v>
      </c>
    </row>
    <row r="1653" spans="1:66" x14ac:dyDescent="0.25">
      <c r="A1653" t="s">
        <v>65</v>
      </c>
      <c r="B1653" t="s">
        <v>4192</v>
      </c>
      <c r="F1653" s="2"/>
      <c r="G1653" s="3">
        <v>45999.605613460648</v>
      </c>
      <c r="H1653" s="3">
        <v>45999.685914814814</v>
      </c>
      <c r="I1653" s="4" t="s">
        <v>67</v>
      </c>
      <c r="J1653" t="s">
        <v>4193</v>
      </c>
      <c r="K1653" t="s">
        <v>67</v>
      </c>
      <c r="L1653" t="s">
        <v>1223</v>
      </c>
      <c r="M1653" t="s">
        <v>1224</v>
      </c>
      <c r="N1653" t="s">
        <v>1225</v>
      </c>
      <c r="O1653" t="s">
        <v>1226</v>
      </c>
      <c r="P1653" t="s">
        <v>1227</v>
      </c>
      <c r="S1653" s="5"/>
      <c r="T1653" t="s">
        <v>72</v>
      </c>
      <c r="U1653" t="s">
        <v>102</v>
      </c>
      <c r="V1653" t="s">
        <v>74</v>
      </c>
      <c r="W1653" t="s">
        <v>102</v>
      </c>
      <c r="AE1653" s="2"/>
      <c r="AF1653" s="2"/>
      <c r="AG1653" s="2"/>
      <c r="AH1653" s="2"/>
      <c r="AK1653" t="s">
        <v>4107</v>
      </c>
      <c r="AL1653" s="2">
        <v>11765653</v>
      </c>
      <c r="AM1653" s="2">
        <v>0</v>
      </c>
      <c r="AN1653" s="2"/>
      <c r="AO1653" s="2">
        <v>0</v>
      </c>
      <c r="AP1653" s="2">
        <v>11765653</v>
      </c>
      <c r="AQ1653" s="2">
        <v>0</v>
      </c>
      <c r="AR1653" s="2">
        <v>0</v>
      </c>
      <c r="AS1653" s="2">
        <v>0</v>
      </c>
      <c r="AT1653" s="2">
        <v>0</v>
      </c>
      <c r="AU1653" s="2">
        <v>0</v>
      </c>
      <c r="AV1653" s="2">
        <v>0</v>
      </c>
      <c r="AW1653" s="4"/>
      <c r="AX1653" t="s">
        <v>75</v>
      </c>
      <c r="AZ1653" t="s">
        <v>4006</v>
      </c>
      <c r="BA1653" t="s">
        <v>67</v>
      </c>
      <c r="BB1653" t="s">
        <v>4007</v>
      </c>
      <c r="BC1653" t="s">
        <v>3990</v>
      </c>
      <c r="BD1653" t="s">
        <v>79</v>
      </c>
      <c r="BE1653" t="s">
        <v>131</v>
      </c>
      <c r="BF1653" s="5">
        <v>46874</v>
      </c>
      <c r="BH1653">
        <v>1</v>
      </c>
      <c r="BI1653" s="6">
        <v>2420000</v>
      </c>
      <c r="BJ1653" s="6">
        <v>45</v>
      </c>
      <c r="BK1653" s="6">
        <v>1089000</v>
      </c>
      <c r="BL1653" s="6">
        <v>1331000</v>
      </c>
      <c r="BM1653" s="2">
        <v>1331000</v>
      </c>
      <c r="BN1653">
        <f>InvoiceTable[[#This Row],[Giảm giá]]*InvoiceTable[[#This Row],[Số lượng]]</f>
        <v>1089000</v>
      </c>
    </row>
    <row r="1654" spans="1:66" x14ac:dyDescent="0.25">
      <c r="A1654" t="s">
        <v>65</v>
      </c>
      <c r="B1654" t="s">
        <v>4192</v>
      </c>
      <c r="F1654" s="2"/>
      <c r="G1654" s="3">
        <v>45999.605613460648</v>
      </c>
      <c r="H1654" s="3">
        <v>45999.685914814814</v>
      </c>
      <c r="I1654" s="4" t="s">
        <v>67</v>
      </c>
      <c r="J1654" t="s">
        <v>4193</v>
      </c>
      <c r="K1654" t="s">
        <v>67</v>
      </c>
      <c r="L1654" t="s">
        <v>1223</v>
      </c>
      <c r="M1654" t="s">
        <v>1224</v>
      </c>
      <c r="N1654" t="s">
        <v>1225</v>
      </c>
      <c r="O1654" t="s">
        <v>1226</v>
      </c>
      <c r="P1654" t="s">
        <v>1227</v>
      </c>
      <c r="S1654" s="5"/>
      <c r="T1654" t="s">
        <v>72</v>
      </c>
      <c r="U1654" t="s">
        <v>102</v>
      </c>
      <c r="V1654" t="s">
        <v>74</v>
      </c>
      <c r="W1654" t="s">
        <v>102</v>
      </c>
      <c r="AE1654" s="2"/>
      <c r="AF1654" s="2"/>
      <c r="AG1654" s="2"/>
      <c r="AH1654" s="2"/>
      <c r="AK1654" t="s">
        <v>4107</v>
      </c>
      <c r="AL1654" s="2">
        <v>11765653</v>
      </c>
      <c r="AM1654" s="2">
        <v>0</v>
      </c>
      <c r="AN1654" s="2"/>
      <c r="AO1654" s="2">
        <v>0</v>
      </c>
      <c r="AP1654" s="2">
        <v>11765653</v>
      </c>
      <c r="AQ1654" s="2">
        <v>0</v>
      </c>
      <c r="AR1654" s="2">
        <v>0</v>
      </c>
      <c r="AS1654" s="2">
        <v>0</v>
      </c>
      <c r="AT1654" s="2">
        <v>0</v>
      </c>
      <c r="AU1654" s="2">
        <v>0</v>
      </c>
      <c r="AV1654" s="2">
        <v>0</v>
      </c>
      <c r="AW1654" s="4"/>
      <c r="AX1654" t="s">
        <v>75</v>
      </c>
      <c r="AZ1654" t="s">
        <v>4194</v>
      </c>
      <c r="BA1654" t="s">
        <v>67</v>
      </c>
      <c r="BB1654" t="s">
        <v>4195</v>
      </c>
      <c r="BC1654" t="s">
        <v>138</v>
      </c>
      <c r="BD1654" t="s">
        <v>79</v>
      </c>
      <c r="BE1654" t="s">
        <v>434</v>
      </c>
      <c r="BF1654" s="5">
        <v>46661</v>
      </c>
      <c r="BH1654">
        <v>2</v>
      </c>
      <c r="BI1654" s="6">
        <v>850000</v>
      </c>
      <c r="BJ1654" s="6">
        <v>47</v>
      </c>
      <c r="BK1654" s="6">
        <v>399500</v>
      </c>
      <c r="BL1654" s="6">
        <v>450500</v>
      </c>
      <c r="BM1654" s="2">
        <v>901000</v>
      </c>
      <c r="BN1654">
        <f>InvoiceTable[[#This Row],[Giảm giá]]*InvoiceTable[[#This Row],[Số lượng]]</f>
        <v>799000</v>
      </c>
    </row>
    <row r="1655" spans="1:66" x14ac:dyDescent="0.25">
      <c r="A1655" t="s">
        <v>65</v>
      </c>
      <c r="B1655" t="s">
        <v>4192</v>
      </c>
      <c r="F1655" s="2"/>
      <c r="G1655" s="3">
        <v>45999.605613460648</v>
      </c>
      <c r="H1655" s="3">
        <v>45999.685914814814</v>
      </c>
      <c r="I1655" s="4" t="s">
        <v>67</v>
      </c>
      <c r="J1655" t="s">
        <v>4193</v>
      </c>
      <c r="K1655" t="s">
        <v>67</v>
      </c>
      <c r="L1655" t="s">
        <v>1223</v>
      </c>
      <c r="M1655" t="s">
        <v>1224</v>
      </c>
      <c r="N1655" t="s">
        <v>1225</v>
      </c>
      <c r="O1655" t="s">
        <v>1226</v>
      </c>
      <c r="P1655" t="s">
        <v>1227</v>
      </c>
      <c r="S1655" s="5"/>
      <c r="T1655" t="s">
        <v>72</v>
      </c>
      <c r="U1655" t="s">
        <v>102</v>
      </c>
      <c r="V1655" t="s">
        <v>74</v>
      </c>
      <c r="W1655" t="s">
        <v>102</v>
      </c>
      <c r="AE1655" s="2"/>
      <c r="AF1655" s="2"/>
      <c r="AG1655" s="2"/>
      <c r="AH1655" s="2"/>
      <c r="AK1655" t="s">
        <v>4107</v>
      </c>
      <c r="AL1655" s="2">
        <v>11765653</v>
      </c>
      <c r="AM1655" s="2">
        <v>0</v>
      </c>
      <c r="AN1655" s="2"/>
      <c r="AO1655" s="2">
        <v>0</v>
      </c>
      <c r="AP1655" s="2">
        <v>11765653</v>
      </c>
      <c r="AQ1655" s="2">
        <v>0</v>
      </c>
      <c r="AR1655" s="2">
        <v>0</v>
      </c>
      <c r="AS1655" s="2">
        <v>0</v>
      </c>
      <c r="AT1655" s="2">
        <v>0</v>
      </c>
      <c r="AU1655" s="2">
        <v>0</v>
      </c>
      <c r="AV1655" s="2">
        <v>0</v>
      </c>
      <c r="AW1655" s="4"/>
      <c r="AX1655" t="s">
        <v>75</v>
      </c>
      <c r="AZ1655" t="s">
        <v>4098</v>
      </c>
      <c r="BA1655" t="s">
        <v>67</v>
      </c>
      <c r="BB1655" t="s">
        <v>4099</v>
      </c>
      <c r="BC1655" t="s">
        <v>126</v>
      </c>
      <c r="BD1655" t="s">
        <v>79</v>
      </c>
      <c r="BE1655" t="s">
        <v>810</v>
      </c>
      <c r="BF1655" s="5">
        <v>46539</v>
      </c>
      <c r="BH1655">
        <v>2</v>
      </c>
      <c r="BI1655" s="6">
        <v>550000</v>
      </c>
      <c r="BJ1655" s="6">
        <v>0</v>
      </c>
      <c r="BK1655" s="6">
        <v>320000</v>
      </c>
      <c r="BL1655" s="6">
        <v>230000</v>
      </c>
      <c r="BM1655" s="2">
        <v>460000</v>
      </c>
      <c r="BN1655">
        <f>InvoiceTable[[#This Row],[Giảm giá]]*InvoiceTable[[#This Row],[Số lượng]]</f>
        <v>640000</v>
      </c>
    </row>
    <row r="1656" spans="1:66" x14ac:dyDescent="0.25">
      <c r="A1656" t="s">
        <v>65</v>
      </c>
      <c r="B1656" t="s">
        <v>4192</v>
      </c>
      <c r="F1656" s="2"/>
      <c r="G1656" s="3">
        <v>45999.605613460648</v>
      </c>
      <c r="H1656" s="3">
        <v>45999.685914814814</v>
      </c>
      <c r="I1656" s="4" t="s">
        <v>67</v>
      </c>
      <c r="J1656" t="s">
        <v>4193</v>
      </c>
      <c r="K1656" t="s">
        <v>67</v>
      </c>
      <c r="L1656" t="s">
        <v>1223</v>
      </c>
      <c r="M1656" t="s">
        <v>1224</v>
      </c>
      <c r="N1656" t="s">
        <v>1225</v>
      </c>
      <c r="O1656" t="s">
        <v>1226</v>
      </c>
      <c r="P1656" t="s">
        <v>1227</v>
      </c>
      <c r="S1656" s="5"/>
      <c r="T1656" t="s">
        <v>72</v>
      </c>
      <c r="U1656" t="s">
        <v>102</v>
      </c>
      <c r="V1656" t="s">
        <v>74</v>
      </c>
      <c r="W1656" t="s">
        <v>102</v>
      </c>
      <c r="AE1656" s="2"/>
      <c r="AF1656" s="2"/>
      <c r="AG1656" s="2"/>
      <c r="AH1656" s="2"/>
      <c r="AK1656" t="s">
        <v>4107</v>
      </c>
      <c r="AL1656" s="2">
        <v>11765653</v>
      </c>
      <c r="AM1656" s="2">
        <v>0</v>
      </c>
      <c r="AN1656" s="2"/>
      <c r="AO1656" s="2">
        <v>0</v>
      </c>
      <c r="AP1656" s="2">
        <v>11765653</v>
      </c>
      <c r="AQ1656" s="2">
        <v>0</v>
      </c>
      <c r="AR1656" s="2">
        <v>0</v>
      </c>
      <c r="AS1656" s="2">
        <v>0</v>
      </c>
      <c r="AT1656" s="2">
        <v>0</v>
      </c>
      <c r="AU1656" s="2">
        <v>0</v>
      </c>
      <c r="AV1656" s="2">
        <v>0</v>
      </c>
      <c r="AW1656" s="4"/>
      <c r="AX1656" t="s">
        <v>75</v>
      </c>
      <c r="AZ1656" t="s">
        <v>4196</v>
      </c>
      <c r="BA1656" t="s">
        <v>67</v>
      </c>
      <c r="BB1656" t="s">
        <v>4197</v>
      </c>
      <c r="BC1656" t="s">
        <v>78</v>
      </c>
      <c r="BD1656" t="s">
        <v>79</v>
      </c>
      <c r="BE1656" t="s">
        <v>273</v>
      </c>
      <c r="BF1656" s="5">
        <v>46266</v>
      </c>
      <c r="BH1656">
        <v>2</v>
      </c>
      <c r="BI1656" s="6">
        <v>1550000</v>
      </c>
      <c r="BJ1656" s="6">
        <v>47</v>
      </c>
      <c r="BK1656" s="6">
        <v>728500</v>
      </c>
      <c r="BL1656" s="6">
        <v>821500</v>
      </c>
      <c r="BM1656" s="2">
        <v>1643000</v>
      </c>
      <c r="BN1656">
        <f>InvoiceTable[[#This Row],[Giảm giá]]*InvoiceTable[[#This Row],[Số lượng]]</f>
        <v>1457000</v>
      </c>
    </row>
    <row r="1657" spans="1:66" x14ac:dyDescent="0.25">
      <c r="A1657" t="s">
        <v>65</v>
      </c>
      <c r="B1657" t="s">
        <v>4192</v>
      </c>
      <c r="F1657" s="2"/>
      <c r="G1657" s="3">
        <v>45999.605613460648</v>
      </c>
      <c r="H1657" s="3">
        <v>45999.685914814814</v>
      </c>
      <c r="I1657" s="4" t="s">
        <v>67</v>
      </c>
      <c r="J1657" t="s">
        <v>4193</v>
      </c>
      <c r="K1657" t="s">
        <v>67</v>
      </c>
      <c r="L1657" t="s">
        <v>1223</v>
      </c>
      <c r="M1657" t="s">
        <v>1224</v>
      </c>
      <c r="N1657" t="s">
        <v>1225</v>
      </c>
      <c r="O1657" t="s">
        <v>1226</v>
      </c>
      <c r="P1657" t="s">
        <v>1227</v>
      </c>
      <c r="S1657" s="5"/>
      <c r="T1657" t="s">
        <v>72</v>
      </c>
      <c r="U1657" t="s">
        <v>102</v>
      </c>
      <c r="V1657" t="s">
        <v>74</v>
      </c>
      <c r="W1657" t="s">
        <v>102</v>
      </c>
      <c r="AE1657" s="2"/>
      <c r="AF1657" s="2"/>
      <c r="AG1657" s="2"/>
      <c r="AH1657" s="2"/>
      <c r="AK1657" t="s">
        <v>4107</v>
      </c>
      <c r="AL1657" s="2">
        <v>11765653</v>
      </c>
      <c r="AM1657" s="2">
        <v>0</v>
      </c>
      <c r="AN1657" s="2"/>
      <c r="AO1657" s="2">
        <v>0</v>
      </c>
      <c r="AP1657" s="2">
        <v>11765653</v>
      </c>
      <c r="AQ1657" s="2">
        <v>0</v>
      </c>
      <c r="AR1657" s="2">
        <v>0</v>
      </c>
      <c r="AS1657" s="2">
        <v>0</v>
      </c>
      <c r="AT1657" s="2">
        <v>0</v>
      </c>
      <c r="AU1657" s="2">
        <v>0</v>
      </c>
      <c r="AV1657" s="2">
        <v>0</v>
      </c>
      <c r="AW1657" s="4"/>
      <c r="AX1657" t="s">
        <v>75</v>
      </c>
      <c r="AZ1657" t="s">
        <v>4198</v>
      </c>
      <c r="BA1657" t="s">
        <v>67</v>
      </c>
      <c r="BB1657" t="s">
        <v>4199</v>
      </c>
      <c r="BC1657" t="s">
        <v>78</v>
      </c>
      <c r="BD1657" t="s">
        <v>79</v>
      </c>
      <c r="BE1657" t="s">
        <v>145</v>
      </c>
      <c r="BF1657" s="5">
        <v>46508</v>
      </c>
      <c r="BH1657">
        <v>2</v>
      </c>
      <c r="BI1657" s="6">
        <v>2700000</v>
      </c>
      <c r="BJ1657" s="6">
        <v>47</v>
      </c>
      <c r="BK1657" s="6">
        <v>1269000</v>
      </c>
      <c r="BL1657" s="6">
        <v>1431000</v>
      </c>
      <c r="BM1657" s="2">
        <v>2862000</v>
      </c>
      <c r="BN1657">
        <f>InvoiceTable[[#This Row],[Giảm giá]]*InvoiceTable[[#This Row],[Số lượng]]</f>
        <v>2538000</v>
      </c>
    </row>
    <row r="1658" spans="1:66" x14ac:dyDescent="0.25">
      <c r="A1658" t="s">
        <v>65</v>
      </c>
      <c r="B1658" t="s">
        <v>4192</v>
      </c>
      <c r="F1658" s="2"/>
      <c r="G1658" s="3">
        <v>45999.605613460648</v>
      </c>
      <c r="H1658" s="3">
        <v>45999.685914814814</v>
      </c>
      <c r="I1658" s="4" t="s">
        <v>67</v>
      </c>
      <c r="J1658" t="s">
        <v>4193</v>
      </c>
      <c r="K1658" t="s">
        <v>67</v>
      </c>
      <c r="L1658" t="s">
        <v>1223</v>
      </c>
      <c r="M1658" t="s">
        <v>1224</v>
      </c>
      <c r="N1658" t="s">
        <v>1225</v>
      </c>
      <c r="O1658" t="s">
        <v>1226</v>
      </c>
      <c r="P1658" t="s">
        <v>1227</v>
      </c>
      <c r="S1658" s="5"/>
      <c r="T1658" t="s">
        <v>72</v>
      </c>
      <c r="U1658" t="s">
        <v>102</v>
      </c>
      <c r="V1658" t="s">
        <v>74</v>
      </c>
      <c r="W1658" t="s">
        <v>102</v>
      </c>
      <c r="AE1658" s="2"/>
      <c r="AF1658" s="2"/>
      <c r="AG1658" s="2"/>
      <c r="AH1658" s="2"/>
      <c r="AK1658" t="s">
        <v>4107</v>
      </c>
      <c r="AL1658" s="2">
        <v>11765653</v>
      </c>
      <c r="AM1658" s="2">
        <v>0</v>
      </c>
      <c r="AN1658" s="2"/>
      <c r="AO1658" s="2">
        <v>0</v>
      </c>
      <c r="AP1658" s="2">
        <v>11765653</v>
      </c>
      <c r="AQ1658" s="2">
        <v>0</v>
      </c>
      <c r="AR1658" s="2">
        <v>0</v>
      </c>
      <c r="AS1658" s="2">
        <v>0</v>
      </c>
      <c r="AT1658" s="2">
        <v>0</v>
      </c>
      <c r="AU1658" s="2">
        <v>0</v>
      </c>
      <c r="AV1658" s="2">
        <v>0</v>
      </c>
      <c r="AW1658" s="4"/>
      <c r="AX1658" t="s">
        <v>75</v>
      </c>
      <c r="AZ1658" t="s">
        <v>4200</v>
      </c>
      <c r="BA1658" t="s">
        <v>67</v>
      </c>
      <c r="BB1658" t="s">
        <v>4201</v>
      </c>
      <c r="BC1658" t="s">
        <v>138</v>
      </c>
      <c r="BD1658" t="s">
        <v>79</v>
      </c>
      <c r="BE1658" t="s">
        <v>159</v>
      </c>
      <c r="BF1658" s="5">
        <v>46478</v>
      </c>
      <c r="BH1658">
        <v>1</v>
      </c>
      <c r="BI1658" s="6">
        <v>990000</v>
      </c>
      <c r="BJ1658" s="6">
        <v>47</v>
      </c>
      <c r="BK1658" s="6">
        <v>465300</v>
      </c>
      <c r="BL1658" s="6">
        <v>524700</v>
      </c>
      <c r="BM1658" s="2">
        <v>524700</v>
      </c>
      <c r="BN1658">
        <f>InvoiceTable[[#This Row],[Giảm giá]]*InvoiceTable[[#This Row],[Số lượng]]</f>
        <v>465300</v>
      </c>
    </row>
    <row r="1659" spans="1:66" x14ac:dyDescent="0.25">
      <c r="A1659" t="s">
        <v>65</v>
      </c>
      <c r="B1659" t="s">
        <v>4192</v>
      </c>
      <c r="F1659" s="2"/>
      <c r="G1659" s="3">
        <v>45999.605613460648</v>
      </c>
      <c r="H1659" s="3">
        <v>45999.685914814814</v>
      </c>
      <c r="I1659" s="4" t="s">
        <v>67</v>
      </c>
      <c r="J1659" t="s">
        <v>4193</v>
      </c>
      <c r="K1659" t="s">
        <v>67</v>
      </c>
      <c r="L1659" t="s">
        <v>1223</v>
      </c>
      <c r="M1659" t="s">
        <v>1224</v>
      </c>
      <c r="N1659" t="s">
        <v>1225</v>
      </c>
      <c r="O1659" t="s">
        <v>1226</v>
      </c>
      <c r="P1659" t="s">
        <v>1227</v>
      </c>
      <c r="S1659" s="5"/>
      <c r="T1659" t="s">
        <v>72</v>
      </c>
      <c r="U1659" t="s">
        <v>102</v>
      </c>
      <c r="V1659" t="s">
        <v>74</v>
      </c>
      <c r="W1659" t="s">
        <v>102</v>
      </c>
      <c r="AE1659" s="2"/>
      <c r="AF1659" s="2"/>
      <c r="AG1659" s="2"/>
      <c r="AH1659" s="2"/>
      <c r="AK1659" t="s">
        <v>4107</v>
      </c>
      <c r="AL1659" s="2">
        <v>11765653</v>
      </c>
      <c r="AM1659" s="2">
        <v>0</v>
      </c>
      <c r="AN1659" s="2"/>
      <c r="AO1659" s="2">
        <v>0</v>
      </c>
      <c r="AP1659" s="2">
        <v>11765653</v>
      </c>
      <c r="AQ1659" s="2">
        <v>0</v>
      </c>
      <c r="AR1659" s="2">
        <v>0</v>
      </c>
      <c r="AS1659" s="2">
        <v>0</v>
      </c>
      <c r="AT1659" s="2">
        <v>0</v>
      </c>
      <c r="AU1659" s="2">
        <v>0</v>
      </c>
      <c r="AV1659" s="2">
        <v>0</v>
      </c>
      <c r="AW1659" s="4"/>
      <c r="AX1659" t="s">
        <v>75</v>
      </c>
      <c r="AZ1659" t="s">
        <v>124</v>
      </c>
      <c r="BA1659" t="s">
        <v>67</v>
      </c>
      <c r="BB1659" t="s">
        <v>125</v>
      </c>
      <c r="BC1659" t="s">
        <v>126</v>
      </c>
      <c r="BD1659" t="s">
        <v>79</v>
      </c>
      <c r="BE1659" t="s">
        <v>3255</v>
      </c>
      <c r="BF1659" s="5">
        <v>46722</v>
      </c>
      <c r="BH1659">
        <v>1</v>
      </c>
      <c r="BI1659" s="6">
        <v>1200000</v>
      </c>
      <c r="BJ1659" s="6">
        <v>0</v>
      </c>
      <c r="BK1659" s="6">
        <v>570000</v>
      </c>
      <c r="BL1659" s="6">
        <v>630000</v>
      </c>
      <c r="BM1659" s="2">
        <v>630000</v>
      </c>
      <c r="BN1659">
        <f>InvoiceTable[[#This Row],[Giảm giá]]*InvoiceTable[[#This Row],[Số lượng]]</f>
        <v>570000</v>
      </c>
    </row>
    <row r="1660" spans="1:66" x14ac:dyDescent="0.25">
      <c r="A1660" t="s">
        <v>65</v>
      </c>
      <c r="B1660" t="s">
        <v>4202</v>
      </c>
      <c r="F1660" s="2"/>
      <c r="G1660" s="3">
        <v>45999.605443020831</v>
      </c>
      <c r="H1660" s="3">
        <v>45999.605443136577</v>
      </c>
      <c r="I1660" s="4" t="s">
        <v>67</v>
      </c>
      <c r="J1660" t="s">
        <v>4203</v>
      </c>
      <c r="K1660" t="s">
        <v>67</v>
      </c>
      <c r="L1660" t="s">
        <v>1118</v>
      </c>
      <c r="M1660" t="s">
        <v>1119</v>
      </c>
      <c r="N1660" t="s">
        <v>1120</v>
      </c>
      <c r="O1660" t="s">
        <v>1121</v>
      </c>
      <c r="P1660" t="s">
        <v>1122</v>
      </c>
      <c r="Q1660" t="s">
        <v>67</v>
      </c>
      <c r="R1660" t="s">
        <v>67</v>
      </c>
      <c r="S1660" s="5"/>
      <c r="T1660" t="s">
        <v>72</v>
      </c>
      <c r="U1660" t="s">
        <v>87</v>
      </c>
      <c r="V1660" t="s">
        <v>74</v>
      </c>
      <c r="W1660" t="s">
        <v>87</v>
      </c>
      <c r="AE1660" s="2"/>
      <c r="AF1660" s="2"/>
      <c r="AG1660" s="2"/>
      <c r="AH1660" s="2"/>
      <c r="AL1660" s="2">
        <v>792300</v>
      </c>
      <c r="AM1660" s="2">
        <v>0</v>
      </c>
      <c r="AN1660" s="2"/>
      <c r="AO1660" s="2">
        <v>0</v>
      </c>
      <c r="AP1660" s="2">
        <v>792300</v>
      </c>
      <c r="AQ1660" s="2">
        <v>0</v>
      </c>
      <c r="AR1660" s="2">
        <v>0</v>
      </c>
      <c r="AS1660" s="2">
        <v>0</v>
      </c>
      <c r="AT1660" s="2">
        <v>0</v>
      </c>
      <c r="AU1660" s="2">
        <v>0</v>
      </c>
      <c r="AV1660" s="2">
        <v>0</v>
      </c>
      <c r="AW1660" s="4"/>
      <c r="AX1660" t="s">
        <v>75</v>
      </c>
      <c r="AZ1660" t="s">
        <v>1320</v>
      </c>
      <c r="BB1660" t="s">
        <v>1321</v>
      </c>
      <c r="BC1660" t="s">
        <v>173</v>
      </c>
      <c r="BD1660" t="s">
        <v>79</v>
      </c>
      <c r="BE1660" t="s">
        <v>80</v>
      </c>
      <c r="BF1660" s="5">
        <v>47300</v>
      </c>
      <c r="BG1660" t="s">
        <v>67</v>
      </c>
      <c r="BH1660">
        <v>1</v>
      </c>
      <c r="BI1660" s="6">
        <v>1390000</v>
      </c>
      <c r="BJ1660" s="6">
        <v>43</v>
      </c>
      <c r="BK1660" s="6">
        <v>597700</v>
      </c>
      <c r="BL1660" s="6">
        <v>792300</v>
      </c>
      <c r="BM1660" s="2">
        <v>792300</v>
      </c>
      <c r="BN1660">
        <f>InvoiceTable[[#This Row],[Giảm giá]]*InvoiceTable[[#This Row],[Số lượng]]</f>
        <v>597700</v>
      </c>
    </row>
    <row r="1661" spans="1:66" x14ac:dyDescent="0.25">
      <c r="A1661" t="s">
        <v>65</v>
      </c>
      <c r="B1661" t="s">
        <v>4204</v>
      </c>
      <c r="F1661" s="2"/>
      <c r="G1661" s="3">
        <v>45999.605256215276</v>
      </c>
      <c r="H1661" s="3">
        <v>45999.605256331015</v>
      </c>
      <c r="I1661" s="4" t="s">
        <v>67</v>
      </c>
      <c r="J1661" t="s">
        <v>4205</v>
      </c>
      <c r="K1661" t="s">
        <v>67</v>
      </c>
      <c r="L1661" t="s">
        <v>3999</v>
      </c>
      <c r="M1661" t="s">
        <v>4000</v>
      </c>
      <c r="N1661" t="s">
        <v>4001</v>
      </c>
      <c r="O1661" t="s">
        <v>4002</v>
      </c>
      <c r="P1661" t="s">
        <v>4003</v>
      </c>
      <c r="S1661" s="5"/>
      <c r="T1661" t="s">
        <v>72</v>
      </c>
      <c r="U1661" t="s">
        <v>102</v>
      </c>
      <c r="V1661" t="s">
        <v>74</v>
      </c>
      <c r="W1661" t="s">
        <v>87</v>
      </c>
      <c r="AE1661" s="2"/>
      <c r="AF1661" s="2"/>
      <c r="AG1661" s="2"/>
      <c r="AH1661" s="2"/>
      <c r="AK1661" t="s">
        <v>4206</v>
      </c>
      <c r="AL1661" s="2">
        <v>1654500</v>
      </c>
      <c r="AM1661" s="2">
        <v>0</v>
      </c>
      <c r="AN1661" s="2"/>
      <c r="AO1661" s="2">
        <v>0</v>
      </c>
      <c r="AP1661" s="2">
        <v>1654500</v>
      </c>
      <c r="AQ1661" s="2">
        <v>0</v>
      </c>
      <c r="AR1661" s="2">
        <v>0</v>
      </c>
      <c r="AS1661" s="2">
        <v>0</v>
      </c>
      <c r="AT1661" s="2">
        <v>0</v>
      </c>
      <c r="AU1661" s="2">
        <v>0</v>
      </c>
      <c r="AV1661" s="2">
        <v>0</v>
      </c>
      <c r="AW1661" s="4"/>
      <c r="AX1661" t="s">
        <v>75</v>
      </c>
      <c r="AZ1661" t="s">
        <v>1665</v>
      </c>
      <c r="BA1661" t="s">
        <v>67</v>
      </c>
      <c r="BB1661" t="s">
        <v>1666</v>
      </c>
      <c r="BC1661" t="s">
        <v>367</v>
      </c>
      <c r="BD1661" t="s">
        <v>79</v>
      </c>
      <c r="BE1661" t="s">
        <v>228</v>
      </c>
      <c r="BF1661" s="5">
        <v>46813</v>
      </c>
      <c r="BH1661">
        <v>1</v>
      </c>
      <c r="BI1661" s="6">
        <v>535000</v>
      </c>
      <c r="BJ1661" s="6">
        <v>30</v>
      </c>
      <c r="BK1661" s="6">
        <v>160500</v>
      </c>
      <c r="BL1661" s="6">
        <v>374500</v>
      </c>
      <c r="BM1661" s="2">
        <v>374500</v>
      </c>
      <c r="BN1661">
        <f>InvoiceTable[[#This Row],[Giảm giá]]*InvoiceTable[[#This Row],[Số lượng]]</f>
        <v>160500</v>
      </c>
    </row>
    <row r="1662" spans="1:66" x14ac:dyDescent="0.25">
      <c r="A1662" t="s">
        <v>65</v>
      </c>
      <c r="B1662" t="s">
        <v>4204</v>
      </c>
      <c r="F1662" s="2"/>
      <c r="G1662" s="3">
        <v>45999.605256215276</v>
      </c>
      <c r="H1662" s="3">
        <v>45999.605256331015</v>
      </c>
      <c r="I1662" s="4" t="s">
        <v>67</v>
      </c>
      <c r="J1662" t="s">
        <v>4205</v>
      </c>
      <c r="K1662" t="s">
        <v>67</v>
      </c>
      <c r="L1662" t="s">
        <v>3999</v>
      </c>
      <c r="M1662" t="s">
        <v>4000</v>
      </c>
      <c r="N1662" t="s">
        <v>4001</v>
      </c>
      <c r="O1662" t="s">
        <v>4002</v>
      </c>
      <c r="P1662" t="s">
        <v>4003</v>
      </c>
      <c r="S1662" s="5"/>
      <c r="T1662" t="s">
        <v>72</v>
      </c>
      <c r="U1662" t="s">
        <v>102</v>
      </c>
      <c r="V1662" t="s">
        <v>74</v>
      </c>
      <c r="W1662" t="s">
        <v>87</v>
      </c>
      <c r="AE1662" s="2"/>
      <c r="AF1662" s="2"/>
      <c r="AG1662" s="2"/>
      <c r="AH1662" s="2"/>
      <c r="AK1662" t="s">
        <v>4206</v>
      </c>
      <c r="AL1662" s="2">
        <v>1654500</v>
      </c>
      <c r="AM1662" s="2">
        <v>0</v>
      </c>
      <c r="AN1662" s="2"/>
      <c r="AO1662" s="2">
        <v>0</v>
      </c>
      <c r="AP1662" s="2">
        <v>1654500</v>
      </c>
      <c r="AQ1662" s="2">
        <v>0</v>
      </c>
      <c r="AR1662" s="2">
        <v>0</v>
      </c>
      <c r="AS1662" s="2">
        <v>0</v>
      </c>
      <c r="AT1662" s="2">
        <v>0</v>
      </c>
      <c r="AU1662" s="2">
        <v>0</v>
      </c>
      <c r="AV1662" s="2">
        <v>0</v>
      </c>
      <c r="AW1662" s="4"/>
      <c r="AX1662" t="s">
        <v>75</v>
      </c>
      <c r="AZ1662" t="s">
        <v>659</v>
      </c>
      <c r="BA1662" t="s">
        <v>67</v>
      </c>
      <c r="BB1662" t="s">
        <v>660</v>
      </c>
      <c r="BC1662" t="s">
        <v>223</v>
      </c>
      <c r="BD1662" t="s">
        <v>79</v>
      </c>
      <c r="BE1662" t="s">
        <v>661</v>
      </c>
      <c r="BF1662" s="5">
        <v>47025</v>
      </c>
      <c r="BH1662">
        <v>1</v>
      </c>
      <c r="BI1662" s="6">
        <v>1250000</v>
      </c>
      <c r="BJ1662" s="6">
        <v>48</v>
      </c>
      <c r="BK1662" s="6">
        <v>600000</v>
      </c>
      <c r="BL1662" s="6">
        <v>650000</v>
      </c>
      <c r="BM1662" s="2">
        <v>650000</v>
      </c>
      <c r="BN1662">
        <f>InvoiceTable[[#This Row],[Giảm giá]]*InvoiceTable[[#This Row],[Số lượng]]</f>
        <v>600000</v>
      </c>
    </row>
    <row r="1663" spans="1:66" x14ac:dyDescent="0.25">
      <c r="A1663" t="s">
        <v>65</v>
      </c>
      <c r="B1663" t="s">
        <v>4204</v>
      </c>
      <c r="F1663" s="2"/>
      <c r="G1663" s="3">
        <v>45999.605256215276</v>
      </c>
      <c r="H1663" s="3">
        <v>45999.605256331015</v>
      </c>
      <c r="I1663" s="4" t="s">
        <v>67</v>
      </c>
      <c r="J1663" t="s">
        <v>4205</v>
      </c>
      <c r="K1663" t="s">
        <v>67</v>
      </c>
      <c r="L1663" t="s">
        <v>3999</v>
      </c>
      <c r="M1663" t="s">
        <v>4000</v>
      </c>
      <c r="N1663" t="s">
        <v>4001</v>
      </c>
      <c r="O1663" t="s">
        <v>4002</v>
      </c>
      <c r="P1663" t="s">
        <v>4003</v>
      </c>
      <c r="S1663" s="5"/>
      <c r="T1663" t="s">
        <v>72</v>
      </c>
      <c r="U1663" t="s">
        <v>102</v>
      </c>
      <c r="V1663" t="s">
        <v>74</v>
      </c>
      <c r="W1663" t="s">
        <v>87</v>
      </c>
      <c r="AE1663" s="2"/>
      <c r="AF1663" s="2"/>
      <c r="AG1663" s="2"/>
      <c r="AH1663" s="2"/>
      <c r="AK1663" t="s">
        <v>4206</v>
      </c>
      <c r="AL1663" s="2">
        <v>1654500</v>
      </c>
      <c r="AM1663" s="2">
        <v>0</v>
      </c>
      <c r="AN1663" s="2"/>
      <c r="AO1663" s="2">
        <v>0</v>
      </c>
      <c r="AP1663" s="2">
        <v>1654500</v>
      </c>
      <c r="AQ1663" s="2">
        <v>0</v>
      </c>
      <c r="AR1663" s="2">
        <v>0</v>
      </c>
      <c r="AS1663" s="2">
        <v>0</v>
      </c>
      <c r="AT1663" s="2">
        <v>0</v>
      </c>
      <c r="AU1663" s="2">
        <v>0</v>
      </c>
      <c r="AV1663" s="2">
        <v>0</v>
      </c>
      <c r="AW1663" s="4"/>
      <c r="AX1663" t="s">
        <v>75</v>
      </c>
      <c r="AZ1663" t="s">
        <v>325</v>
      </c>
      <c r="BA1663" t="s">
        <v>67</v>
      </c>
      <c r="BB1663" t="s">
        <v>326</v>
      </c>
      <c r="BC1663" t="s">
        <v>327</v>
      </c>
      <c r="BD1663" t="s">
        <v>79</v>
      </c>
      <c r="BE1663" t="s">
        <v>131</v>
      </c>
      <c r="BF1663" s="5">
        <v>46874</v>
      </c>
      <c r="BH1663">
        <v>10</v>
      </c>
      <c r="BI1663" s="6">
        <v>120000</v>
      </c>
      <c r="BJ1663" s="6">
        <v>0</v>
      </c>
      <c r="BK1663" s="6">
        <v>57000</v>
      </c>
      <c r="BL1663" s="6">
        <v>63000</v>
      </c>
      <c r="BM1663" s="2">
        <v>630000</v>
      </c>
      <c r="BN1663">
        <f>InvoiceTable[[#This Row],[Giảm giá]]*InvoiceTable[[#This Row],[Số lượng]]</f>
        <v>570000</v>
      </c>
    </row>
    <row r="1664" spans="1:66" x14ac:dyDescent="0.25">
      <c r="A1664" t="s">
        <v>65</v>
      </c>
      <c r="B1664" t="s">
        <v>4207</v>
      </c>
      <c r="F1664" s="2"/>
      <c r="G1664" s="3">
        <v>45999.593532210645</v>
      </c>
      <c r="H1664" s="3">
        <v>45999.593532407409</v>
      </c>
      <c r="I1664" s="4" t="s">
        <v>67</v>
      </c>
      <c r="J1664" t="s">
        <v>67</v>
      </c>
      <c r="K1664" t="s">
        <v>67</v>
      </c>
      <c r="L1664" t="s">
        <v>4208</v>
      </c>
      <c r="M1664" t="s">
        <v>4209</v>
      </c>
      <c r="N1664" t="s">
        <v>67</v>
      </c>
      <c r="O1664" t="s">
        <v>4210</v>
      </c>
      <c r="P1664" t="s">
        <v>4211</v>
      </c>
      <c r="S1664" s="5"/>
      <c r="T1664" t="s">
        <v>72</v>
      </c>
      <c r="U1664" t="s">
        <v>87</v>
      </c>
      <c r="V1664" t="s">
        <v>74</v>
      </c>
      <c r="W1664" t="s">
        <v>87</v>
      </c>
      <c r="AE1664" s="2"/>
      <c r="AF1664" s="2"/>
      <c r="AG1664" s="2"/>
      <c r="AH1664" s="2"/>
      <c r="AL1664" s="2">
        <v>4200000</v>
      </c>
      <c r="AM1664" s="2">
        <v>0</v>
      </c>
      <c r="AN1664" s="2"/>
      <c r="AO1664" s="2">
        <v>0</v>
      </c>
      <c r="AP1664" s="2">
        <v>4200000</v>
      </c>
      <c r="AQ1664" s="2">
        <v>0</v>
      </c>
      <c r="AR1664" s="2">
        <v>0</v>
      </c>
      <c r="AS1664" s="2">
        <v>0</v>
      </c>
      <c r="AT1664" s="2">
        <v>0</v>
      </c>
      <c r="AU1664" s="2">
        <v>0</v>
      </c>
      <c r="AV1664" s="2">
        <v>0</v>
      </c>
      <c r="AW1664" s="4"/>
      <c r="AX1664" t="s">
        <v>75</v>
      </c>
      <c r="AZ1664" t="s">
        <v>103</v>
      </c>
      <c r="BB1664" t="s">
        <v>104</v>
      </c>
      <c r="BC1664" t="s">
        <v>105</v>
      </c>
      <c r="BD1664" t="s">
        <v>79</v>
      </c>
      <c r="BE1664" t="s">
        <v>106</v>
      </c>
      <c r="BF1664" s="5">
        <v>46327</v>
      </c>
      <c r="BH1664">
        <v>1</v>
      </c>
      <c r="BI1664" s="6">
        <v>6930000</v>
      </c>
      <c r="BJ1664" s="6">
        <v>0</v>
      </c>
      <c r="BK1664" s="6">
        <v>2730000</v>
      </c>
      <c r="BL1664" s="6">
        <v>4200000</v>
      </c>
      <c r="BM1664" s="2">
        <v>4200000</v>
      </c>
      <c r="BN1664">
        <f>InvoiceTable[[#This Row],[Giảm giá]]*InvoiceTable[[#This Row],[Số lượng]]</f>
        <v>2730000</v>
      </c>
    </row>
    <row r="1665" spans="1:66" x14ac:dyDescent="0.25">
      <c r="A1665" t="s">
        <v>65</v>
      </c>
      <c r="B1665" t="s">
        <v>4212</v>
      </c>
      <c r="F1665" s="2"/>
      <c r="G1665" s="3">
        <v>45999.591455821763</v>
      </c>
      <c r="H1665" s="3">
        <v>45999.591455937501</v>
      </c>
      <c r="I1665" s="4" t="s">
        <v>67</v>
      </c>
      <c r="J1665" t="s">
        <v>67</v>
      </c>
      <c r="K1665" t="s">
        <v>67</v>
      </c>
      <c r="L1665" t="s">
        <v>933</v>
      </c>
      <c r="M1665" t="s">
        <v>934</v>
      </c>
      <c r="N1665" t="s">
        <v>67</v>
      </c>
      <c r="O1665" t="s">
        <v>935</v>
      </c>
      <c r="S1665" s="5"/>
      <c r="T1665" t="s">
        <v>72</v>
      </c>
      <c r="U1665" t="s">
        <v>87</v>
      </c>
      <c r="V1665" t="s">
        <v>74</v>
      </c>
      <c r="W1665" t="s">
        <v>87</v>
      </c>
      <c r="AE1665" s="2"/>
      <c r="AF1665" s="2"/>
      <c r="AG1665" s="2"/>
      <c r="AH1665" s="2"/>
      <c r="AK1665" t="s">
        <v>4213</v>
      </c>
      <c r="AL1665" s="2">
        <v>3838980</v>
      </c>
      <c r="AM1665" s="2">
        <v>0</v>
      </c>
      <c r="AN1665" s="2"/>
      <c r="AO1665" s="2">
        <v>0</v>
      </c>
      <c r="AP1665" s="2">
        <v>3838980</v>
      </c>
      <c r="AQ1665" s="2">
        <v>3838980</v>
      </c>
      <c r="AR1665" s="2">
        <v>0</v>
      </c>
      <c r="AS1665" s="2">
        <v>0</v>
      </c>
      <c r="AT1665" s="2">
        <v>0</v>
      </c>
      <c r="AU1665" s="2">
        <v>3838980</v>
      </c>
      <c r="AV1665" s="2">
        <v>0</v>
      </c>
      <c r="AW1665" s="4"/>
      <c r="AX1665" t="s">
        <v>75</v>
      </c>
      <c r="AZ1665" t="s">
        <v>88</v>
      </c>
      <c r="BB1665" t="s">
        <v>89</v>
      </c>
      <c r="BC1665" t="s">
        <v>90</v>
      </c>
      <c r="BF1665" s="5"/>
      <c r="BG1665" t="s">
        <v>67</v>
      </c>
      <c r="BH1665">
        <v>1</v>
      </c>
      <c r="BI1665" s="6">
        <v>47000</v>
      </c>
      <c r="BJ1665" s="6">
        <v>0</v>
      </c>
      <c r="BK1665" s="6">
        <v>0</v>
      </c>
      <c r="BL1665" s="6">
        <v>47000</v>
      </c>
      <c r="BM1665" s="2">
        <v>47000</v>
      </c>
      <c r="BN1665">
        <f>InvoiceTable[[#This Row],[Giảm giá]]*InvoiceTable[[#This Row],[Số lượng]]</f>
        <v>0</v>
      </c>
    </row>
    <row r="1666" spans="1:66" x14ac:dyDescent="0.25">
      <c r="A1666" t="s">
        <v>65</v>
      </c>
      <c r="B1666" t="s">
        <v>4212</v>
      </c>
      <c r="F1666" s="2"/>
      <c r="G1666" s="3">
        <v>45999.591455821763</v>
      </c>
      <c r="H1666" s="3">
        <v>45999.591455937501</v>
      </c>
      <c r="I1666" s="4" t="s">
        <v>67</v>
      </c>
      <c r="J1666" t="s">
        <v>67</v>
      </c>
      <c r="K1666" t="s">
        <v>67</v>
      </c>
      <c r="L1666" t="s">
        <v>933</v>
      </c>
      <c r="M1666" t="s">
        <v>934</v>
      </c>
      <c r="N1666" t="s">
        <v>67</v>
      </c>
      <c r="O1666" t="s">
        <v>935</v>
      </c>
      <c r="S1666" s="5"/>
      <c r="T1666" t="s">
        <v>72</v>
      </c>
      <c r="U1666" t="s">
        <v>87</v>
      </c>
      <c r="V1666" t="s">
        <v>74</v>
      </c>
      <c r="W1666" t="s">
        <v>87</v>
      </c>
      <c r="AE1666" s="2"/>
      <c r="AF1666" s="2"/>
      <c r="AG1666" s="2"/>
      <c r="AH1666" s="2"/>
      <c r="AK1666" t="s">
        <v>4213</v>
      </c>
      <c r="AL1666" s="2">
        <v>3838980</v>
      </c>
      <c r="AM1666" s="2">
        <v>0</v>
      </c>
      <c r="AN1666" s="2"/>
      <c r="AO1666" s="2">
        <v>0</v>
      </c>
      <c r="AP1666" s="2">
        <v>3838980</v>
      </c>
      <c r="AQ1666" s="2">
        <v>3838980</v>
      </c>
      <c r="AR1666" s="2">
        <v>0</v>
      </c>
      <c r="AS1666" s="2">
        <v>0</v>
      </c>
      <c r="AT1666" s="2">
        <v>0</v>
      </c>
      <c r="AU1666" s="2">
        <v>3838980</v>
      </c>
      <c r="AV1666" s="2">
        <v>0</v>
      </c>
      <c r="AW1666" s="4"/>
      <c r="AX1666" t="s">
        <v>75</v>
      </c>
      <c r="AZ1666" t="s">
        <v>669</v>
      </c>
      <c r="BA1666" t="s">
        <v>67</v>
      </c>
      <c r="BB1666" t="s">
        <v>670</v>
      </c>
      <c r="BC1666" t="s">
        <v>126</v>
      </c>
      <c r="BD1666" t="s">
        <v>79</v>
      </c>
      <c r="BE1666" t="s">
        <v>159</v>
      </c>
      <c r="BF1666" s="5">
        <v>46478</v>
      </c>
      <c r="BH1666">
        <v>2</v>
      </c>
      <c r="BI1666" s="6">
        <v>350000</v>
      </c>
      <c r="BJ1666" s="6">
        <v>0</v>
      </c>
      <c r="BK1666" s="6">
        <v>200000</v>
      </c>
      <c r="BL1666" s="6">
        <v>150000</v>
      </c>
      <c r="BM1666" s="2">
        <v>300000</v>
      </c>
      <c r="BN1666">
        <f>InvoiceTable[[#This Row],[Giảm giá]]*InvoiceTable[[#This Row],[Số lượng]]</f>
        <v>400000</v>
      </c>
    </row>
    <row r="1667" spans="1:66" x14ac:dyDescent="0.25">
      <c r="A1667" t="s">
        <v>65</v>
      </c>
      <c r="B1667" t="s">
        <v>4212</v>
      </c>
      <c r="F1667" s="2"/>
      <c r="G1667" s="3">
        <v>45999.591455821763</v>
      </c>
      <c r="H1667" s="3">
        <v>45999.591455937501</v>
      </c>
      <c r="I1667" s="4" t="s">
        <v>67</v>
      </c>
      <c r="J1667" t="s">
        <v>67</v>
      </c>
      <c r="K1667" t="s">
        <v>67</v>
      </c>
      <c r="L1667" t="s">
        <v>933</v>
      </c>
      <c r="M1667" t="s">
        <v>934</v>
      </c>
      <c r="N1667" t="s">
        <v>67</v>
      </c>
      <c r="O1667" t="s">
        <v>935</v>
      </c>
      <c r="S1667" s="5"/>
      <c r="T1667" t="s">
        <v>72</v>
      </c>
      <c r="U1667" t="s">
        <v>87</v>
      </c>
      <c r="V1667" t="s">
        <v>74</v>
      </c>
      <c r="W1667" t="s">
        <v>87</v>
      </c>
      <c r="AE1667" s="2"/>
      <c r="AF1667" s="2"/>
      <c r="AG1667" s="2"/>
      <c r="AH1667" s="2"/>
      <c r="AK1667" t="s">
        <v>4213</v>
      </c>
      <c r="AL1667" s="2">
        <v>3838980</v>
      </c>
      <c r="AM1667" s="2">
        <v>0</v>
      </c>
      <c r="AN1667" s="2"/>
      <c r="AO1667" s="2">
        <v>0</v>
      </c>
      <c r="AP1667" s="2">
        <v>3838980</v>
      </c>
      <c r="AQ1667" s="2">
        <v>3838980</v>
      </c>
      <c r="AR1667" s="2">
        <v>0</v>
      </c>
      <c r="AS1667" s="2">
        <v>0</v>
      </c>
      <c r="AT1667" s="2">
        <v>0</v>
      </c>
      <c r="AU1667" s="2">
        <v>3838980</v>
      </c>
      <c r="AV1667" s="2">
        <v>0</v>
      </c>
      <c r="AW1667" s="4"/>
      <c r="AX1667" t="s">
        <v>75</v>
      </c>
      <c r="AZ1667" t="s">
        <v>2696</v>
      </c>
      <c r="BA1667" t="s">
        <v>67</v>
      </c>
      <c r="BB1667" t="s">
        <v>2697</v>
      </c>
      <c r="BC1667" t="s">
        <v>986</v>
      </c>
      <c r="BD1667" t="s">
        <v>79</v>
      </c>
      <c r="BE1667" t="s">
        <v>2698</v>
      </c>
      <c r="BF1667" s="5">
        <v>46786</v>
      </c>
      <c r="BH1667">
        <v>1</v>
      </c>
      <c r="BI1667" s="6">
        <v>1944000</v>
      </c>
      <c r="BJ1667" s="6">
        <v>38</v>
      </c>
      <c r="BK1667" s="6">
        <v>738720</v>
      </c>
      <c r="BL1667" s="6">
        <v>1205280</v>
      </c>
      <c r="BM1667" s="2">
        <v>1205280</v>
      </c>
      <c r="BN1667">
        <f>InvoiceTable[[#This Row],[Giảm giá]]*InvoiceTable[[#This Row],[Số lượng]]</f>
        <v>738720</v>
      </c>
    </row>
    <row r="1668" spans="1:66" x14ac:dyDescent="0.25">
      <c r="A1668" t="s">
        <v>65</v>
      </c>
      <c r="B1668" t="s">
        <v>4212</v>
      </c>
      <c r="F1668" s="2"/>
      <c r="G1668" s="3">
        <v>45999.591455821763</v>
      </c>
      <c r="H1668" s="3">
        <v>45999.591455937501</v>
      </c>
      <c r="I1668" s="4" t="s">
        <v>67</v>
      </c>
      <c r="J1668" t="s">
        <v>67</v>
      </c>
      <c r="K1668" t="s">
        <v>67</v>
      </c>
      <c r="L1668" t="s">
        <v>933</v>
      </c>
      <c r="M1668" t="s">
        <v>934</v>
      </c>
      <c r="N1668" t="s">
        <v>67</v>
      </c>
      <c r="O1668" t="s">
        <v>935</v>
      </c>
      <c r="S1668" s="5"/>
      <c r="T1668" t="s">
        <v>72</v>
      </c>
      <c r="U1668" t="s">
        <v>87</v>
      </c>
      <c r="V1668" t="s">
        <v>74</v>
      </c>
      <c r="W1668" t="s">
        <v>87</v>
      </c>
      <c r="AE1668" s="2"/>
      <c r="AF1668" s="2"/>
      <c r="AG1668" s="2"/>
      <c r="AH1668" s="2"/>
      <c r="AK1668" t="s">
        <v>4213</v>
      </c>
      <c r="AL1668" s="2">
        <v>3838980</v>
      </c>
      <c r="AM1668" s="2">
        <v>0</v>
      </c>
      <c r="AN1668" s="2"/>
      <c r="AO1668" s="2">
        <v>0</v>
      </c>
      <c r="AP1668" s="2">
        <v>3838980</v>
      </c>
      <c r="AQ1668" s="2">
        <v>3838980</v>
      </c>
      <c r="AR1668" s="2">
        <v>0</v>
      </c>
      <c r="AS1668" s="2">
        <v>0</v>
      </c>
      <c r="AT1668" s="2">
        <v>0</v>
      </c>
      <c r="AU1668" s="2">
        <v>3838980</v>
      </c>
      <c r="AV1668" s="2">
        <v>0</v>
      </c>
      <c r="AW1668" s="4"/>
      <c r="AX1668" t="s">
        <v>75</v>
      </c>
      <c r="AZ1668" t="s">
        <v>4214</v>
      </c>
      <c r="BA1668" t="s">
        <v>67</v>
      </c>
      <c r="BB1668" t="s">
        <v>4215</v>
      </c>
      <c r="BC1668" t="s">
        <v>939</v>
      </c>
      <c r="BD1668" t="s">
        <v>79</v>
      </c>
      <c r="BE1668" t="s">
        <v>434</v>
      </c>
      <c r="BF1668" s="5">
        <v>46661</v>
      </c>
      <c r="BG1668" t="s">
        <v>67</v>
      </c>
      <c r="BH1668">
        <v>1</v>
      </c>
      <c r="BI1668" s="6">
        <v>1085000</v>
      </c>
      <c r="BJ1668" s="6">
        <v>38</v>
      </c>
      <c r="BK1668" s="6">
        <v>412300</v>
      </c>
      <c r="BL1668" s="6">
        <v>672700</v>
      </c>
      <c r="BM1668" s="2">
        <v>672700</v>
      </c>
      <c r="BN1668">
        <f>InvoiceTable[[#This Row],[Giảm giá]]*InvoiceTable[[#This Row],[Số lượng]]</f>
        <v>412300</v>
      </c>
    </row>
    <row r="1669" spans="1:66" x14ac:dyDescent="0.25">
      <c r="A1669" t="s">
        <v>65</v>
      </c>
      <c r="B1669" t="s">
        <v>4212</v>
      </c>
      <c r="F1669" s="2"/>
      <c r="G1669" s="3">
        <v>45999.591455821763</v>
      </c>
      <c r="H1669" s="3">
        <v>45999.591455937501</v>
      </c>
      <c r="I1669" s="4" t="s">
        <v>67</v>
      </c>
      <c r="J1669" t="s">
        <v>67</v>
      </c>
      <c r="K1669" t="s">
        <v>67</v>
      </c>
      <c r="L1669" t="s">
        <v>933</v>
      </c>
      <c r="M1669" t="s">
        <v>934</v>
      </c>
      <c r="N1669" t="s">
        <v>67</v>
      </c>
      <c r="O1669" t="s">
        <v>935</v>
      </c>
      <c r="S1669" s="5"/>
      <c r="T1669" t="s">
        <v>72</v>
      </c>
      <c r="U1669" t="s">
        <v>87</v>
      </c>
      <c r="V1669" t="s">
        <v>74</v>
      </c>
      <c r="W1669" t="s">
        <v>87</v>
      </c>
      <c r="AE1669" s="2"/>
      <c r="AF1669" s="2"/>
      <c r="AG1669" s="2"/>
      <c r="AH1669" s="2"/>
      <c r="AK1669" t="s">
        <v>4213</v>
      </c>
      <c r="AL1669" s="2">
        <v>3838980</v>
      </c>
      <c r="AM1669" s="2">
        <v>0</v>
      </c>
      <c r="AN1669" s="2"/>
      <c r="AO1669" s="2">
        <v>0</v>
      </c>
      <c r="AP1669" s="2">
        <v>3838980</v>
      </c>
      <c r="AQ1669" s="2">
        <v>3838980</v>
      </c>
      <c r="AR1669" s="2">
        <v>0</v>
      </c>
      <c r="AS1669" s="2">
        <v>0</v>
      </c>
      <c r="AT1669" s="2">
        <v>0</v>
      </c>
      <c r="AU1669" s="2">
        <v>3838980</v>
      </c>
      <c r="AV1669" s="2">
        <v>0</v>
      </c>
      <c r="AW1669" s="4"/>
      <c r="AX1669" t="s">
        <v>75</v>
      </c>
      <c r="AZ1669" t="s">
        <v>314</v>
      </c>
      <c r="BA1669" t="s">
        <v>67</v>
      </c>
      <c r="BB1669" t="s">
        <v>315</v>
      </c>
      <c r="BC1669" t="s">
        <v>316</v>
      </c>
      <c r="BD1669" t="s">
        <v>79</v>
      </c>
      <c r="BE1669" t="s">
        <v>80</v>
      </c>
      <c r="BF1669" s="5">
        <v>47300</v>
      </c>
      <c r="BH1669">
        <v>1</v>
      </c>
      <c r="BI1669" s="6">
        <v>2690000</v>
      </c>
      <c r="BJ1669" s="6">
        <v>40</v>
      </c>
      <c r="BK1669" s="6">
        <v>1076000</v>
      </c>
      <c r="BL1669" s="6">
        <v>1614000</v>
      </c>
      <c r="BM1669" s="2">
        <v>1614000</v>
      </c>
      <c r="BN1669">
        <f>InvoiceTable[[#This Row],[Giảm giá]]*InvoiceTable[[#This Row],[Số lượng]]</f>
        <v>1076000</v>
      </c>
    </row>
    <row r="1670" spans="1:66" x14ac:dyDescent="0.25">
      <c r="A1670" t="s">
        <v>65</v>
      </c>
      <c r="B1670" t="s">
        <v>4216</v>
      </c>
      <c r="F1670" s="2"/>
      <c r="G1670" s="3">
        <v>45999.589035219906</v>
      </c>
      <c r="H1670" s="3">
        <v>45999.589035300924</v>
      </c>
      <c r="I1670" s="4" t="s">
        <v>67</v>
      </c>
      <c r="J1670" t="s">
        <v>67</v>
      </c>
      <c r="K1670" t="s">
        <v>67</v>
      </c>
      <c r="L1670" t="s">
        <v>2346</v>
      </c>
      <c r="M1670" t="s">
        <v>2347</v>
      </c>
      <c r="N1670" t="s">
        <v>2348</v>
      </c>
      <c r="O1670" t="s">
        <v>2349</v>
      </c>
      <c r="P1670" t="s">
        <v>2350</v>
      </c>
      <c r="S1670" s="5"/>
      <c r="T1670" t="s">
        <v>72</v>
      </c>
      <c r="U1670" t="s">
        <v>87</v>
      </c>
      <c r="V1670" t="s">
        <v>74</v>
      </c>
      <c r="W1670" t="s">
        <v>87</v>
      </c>
      <c r="AE1670" s="2"/>
      <c r="AF1670" s="2"/>
      <c r="AG1670" s="2"/>
      <c r="AH1670" s="2"/>
      <c r="AL1670" s="2">
        <v>390000</v>
      </c>
      <c r="AM1670" s="2">
        <v>0</v>
      </c>
      <c r="AN1670" s="2"/>
      <c r="AO1670" s="2">
        <v>0</v>
      </c>
      <c r="AP1670" s="2">
        <v>390000</v>
      </c>
      <c r="AQ1670" s="2">
        <v>390000</v>
      </c>
      <c r="AR1670" s="2">
        <v>0</v>
      </c>
      <c r="AS1670" s="2">
        <v>0</v>
      </c>
      <c r="AT1670" s="2">
        <v>0</v>
      </c>
      <c r="AU1670" s="2">
        <v>390000</v>
      </c>
      <c r="AV1670" s="2">
        <v>0</v>
      </c>
      <c r="AW1670" s="4"/>
      <c r="AX1670" t="s">
        <v>75</v>
      </c>
      <c r="AZ1670" t="s">
        <v>483</v>
      </c>
      <c r="BA1670" t="s">
        <v>67</v>
      </c>
      <c r="BB1670" t="s">
        <v>484</v>
      </c>
      <c r="BC1670" t="s">
        <v>485</v>
      </c>
      <c r="BD1670" t="s">
        <v>79</v>
      </c>
      <c r="BE1670" t="s">
        <v>117</v>
      </c>
      <c r="BF1670" s="5">
        <v>46569</v>
      </c>
      <c r="BH1670">
        <v>1</v>
      </c>
      <c r="BI1670" s="6">
        <v>600000</v>
      </c>
      <c r="BJ1670" s="6">
        <v>35</v>
      </c>
      <c r="BK1670" s="6">
        <v>210000</v>
      </c>
      <c r="BL1670" s="6">
        <v>390000</v>
      </c>
      <c r="BM1670" s="2">
        <v>390000</v>
      </c>
      <c r="BN1670">
        <f>InvoiceTable[[#This Row],[Giảm giá]]*InvoiceTable[[#This Row],[Số lượng]]</f>
        <v>210000</v>
      </c>
    </row>
    <row r="1671" spans="1:66" x14ac:dyDescent="0.25">
      <c r="A1671" t="s">
        <v>65</v>
      </c>
      <c r="B1671" t="s">
        <v>4217</v>
      </c>
      <c r="F1671" s="2"/>
      <c r="G1671" s="3">
        <v>45999.553837847219</v>
      </c>
      <c r="H1671" s="3">
        <v>45999.553837962965</v>
      </c>
      <c r="I1671" s="4" t="s">
        <v>67</v>
      </c>
      <c r="J1671" t="s">
        <v>67</v>
      </c>
      <c r="K1671" t="s">
        <v>67</v>
      </c>
      <c r="L1671" t="s">
        <v>2346</v>
      </c>
      <c r="M1671" t="s">
        <v>2347</v>
      </c>
      <c r="N1671" t="s">
        <v>2348</v>
      </c>
      <c r="O1671" t="s">
        <v>2349</v>
      </c>
      <c r="P1671" t="s">
        <v>2350</v>
      </c>
      <c r="S1671" s="5"/>
      <c r="T1671" t="s">
        <v>72</v>
      </c>
      <c r="U1671" t="s">
        <v>87</v>
      </c>
      <c r="V1671" t="s">
        <v>74</v>
      </c>
      <c r="W1671" t="s">
        <v>87</v>
      </c>
      <c r="AE1671" s="2"/>
      <c r="AF1671" s="2"/>
      <c r="AG1671" s="2"/>
      <c r="AH1671" s="2"/>
      <c r="AL1671" s="2">
        <v>325000</v>
      </c>
      <c r="AM1671" s="2">
        <v>0</v>
      </c>
      <c r="AN1671" s="2"/>
      <c r="AO1671" s="2">
        <v>0</v>
      </c>
      <c r="AP1671" s="2">
        <v>325000</v>
      </c>
      <c r="AQ1671" s="2">
        <v>325000</v>
      </c>
      <c r="AR1671" s="2">
        <v>0</v>
      </c>
      <c r="AS1671" s="2">
        <v>0</v>
      </c>
      <c r="AT1671" s="2">
        <v>0</v>
      </c>
      <c r="AU1671" s="2">
        <v>325000</v>
      </c>
      <c r="AV1671" s="2">
        <v>0</v>
      </c>
      <c r="AW1671" s="4"/>
      <c r="AX1671" t="s">
        <v>75</v>
      </c>
      <c r="AZ1671" t="s">
        <v>325</v>
      </c>
      <c r="BA1671" t="s">
        <v>67</v>
      </c>
      <c r="BB1671" t="s">
        <v>326</v>
      </c>
      <c r="BC1671" t="s">
        <v>327</v>
      </c>
      <c r="BD1671" t="s">
        <v>79</v>
      </c>
      <c r="BE1671" t="s">
        <v>131</v>
      </c>
      <c r="BF1671" s="5">
        <v>46874</v>
      </c>
      <c r="BH1671">
        <v>5</v>
      </c>
      <c r="BI1671" s="6">
        <v>120000</v>
      </c>
      <c r="BJ1671" s="6">
        <v>0</v>
      </c>
      <c r="BK1671" s="6">
        <v>55000</v>
      </c>
      <c r="BL1671" s="6">
        <v>65000</v>
      </c>
      <c r="BM1671" s="2">
        <v>325000</v>
      </c>
      <c r="BN1671">
        <f>InvoiceTable[[#This Row],[Giảm giá]]*InvoiceTable[[#This Row],[Số lượng]]</f>
        <v>275000</v>
      </c>
    </row>
    <row r="1672" spans="1:66" x14ac:dyDescent="0.25">
      <c r="A1672" t="s">
        <v>65</v>
      </c>
      <c r="B1672" t="s">
        <v>4218</v>
      </c>
      <c r="F1672" s="2"/>
      <c r="G1672" s="3">
        <v>45999.538295914354</v>
      </c>
      <c r="H1672" s="3">
        <v>45999.53821496528</v>
      </c>
      <c r="I1672" s="4" t="s">
        <v>2908</v>
      </c>
      <c r="J1672" t="s">
        <v>67</v>
      </c>
      <c r="K1672" t="s">
        <v>67</v>
      </c>
      <c r="L1672" t="s">
        <v>654</v>
      </c>
      <c r="M1672" t="s">
        <v>655</v>
      </c>
      <c r="N1672" t="s">
        <v>67</v>
      </c>
      <c r="O1672" t="s">
        <v>656</v>
      </c>
      <c r="P1672" t="s">
        <v>657</v>
      </c>
      <c r="Q1672" t="s">
        <v>658</v>
      </c>
      <c r="R1672" t="s">
        <v>67</v>
      </c>
      <c r="S1672" s="5"/>
      <c r="T1672" t="s">
        <v>72</v>
      </c>
      <c r="U1672" t="s">
        <v>87</v>
      </c>
      <c r="V1672" t="s">
        <v>74</v>
      </c>
      <c r="W1672" t="s">
        <v>87</v>
      </c>
      <c r="AE1672" s="2"/>
      <c r="AF1672" s="2"/>
      <c r="AG1672" s="2"/>
      <c r="AH1672" s="2"/>
      <c r="AL1672" s="2">
        <v>5397200</v>
      </c>
      <c r="AM1672" s="2">
        <v>0</v>
      </c>
      <c r="AN1672" s="2"/>
      <c r="AO1672" s="2">
        <v>0</v>
      </c>
      <c r="AP1672" s="2">
        <v>5397200</v>
      </c>
      <c r="AQ1672" s="2">
        <v>0</v>
      </c>
      <c r="AR1672" s="2">
        <v>0</v>
      </c>
      <c r="AS1672" s="2">
        <v>0</v>
      </c>
      <c r="AT1672" s="2">
        <v>0</v>
      </c>
      <c r="AU1672" s="2">
        <v>0</v>
      </c>
      <c r="AV1672" s="2">
        <v>0</v>
      </c>
      <c r="AW1672" s="4"/>
      <c r="AX1672" t="s">
        <v>75</v>
      </c>
      <c r="AZ1672" t="s">
        <v>929</v>
      </c>
      <c r="BA1672" t="s">
        <v>67</v>
      </c>
      <c r="BB1672" t="s">
        <v>930</v>
      </c>
      <c r="BC1672" t="s">
        <v>187</v>
      </c>
      <c r="BD1672" t="s">
        <v>79</v>
      </c>
      <c r="BE1672" t="s">
        <v>188</v>
      </c>
      <c r="BF1672" s="5">
        <v>46905</v>
      </c>
      <c r="BH1672">
        <v>4</v>
      </c>
      <c r="BI1672" s="6">
        <v>690000</v>
      </c>
      <c r="BJ1672" s="6">
        <v>55</v>
      </c>
      <c r="BK1672" s="6">
        <v>379500</v>
      </c>
      <c r="BL1672" s="6">
        <v>310500</v>
      </c>
      <c r="BM1672" s="2">
        <v>1242000</v>
      </c>
      <c r="BN1672">
        <f>InvoiceTable[[#This Row],[Giảm giá]]*InvoiceTable[[#This Row],[Số lượng]]</f>
        <v>1518000</v>
      </c>
    </row>
    <row r="1673" spans="1:66" x14ac:dyDescent="0.25">
      <c r="A1673" t="s">
        <v>65</v>
      </c>
      <c r="B1673" t="s">
        <v>4218</v>
      </c>
      <c r="F1673" s="2"/>
      <c r="G1673" s="3">
        <v>45999.538295914354</v>
      </c>
      <c r="H1673" s="3">
        <v>45999.53821496528</v>
      </c>
      <c r="I1673" s="4" t="s">
        <v>2908</v>
      </c>
      <c r="J1673" t="s">
        <v>67</v>
      </c>
      <c r="K1673" t="s">
        <v>67</v>
      </c>
      <c r="L1673" t="s">
        <v>654</v>
      </c>
      <c r="M1673" t="s">
        <v>655</v>
      </c>
      <c r="N1673" t="s">
        <v>67</v>
      </c>
      <c r="O1673" t="s">
        <v>656</v>
      </c>
      <c r="P1673" t="s">
        <v>657</v>
      </c>
      <c r="Q1673" t="s">
        <v>658</v>
      </c>
      <c r="R1673" t="s">
        <v>67</v>
      </c>
      <c r="S1673" s="5"/>
      <c r="T1673" t="s">
        <v>72</v>
      </c>
      <c r="U1673" t="s">
        <v>87</v>
      </c>
      <c r="V1673" t="s">
        <v>74</v>
      </c>
      <c r="W1673" t="s">
        <v>87</v>
      </c>
      <c r="AE1673" s="2"/>
      <c r="AF1673" s="2"/>
      <c r="AG1673" s="2"/>
      <c r="AH1673" s="2"/>
      <c r="AL1673" s="2">
        <v>5397200</v>
      </c>
      <c r="AM1673" s="2">
        <v>0</v>
      </c>
      <c r="AN1673" s="2"/>
      <c r="AO1673" s="2">
        <v>0</v>
      </c>
      <c r="AP1673" s="2">
        <v>5397200</v>
      </c>
      <c r="AQ1673" s="2">
        <v>0</v>
      </c>
      <c r="AR1673" s="2">
        <v>0</v>
      </c>
      <c r="AS1673" s="2">
        <v>0</v>
      </c>
      <c r="AT1673" s="2">
        <v>0</v>
      </c>
      <c r="AU1673" s="2">
        <v>0</v>
      </c>
      <c r="AV1673" s="2">
        <v>0</v>
      </c>
      <c r="AW1673" s="4"/>
      <c r="AX1673" t="s">
        <v>75</v>
      </c>
      <c r="AZ1673" t="s">
        <v>2546</v>
      </c>
      <c r="BA1673" t="s">
        <v>67</v>
      </c>
      <c r="BB1673" t="s">
        <v>2547</v>
      </c>
      <c r="BC1673" t="s">
        <v>2548</v>
      </c>
      <c r="BD1673" t="s">
        <v>79</v>
      </c>
      <c r="BE1673" t="s">
        <v>216</v>
      </c>
      <c r="BF1673" s="5">
        <v>46784</v>
      </c>
      <c r="BH1673">
        <v>1</v>
      </c>
      <c r="BI1673" s="6">
        <v>3000000</v>
      </c>
      <c r="BJ1673" s="6">
        <v>55</v>
      </c>
      <c r="BK1673" s="6">
        <v>1650000</v>
      </c>
      <c r="BL1673" s="6">
        <v>1350000</v>
      </c>
      <c r="BM1673" s="2">
        <v>1350000</v>
      </c>
      <c r="BN1673">
        <f>InvoiceTable[[#This Row],[Giảm giá]]*InvoiceTable[[#This Row],[Số lượng]]</f>
        <v>1650000</v>
      </c>
    </row>
    <row r="1674" spans="1:66" x14ac:dyDescent="0.25">
      <c r="A1674" t="s">
        <v>65</v>
      </c>
      <c r="B1674" t="s">
        <v>4218</v>
      </c>
      <c r="F1674" s="2"/>
      <c r="G1674" s="3">
        <v>45999.538295914354</v>
      </c>
      <c r="H1674" s="3">
        <v>45999.53821496528</v>
      </c>
      <c r="I1674" s="4" t="s">
        <v>2908</v>
      </c>
      <c r="J1674" t="s">
        <v>67</v>
      </c>
      <c r="K1674" t="s">
        <v>67</v>
      </c>
      <c r="L1674" t="s">
        <v>654</v>
      </c>
      <c r="M1674" t="s">
        <v>655</v>
      </c>
      <c r="N1674" t="s">
        <v>67</v>
      </c>
      <c r="O1674" t="s">
        <v>656</v>
      </c>
      <c r="P1674" t="s">
        <v>657</v>
      </c>
      <c r="Q1674" t="s">
        <v>658</v>
      </c>
      <c r="R1674" t="s">
        <v>67</v>
      </c>
      <c r="S1674" s="5"/>
      <c r="T1674" t="s">
        <v>72</v>
      </c>
      <c r="U1674" t="s">
        <v>87</v>
      </c>
      <c r="V1674" t="s">
        <v>74</v>
      </c>
      <c r="W1674" t="s">
        <v>87</v>
      </c>
      <c r="AE1674" s="2"/>
      <c r="AF1674" s="2"/>
      <c r="AG1674" s="2"/>
      <c r="AH1674" s="2"/>
      <c r="AL1674" s="2">
        <v>5397200</v>
      </c>
      <c r="AM1674" s="2">
        <v>0</v>
      </c>
      <c r="AN1674" s="2"/>
      <c r="AO1674" s="2">
        <v>0</v>
      </c>
      <c r="AP1674" s="2">
        <v>5397200</v>
      </c>
      <c r="AQ1674" s="2">
        <v>0</v>
      </c>
      <c r="AR1674" s="2">
        <v>0</v>
      </c>
      <c r="AS1674" s="2">
        <v>0</v>
      </c>
      <c r="AT1674" s="2">
        <v>0</v>
      </c>
      <c r="AU1674" s="2">
        <v>0</v>
      </c>
      <c r="AV1674" s="2">
        <v>0</v>
      </c>
      <c r="AW1674" s="4"/>
      <c r="AX1674" t="s">
        <v>75</v>
      </c>
      <c r="AZ1674" t="s">
        <v>427</v>
      </c>
      <c r="BA1674" t="s">
        <v>67</v>
      </c>
      <c r="BB1674" t="s">
        <v>428</v>
      </c>
      <c r="BC1674" t="s">
        <v>367</v>
      </c>
      <c r="BD1674" t="s">
        <v>79</v>
      </c>
      <c r="BE1674" t="s">
        <v>228</v>
      </c>
      <c r="BF1674" s="5">
        <v>46813</v>
      </c>
      <c r="BH1674">
        <v>2</v>
      </c>
      <c r="BI1674" s="6">
        <v>535000</v>
      </c>
      <c r="BJ1674" s="6">
        <v>32</v>
      </c>
      <c r="BK1674" s="6">
        <v>171200</v>
      </c>
      <c r="BL1674" s="6">
        <v>363800</v>
      </c>
      <c r="BM1674" s="2">
        <v>727600</v>
      </c>
      <c r="BN1674">
        <f>InvoiceTable[[#This Row],[Giảm giá]]*InvoiceTable[[#This Row],[Số lượng]]</f>
        <v>342400</v>
      </c>
    </row>
    <row r="1675" spans="1:66" x14ac:dyDescent="0.25">
      <c r="A1675" t="s">
        <v>65</v>
      </c>
      <c r="B1675" t="s">
        <v>4218</v>
      </c>
      <c r="F1675" s="2"/>
      <c r="G1675" s="3">
        <v>45999.538295914354</v>
      </c>
      <c r="H1675" s="3">
        <v>45999.53821496528</v>
      </c>
      <c r="I1675" s="4" t="s">
        <v>2908</v>
      </c>
      <c r="J1675" t="s">
        <v>67</v>
      </c>
      <c r="K1675" t="s">
        <v>67</v>
      </c>
      <c r="L1675" t="s">
        <v>654</v>
      </c>
      <c r="M1675" t="s">
        <v>655</v>
      </c>
      <c r="N1675" t="s">
        <v>67</v>
      </c>
      <c r="O1675" t="s">
        <v>656</v>
      </c>
      <c r="P1675" t="s">
        <v>657</v>
      </c>
      <c r="Q1675" t="s">
        <v>658</v>
      </c>
      <c r="R1675" t="s">
        <v>67</v>
      </c>
      <c r="S1675" s="5"/>
      <c r="T1675" t="s">
        <v>72</v>
      </c>
      <c r="U1675" t="s">
        <v>87</v>
      </c>
      <c r="V1675" t="s">
        <v>74</v>
      </c>
      <c r="W1675" t="s">
        <v>87</v>
      </c>
      <c r="AE1675" s="2"/>
      <c r="AF1675" s="2"/>
      <c r="AG1675" s="2"/>
      <c r="AH1675" s="2"/>
      <c r="AL1675" s="2">
        <v>5397200</v>
      </c>
      <c r="AM1675" s="2">
        <v>0</v>
      </c>
      <c r="AN1675" s="2"/>
      <c r="AO1675" s="2">
        <v>0</v>
      </c>
      <c r="AP1675" s="2">
        <v>5397200</v>
      </c>
      <c r="AQ1675" s="2">
        <v>0</v>
      </c>
      <c r="AR1675" s="2">
        <v>0</v>
      </c>
      <c r="AS1675" s="2">
        <v>0</v>
      </c>
      <c r="AT1675" s="2">
        <v>0</v>
      </c>
      <c r="AU1675" s="2">
        <v>0</v>
      </c>
      <c r="AV1675" s="2">
        <v>0</v>
      </c>
      <c r="AW1675" s="4"/>
      <c r="AX1675" t="s">
        <v>75</v>
      </c>
      <c r="AZ1675" t="s">
        <v>1665</v>
      </c>
      <c r="BA1675" t="s">
        <v>67</v>
      </c>
      <c r="BB1675" t="s">
        <v>1666</v>
      </c>
      <c r="BC1675" t="s">
        <v>367</v>
      </c>
      <c r="BD1675" t="s">
        <v>79</v>
      </c>
      <c r="BE1675" t="s">
        <v>228</v>
      </c>
      <c r="BF1675" s="5">
        <v>46813</v>
      </c>
      <c r="BH1675">
        <v>2</v>
      </c>
      <c r="BI1675" s="6">
        <v>535000</v>
      </c>
      <c r="BJ1675" s="6">
        <v>32</v>
      </c>
      <c r="BK1675" s="6">
        <v>171200</v>
      </c>
      <c r="BL1675" s="6">
        <v>363800</v>
      </c>
      <c r="BM1675" s="2">
        <v>727600</v>
      </c>
      <c r="BN1675">
        <f>InvoiceTable[[#This Row],[Giảm giá]]*InvoiceTable[[#This Row],[Số lượng]]</f>
        <v>342400</v>
      </c>
    </row>
    <row r="1676" spans="1:66" x14ac:dyDescent="0.25">
      <c r="A1676" t="s">
        <v>65</v>
      </c>
      <c r="B1676" t="s">
        <v>4218</v>
      </c>
      <c r="F1676" s="2"/>
      <c r="G1676" s="3">
        <v>45999.538295914354</v>
      </c>
      <c r="H1676" s="3">
        <v>45999.53821496528</v>
      </c>
      <c r="I1676" s="4" t="s">
        <v>2908</v>
      </c>
      <c r="J1676" t="s">
        <v>67</v>
      </c>
      <c r="K1676" t="s">
        <v>67</v>
      </c>
      <c r="L1676" t="s">
        <v>654</v>
      </c>
      <c r="M1676" t="s">
        <v>655</v>
      </c>
      <c r="N1676" t="s">
        <v>67</v>
      </c>
      <c r="O1676" t="s">
        <v>656</v>
      </c>
      <c r="P1676" t="s">
        <v>657</v>
      </c>
      <c r="Q1676" t="s">
        <v>658</v>
      </c>
      <c r="R1676" t="s">
        <v>67</v>
      </c>
      <c r="S1676" s="5"/>
      <c r="T1676" t="s">
        <v>72</v>
      </c>
      <c r="U1676" t="s">
        <v>87</v>
      </c>
      <c r="V1676" t="s">
        <v>74</v>
      </c>
      <c r="W1676" t="s">
        <v>87</v>
      </c>
      <c r="AE1676" s="2"/>
      <c r="AF1676" s="2"/>
      <c r="AG1676" s="2"/>
      <c r="AH1676" s="2"/>
      <c r="AL1676" s="2">
        <v>5397200</v>
      </c>
      <c r="AM1676" s="2">
        <v>0</v>
      </c>
      <c r="AN1676" s="2"/>
      <c r="AO1676" s="2">
        <v>0</v>
      </c>
      <c r="AP1676" s="2">
        <v>5397200</v>
      </c>
      <c r="AQ1676" s="2">
        <v>0</v>
      </c>
      <c r="AR1676" s="2">
        <v>0</v>
      </c>
      <c r="AS1676" s="2">
        <v>0</v>
      </c>
      <c r="AT1676" s="2">
        <v>0</v>
      </c>
      <c r="AU1676" s="2">
        <v>0</v>
      </c>
      <c r="AV1676" s="2">
        <v>0</v>
      </c>
      <c r="AW1676" s="4"/>
      <c r="AX1676" t="s">
        <v>75</v>
      </c>
      <c r="AZ1676" t="s">
        <v>669</v>
      </c>
      <c r="BA1676" t="s">
        <v>67</v>
      </c>
      <c r="BB1676" t="s">
        <v>670</v>
      </c>
      <c r="BC1676" t="s">
        <v>126</v>
      </c>
      <c r="BD1676" t="s">
        <v>79</v>
      </c>
      <c r="BE1676" t="s">
        <v>159</v>
      </c>
      <c r="BF1676" s="5">
        <v>46478</v>
      </c>
      <c r="BH1676">
        <v>10</v>
      </c>
      <c r="BI1676" s="6">
        <v>350000</v>
      </c>
      <c r="BJ1676" s="6">
        <v>0</v>
      </c>
      <c r="BK1676" s="6">
        <v>215000</v>
      </c>
      <c r="BL1676" s="6">
        <v>135000</v>
      </c>
      <c r="BM1676" s="2">
        <v>1350000</v>
      </c>
      <c r="BN1676">
        <f>InvoiceTable[[#This Row],[Giảm giá]]*InvoiceTable[[#This Row],[Số lượng]]</f>
        <v>2150000</v>
      </c>
    </row>
    <row r="1677" spans="1:66" x14ac:dyDescent="0.25">
      <c r="A1677" t="s">
        <v>65</v>
      </c>
      <c r="B1677" t="s">
        <v>4219</v>
      </c>
      <c r="F1677" s="2"/>
      <c r="G1677" s="3">
        <v>45999.529834062501</v>
      </c>
      <c r="H1677" s="3">
        <v>45999.529810995373</v>
      </c>
      <c r="I1677" s="4" t="s">
        <v>3298</v>
      </c>
      <c r="J1677" t="s">
        <v>67</v>
      </c>
      <c r="K1677" t="s">
        <v>67</v>
      </c>
      <c r="L1677" t="s">
        <v>119</v>
      </c>
      <c r="M1677" t="s">
        <v>120</v>
      </c>
      <c r="N1677" t="s">
        <v>67</v>
      </c>
      <c r="O1677" t="s">
        <v>121</v>
      </c>
      <c r="Q1677" t="s">
        <v>122</v>
      </c>
      <c r="R1677" t="s">
        <v>123</v>
      </c>
      <c r="S1677" s="5"/>
      <c r="T1677" t="s">
        <v>72</v>
      </c>
      <c r="U1677" t="s">
        <v>102</v>
      </c>
      <c r="V1677" t="s">
        <v>74</v>
      </c>
      <c r="W1677" t="s">
        <v>102</v>
      </c>
      <c r="AE1677" s="2"/>
      <c r="AF1677" s="2"/>
      <c r="AG1677" s="2"/>
      <c r="AH1677" s="2"/>
      <c r="AK1677" t="s">
        <v>1003</v>
      </c>
      <c r="AL1677" s="2">
        <v>6131500</v>
      </c>
      <c r="AM1677" s="2">
        <v>0</v>
      </c>
      <c r="AN1677" s="2"/>
      <c r="AO1677" s="2">
        <v>0</v>
      </c>
      <c r="AP1677" s="2">
        <v>6131500</v>
      </c>
      <c r="AQ1677" s="2">
        <v>0</v>
      </c>
      <c r="AR1677" s="2">
        <v>0</v>
      </c>
      <c r="AS1677" s="2">
        <v>0</v>
      </c>
      <c r="AT1677" s="2">
        <v>0</v>
      </c>
      <c r="AU1677" s="2">
        <v>0</v>
      </c>
      <c r="AV1677" s="2">
        <v>0</v>
      </c>
      <c r="AW1677" s="4"/>
      <c r="AX1677" t="s">
        <v>75</v>
      </c>
      <c r="AZ1677" t="s">
        <v>1047</v>
      </c>
      <c r="BA1677" t="s">
        <v>67</v>
      </c>
      <c r="BB1677" t="s">
        <v>1048</v>
      </c>
      <c r="BC1677" t="s">
        <v>344</v>
      </c>
      <c r="BD1677" t="s">
        <v>79</v>
      </c>
      <c r="BE1677" t="s">
        <v>139</v>
      </c>
      <c r="BF1677" s="5">
        <v>46447</v>
      </c>
      <c r="BH1677">
        <v>1</v>
      </c>
      <c r="BI1677" s="6">
        <v>1050000</v>
      </c>
      <c r="BJ1677" s="6">
        <v>44</v>
      </c>
      <c r="BK1677" s="6">
        <v>462000</v>
      </c>
      <c r="BL1677" s="6">
        <v>588000</v>
      </c>
      <c r="BM1677" s="2">
        <v>588000</v>
      </c>
      <c r="BN1677">
        <f>InvoiceTable[[#This Row],[Giảm giá]]*InvoiceTable[[#This Row],[Số lượng]]</f>
        <v>462000</v>
      </c>
    </row>
    <row r="1678" spans="1:66" x14ac:dyDescent="0.25">
      <c r="A1678" t="s">
        <v>65</v>
      </c>
      <c r="B1678" t="s">
        <v>4219</v>
      </c>
      <c r="F1678" s="2"/>
      <c r="G1678" s="3">
        <v>45999.529834062501</v>
      </c>
      <c r="H1678" s="3">
        <v>45999.529810995373</v>
      </c>
      <c r="I1678" s="4" t="s">
        <v>3298</v>
      </c>
      <c r="J1678" t="s">
        <v>67</v>
      </c>
      <c r="K1678" t="s">
        <v>67</v>
      </c>
      <c r="L1678" t="s">
        <v>119</v>
      </c>
      <c r="M1678" t="s">
        <v>120</v>
      </c>
      <c r="N1678" t="s">
        <v>67</v>
      </c>
      <c r="O1678" t="s">
        <v>121</v>
      </c>
      <c r="Q1678" t="s">
        <v>122</v>
      </c>
      <c r="R1678" t="s">
        <v>123</v>
      </c>
      <c r="S1678" s="5"/>
      <c r="T1678" t="s">
        <v>72</v>
      </c>
      <c r="U1678" t="s">
        <v>102</v>
      </c>
      <c r="V1678" t="s">
        <v>74</v>
      </c>
      <c r="W1678" t="s">
        <v>102</v>
      </c>
      <c r="AE1678" s="2"/>
      <c r="AF1678" s="2"/>
      <c r="AG1678" s="2"/>
      <c r="AH1678" s="2"/>
      <c r="AK1678" t="s">
        <v>1003</v>
      </c>
      <c r="AL1678" s="2">
        <v>6131500</v>
      </c>
      <c r="AM1678" s="2">
        <v>0</v>
      </c>
      <c r="AN1678" s="2"/>
      <c r="AO1678" s="2">
        <v>0</v>
      </c>
      <c r="AP1678" s="2">
        <v>6131500</v>
      </c>
      <c r="AQ1678" s="2">
        <v>0</v>
      </c>
      <c r="AR1678" s="2">
        <v>0</v>
      </c>
      <c r="AS1678" s="2">
        <v>0</v>
      </c>
      <c r="AT1678" s="2">
        <v>0</v>
      </c>
      <c r="AU1678" s="2">
        <v>0</v>
      </c>
      <c r="AV1678" s="2">
        <v>0</v>
      </c>
      <c r="AW1678" s="4"/>
      <c r="AX1678" t="s">
        <v>75</v>
      </c>
      <c r="AZ1678" t="s">
        <v>723</v>
      </c>
      <c r="BA1678" t="s">
        <v>67</v>
      </c>
      <c r="BB1678" t="s">
        <v>724</v>
      </c>
      <c r="BC1678" t="s">
        <v>285</v>
      </c>
      <c r="BD1678" t="s">
        <v>79</v>
      </c>
      <c r="BE1678" t="s">
        <v>117</v>
      </c>
      <c r="BF1678" s="5">
        <v>46569</v>
      </c>
      <c r="BH1678">
        <v>2</v>
      </c>
      <c r="BI1678" s="6">
        <v>1200000</v>
      </c>
      <c r="BJ1678" s="6">
        <v>47</v>
      </c>
      <c r="BK1678" s="6">
        <v>564000</v>
      </c>
      <c r="BL1678" s="6">
        <v>636000</v>
      </c>
      <c r="BM1678" s="2">
        <v>1272000</v>
      </c>
      <c r="BN1678">
        <f>InvoiceTable[[#This Row],[Giảm giá]]*InvoiceTable[[#This Row],[Số lượng]]</f>
        <v>1128000</v>
      </c>
    </row>
    <row r="1679" spans="1:66" x14ac:dyDescent="0.25">
      <c r="A1679" t="s">
        <v>65</v>
      </c>
      <c r="B1679" t="s">
        <v>4219</v>
      </c>
      <c r="F1679" s="2"/>
      <c r="G1679" s="3">
        <v>45999.529834062501</v>
      </c>
      <c r="H1679" s="3">
        <v>45999.529810995373</v>
      </c>
      <c r="I1679" s="4" t="s">
        <v>3298</v>
      </c>
      <c r="J1679" t="s">
        <v>67</v>
      </c>
      <c r="K1679" t="s">
        <v>67</v>
      </c>
      <c r="L1679" t="s">
        <v>119</v>
      </c>
      <c r="M1679" t="s">
        <v>120</v>
      </c>
      <c r="N1679" t="s">
        <v>67</v>
      </c>
      <c r="O1679" t="s">
        <v>121</v>
      </c>
      <c r="Q1679" t="s">
        <v>122</v>
      </c>
      <c r="R1679" t="s">
        <v>123</v>
      </c>
      <c r="S1679" s="5"/>
      <c r="T1679" t="s">
        <v>72</v>
      </c>
      <c r="U1679" t="s">
        <v>102</v>
      </c>
      <c r="V1679" t="s">
        <v>74</v>
      </c>
      <c r="W1679" t="s">
        <v>102</v>
      </c>
      <c r="AE1679" s="2"/>
      <c r="AF1679" s="2"/>
      <c r="AG1679" s="2"/>
      <c r="AH1679" s="2"/>
      <c r="AK1679" t="s">
        <v>1003</v>
      </c>
      <c r="AL1679" s="2">
        <v>6131500</v>
      </c>
      <c r="AM1679" s="2">
        <v>0</v>
      </c>
      <c r="AN1679" s="2"/>
      <c r="AO1679" s="2">
        <v>0</v>
      </c>
      <c r="AP1679" s="2">
        <v>6131500</v>
      </c>
      <c r="AQ1679" s="2">
        <v>0</v>
      </c>
      <c r="AR1679" s="2">
        <v>0</v>
      </c>
      <c r="AS1679" s="2">
        <v>0</v>
      </c>
      <c r="AT1679" s="2">
        <v>0</v>
      </c>
      <c r="AU1679" s="2">
        <v>0</v>
      </c>
      <c r="AV1679" s="2">
        <v>0</v>
      </c>
      <c r="AW1679" s="4"/>
      <c r="AX1679" t="s">
        <v>75</v>
      </c>
      <c r="AZ1679" t="s">
        <v>4047</v>
      </c>
      <c r="BA1679" t="s">
        <v>67</v>
      </c>
      <c r="BB1679" t="s">
        <v>4048</v>
      </c>
      <c r="BC1679" t="s">
        <v>126</v>
      </c>
      <c r="BD1679" t="s">
        <v>79</v>
      </c>
      <c r="BE1679" t="s">
        <v>810</v>
      </c>
      <c r="BF1679" s="5">
        <v>46539</v>
      </c>
      <c r="BG1679" t="s">
        <v>67</v>
      </c>
      <c r="BH1679">
        <v>2</v>
      </c>
      <c r="BI1679" s="6">
        <v>250000</v>
      </c>
      <c r="BJ1679" s="6">
        <v>0</v>
      </c>
      <c r="BK1679" s="6">
        <v>178000</v>
      </c>
      <c r="BL1679" s="6">
        <v>72000</v>
      </c>
      <c r="BM1679" s="2">
        <v>144000</v>
      </c>
      <c r="BN1679">
        <f>InvoiceTable[[#This Row],[Giảm giá]]*InvoiceTable[[#This Row],[Số lượng]]</f>
        <v>356000</v>
      </c>
    </row>
    <row r="1680" spans="1:66" x14ac:dyDescent="0.25">
      <c r="A1680" t="s">
        <v>65</v>
      </c>
      <c r="B1680" t="s">
        <v>4219</v>
      </c>
      <c r="F1680" s="2"/>
      <c r="G1680" s="3">
        <v>45999.529834062501</v>
      </c>
      <c r="H1680" s="3">
        <v>45999.529810995373</v>
      </c>
      <c r="I1680" s="4" t="s">
        <v>3298</v>
      </c>
      <c r="J1680" t="s">
        <v>67</v>
      </c>
      <c r="K1680" t="s">
        <v>67</v>
      </c>
      <c r="L1680" t="s">
        <v>119</v>
      </c>
      <c r="M1680" t="s">
        <v>120</v>
      </c>
      <c r="N1680" t="s">
        <v>67</v>
      </c>
      <c r="O1680" t="s">
        <v>121</v>
      </c>
      <c r="Q1680" t="s">
        <v>122</v>
      </c>
      <c r="R1680" t="s">
        <v>123</v>
      </c>
      <c r="S1680" s="5"/>
      <c r="T1680" t="s">
        <v>72</v>
      </c>
      <c r="U1680" t="s">
        <v>102</v>
      </c>
      <c r="V1680" t="s">
        <v>74</v>
      </c>
      <c r="W1680" t="s">
        <v>102</v>
      </c>
      <c r="AE1680" s="2"/>
      <c r="AF1680" s="2"/>
      <c r="AG1680" s="2"/>
      <c r="AH1680" s="2"/>
      <c r="AK1680" t="s">
        <v>1003</v>
      </c>
      <c r="AL1680" s="2">
        <v>6131500</v>
      </c>
      <c r="AM1680" s="2">
        <v>0</v>
      </c>
      <c r="AN1680" s="2"/>
      <c r="AO1680" s="2">
        <v>0</v>
      </c>
      <c r="AP1680" s="2">
        <v>6131500</v>
      </c>
      <c r="AQ1680" s="2">
        <v>0</v>
      </c>
      <c r="AR1680" s="2">
        <v>0</v>
      </c>
      <c r="AS1680" s="2">
        <v>0</v>
      </c>
      <c r="AT1680" s="2">
        <v>0</v>
      </c>
      <c r="AU1680" s="2">
        <v>0</v>
      </c>
      <c r="AV1680" s="2">
        <v>0</v>
      </c>
      <c r="AW1680" s="4"/>
      <c r="AX1680" t="s">
        <v>75</v>
      </c>
      <c r="AZ1680" t="s">
        <v>3853</v>
      </c>
      <c r="BA1680" t="s">
        <v>67</v>
      </c>
      <c r="BB1680" t="s">
        <v>3854</v>
      </c>
      <c r="BC1680" t="s">
        <v>134</v>
      </c>
      <c r="BD1680" t="s">
        <v>79</v>
      </c>
      <c r="BE1680" t="s">
        <v>810</v>
      </c>
      <c r="BF1680" s="5">
        <v>46539</v>
      </c>
      <c r="BH1680">
        <v>1</v>
      </c>
      <c r="BI1680" s="6">
        <v>3550000</v>
      </c>
      <c r="BJ1680" s="6">
        <v>47</v>
      </c>
      <c r="BK1680" s="6">
        <v>1668500</v>
      </c>
      <c r="BL1680" s="6">
        <v>1881500</v>
      </c>
      <c r="BM1680" s="2">
        <v>1881500</v>
      </c>
      <c r="BN1680">
        <f>InvoiceTable[[#This Row],[Giảm giá]]*InvoiceTable[[#This Row],[Số lượng]]</f>
        <v>1668500</v>
      </c>
    </row>
    <row r="1681" spans="1:66" x14ac:dyDescent="0.25">
      <c r="A1681" t="s">
        <v>65</v>
      </c>
      <c r="B1681" t="s">
        <v>4219</v>
      </c>
      <c r="F1681" s="2"/>
      <c r="G1681" s="3">
        <v>45999.529834062501</v>
      </c>
      <c r="H1681" s="3">
        <v>45999.529810995373</v>
      </c>
      <c r="I1681" s="4" t="s">
        <v>3298</v>
      </c>
      <c r="J1681" t="s">
        <v>67</v>
      </c>
      <c r="K1681" t="s">
        <v>67</v>
      </c>
      <c r="L1681" t="s">
        <v>119</v>
      </c>
      <c r="M1681" t="s">
        <v>120</v>
      </c>
      <c r="N1681" t="s">
        <v>67</v>
      </c>
      <c r="O1681" t="s">
        <v>121</v>
      </c>
      <c r="Q1681" t="s">
        <v>122</v>
      </c>
      <c r="R1681" t="s">
        <v>123</v>
      </c>
      <c r="S1681" s="5"/>
      <c r="T1681" t="s">
        <v>72</v>
      </c>
      <c r="U1681" t="s">
        <v>102</v>
      </c>
      <c r="V1681" t="s">
        <v>74</v>
      </c>
      <c r="W1681" t="s">
        <v>102</v>
      </c>
      <c r="AE1681" s="2"/>
      <c r="AF1681" s="2"/>
      <c r="AG1681" s="2"/>
      <c r="AH1681" s="2"/>
      <c r="AK1681" t="s">
        <v>1003</v>
      </c>
      <c r="AL1681" s="2">
        <v>6131500</v>
      </c>
      <c r="AM1681" s="2">
        <v>0</v>
      </c>
      <c r="AN1681" s="2"/>
      <c r="AO1681" s="2">
        <v>0</v>
      </c>
      <c r="AP1681" s="2">
        <v>6131500</v>
      </c>
      <c r="AQ1681" s="2">
        <v>0</v>
      </c>
      <c r="AR1681" s="2">
        <v>0</v>
      </c>
      <c r="AS1681" s="2">
        <v>0</v>
      </c>
      <c r="AT1681" s="2">
        <v>0</v>
      </c>
      <c r="AU1681" s="2">
        <v>0</v>
      </c>
      <c r="AV1681" s="2">
        <v>0</v>
      </c>
      <c r="AW1681" s="4"/>
      <c r="AX1681" t="s">
        <v>75</v>
      </c>
      <c r="AZ1681" t="s">
        <v>1866</v>
      </c>
      <c r="BA1681" t="s">
        <v>67</v>
      </c>
      <c r="BB1681" t="s">
        <v>1867</v>
      </c>
      <c r="BC1681" t="s">
        <v>126</v>
      </c>
      <c r="BD1681" t="s">
        <v>79</v>
      </c>
      <c r="BE1681" t="s">
        <v>216</v>
      </c>
      <c r="BF1681" s="5">
        <v>46784</v>
      </c>
      <c r="BH1681">
        <v>3</v>
      </c>
      <c r="BI1681" s="6">
        <v>110000</v>
      </c>
      <c r="BJ1681" s="6">
        <v>43.64</v>
      </c>
      <c r="BK1681" s="6">
        <v>48000</v>
      </c>
      <c r="BL1681" s="6">
        <v>62000</v>
      </c>
      <c r="BM1681" s="2">
        <v>186000</v>
      </c>
      <c r="BN1681">
        <f>InvoiceTable[[#This Row],[Giảm giá]]*InvoiceTable[[#This Row],[Số lượng]]</f>
        <v>144000</v>
      </c>
    </row>
    <row r="1682" spans="1:66" x14ac:dyDescent="0.25">
      <c r="A1682" t="s">
        <v>65</v>
      </c>
      <c r="B1682" t="s">
        <v>4219</v>
      </c>
      <c r="F1682" s="2"/>
      <c r="G1682" s="3">
        <v>45999.529834062501</v>
      </c>
      <c r="H1682" s="3">
        <v>45999.529810995373</v>
      </c>
      <c r="I1682" s="4" t="s">
        <v>3298</v>
      </c>
      <c r="J1682" t="s">
        <v>67</v>
      </c>
      <c r="K1682" t="s">
        <v>67</v>
      </c>
      <c r="L1682" t="s">
        <v>119</v>
      </c>
      <c r="M1682" t="s">
        <v>120</v>
      </c>
      <c r="N1682" t="s">
        <v>67</v>
      </c>
      <c r="O1682" t="s">
        <v>121</v>
      </c>
      <c r="Q1682" t="s">
        <v>122</v>
      </c>
      <c r="R1682" t="s">
        <v>123</v>
      </c>
      <c r="S1682" s="5"/>
      <c r="T1682" t="s">
        <v>72</v>
      </c>
      <c r="U1682" t="s">
        <v>102</v>
      </c>
      <c r="V1682" t="s">
        <v>74</v>
      </c>
      <c r="W1682" t="s">
        <v>102</v>
      </c>
      <c r="AE1682" s="2"/>
      <c r="AF1682" s="2"/>
      <c r="AG1682" s="2"/>
      <c r="AH1682" s="2"/>
      <c r="AK1682" t="s">
        <v>1003</v>
      </c>
      <c r="AL1682" s="2">
        <v>6131500</v>
      </c>
      <c r="AM1682" s="2">
        <v>0</v>
      </c>
      <c r="AN1682" s="2"/>
      <c r="AO1682" s="2">
        <v>0</v>
      </c>
      <c r="AP1682" s="2">
        <v>6131500</v>
      </c>
      <c r="AQ1682" s="2">
        <v>0</v>
      </c>
      <c r="AR1682" s="2">
        <v>0</v>
      </c>
      <c r="AS1682" s="2">
        <v>0</v>
      </c>
      <c r="AT1682" s="2">
        <v>0</v>
      </c>
      <c r="AU1682" s="2">
        <v>0</v>
      </c>
      <c r="AV1682" s="2">
        <v>0</v>
      </c>
      <c r="AW1682" s="4"/>
      <c r="AX1682" t="s">
        <v>75</v>
      </c>
      <c r="AZ1682" t="s">
        <v>748</v>
      </c>
      <c r="BA1682" t="s">
        <v>67</v>
      </c>
      <c r="BB1682" t="s">
        <v>749</v>
      </c>
      <c r="BC1682" t="s">
        <v>750</v>
      </c>
      <c r="BD1682" t="s">
        <v>79</v>
      </c>
      <c r="BE1682" t="s">
        <v>117</v>
      </c>
      <c r="BF1682" s="5">
        <v>46569</v>
      </c>
      <c r="BH1682">
        <v>2</v>
      </c>
      <c r="BI1682" s="6">
        <v>1500000</v>
      </c>
      <c r="BJ1682" s="6">
        <v>31.33</v>
      </c>
      <c r="BK1682" s="6">
        <v>470000</v>
      </c>
      <c r="BL1682" s="6">
        <v>1030000</v>
      </c>
      <c r="BM1682" s="2">
        <v>2060000</v>
      </c>
      <c r="BN1682">
        <f>InvoiceTable[[#This Row],[Giảm giá]]*InvoiceTable[[#This Row],[Số lượng]]</f>
        <v>940000</v>
      </c>
    </row>
    <row r="1683" spans="1:66" x14ac:dyDescent="0.25">
      <c r="A1683" t="s">
        <v>65</v>
      </c>
      <c r="B1683" t="s">
        <v>4220</v>
      </c>
      <c r="F1683" s="2"/>
      <c r="G1683" s="3">
        <v>45999.50040153935</v>
      </c>
      <c r="H1683" s="3">
        <v>45999.536261030094</v>
      </c>
      <c r="I1683" s="4" t="s">
        <v>96</v>
      </c>
      <c r="J1683" t="s">
        <v>67</v>
      </c>
      <c r="K1683" t="s">
        <v>67</v>
      </c>
      <c r="L1683" t="s">
        <v>2346</v>
      </c>
      <c r="M1683" t="s">
        <v>2347</v>
      </c>
      <c r="N1683" t="s">
        <v>2348</v>
      </c>
      <c r="O1683" t="s">
        <v>2349</v>
      </c>
      <c r="P1683" t="s">
        <v>2350</v>
      </c>
      <c r="S1683" s="5"/>
      <c r="T1683" t="s">
        <v>72</v>
      </c>
      <c r="U1683" t="s">
        <v>87</v>
      </c>
      <c r="V1683" t="s">
        <v>74</v>
      </c>
      <c r="W1683" t="s">
        <v>87</v>
      </c>
      <c r="AE1683" s="2"/>
      <c r="AF1683" s="2"/>
      <c r="AG1683" s="2"/>
      <c r="AH1683" s="2"/>
      <c r="AK1683" t="s">
        <v>4221</v>
      </c>
      <c r="AL1683" s="2">
        <v>1325000</v>
      </c>
      <c r="AM1683" s="2">
        <v>0</v>
      </c>
      <c r="AN1683" s="2"/>
      <c r="AO1683" s="2">
        <v>0</v>
      </c>
      <c r="AP1683" s="2">
        <v>1325000</v>
      </c>
      <c r="AQ1683" s="2">
        <v>1325000</v>
      </c>
      <c r="AR1683" s="2">
        <v>0</v>
      </c>
      <c r="AS1683" s="2">
        <v>0</v>
      </c>
      <c r="AT1683" s="2">
        <v>0</v>
      </c>
      <c r="AU1683" s="2">
        <v>1325000</v>
      </c>
      <c r="AV1683" s="2">
        <v>0</v>
      </c>
      <c r="AW1683" s="4"/>
      <c r="AX1683" t="s">
        <v>75</v>
      </c>
      <c r="AZ1683" t="s">
        <v>88</v>
      </c>
      <c r="BB1683" t="s">
        <v>89</v>
      </c>
      <c r="BC1683" t="s">
        <v>90</v>
      </c>
      <c r="BF1683" s="5"/>
      <c r="BG1683" t="s">
        <v>67</v>
      </c>
      <c r="BH1683">
        <v>1</v>
      </c>
      <c r="BI1683" s="6">
        <v>25000</v>
      </c>
      <c r="BJ1683" s="6">
        <v>0</v>
      </c>
      <c r="BK1683" s="6">
        <v>0</v>
      </c>
      <c r="BL1683" s="6">
        <v>25000</v>
      </c>
      <c r="BM1683" s="2">
        <v>25000</v>
      </c>
      <c r="BN1683">
        <f>InvoiceTable[[#This Row],[Giảm giá]]*InvoiceTable[[#This Row],[Số lượng]]</f>
        <v>0</v>
      </c>
    </row>
    <row r="1684" spans="1:66" x14ac:dyDescent="0.25">
      <c r="A1684" t="s">
        <v>65</v>
      </c>
      <c r="B1684" t="s">
        <v>4220</v>
      </c>
      <c r="F1684" s="2"/>
      <c r="G1684" s="3">
        <v>45999.50040153935</v>
      </c>
      <c r="H1684" s="3">
        <v>45999.536261030094</v>
      </c>
      <c r="I1684" s="4" t="s">
        <v>96</v>
      </c>
      <c r="J1684" t="s">
        <v>67</v>
      </c>
      <c r="K1684" t="s">
        <v>67</v>
      </c>
      <c r="L1684" t="s">
        <v>2346</v>
      </c>
      <c r="M1684" t="s">
        <v>2347</v>
      </c>
      <c r="N1684" t="s">
        <v>2348</v>
      </c>
      <c r="O1684" t="s">
        <v>2349</v>
      </c>
      <c r="P1684" t="s">
        <v>2350</v>
      </c>
      <c r="S1684" s="5"/>
      <c r="T1684" t="s">
        <v>72</v>
      </c>
      <c r="U1684" t="s">
        <v>87</v>
      </c>
      <c r="V1684" t="s">
        <v>74</v>
      </c>
      <c r="W1684" t="s">
        <v>87</v>
      </c>
      <c r="AE1684" s="2"/>
      <c r="AF1684" s="2"/>
      <c r="AG1684" s="2"/>
      <c r="AH1684" s="2"/>
      <c r="AK1684" t="s">
        <v>4221</v>
      </c>
      <c r="AL1684" s="2">
        <v>1325000</v>
      </c>
      <c r="AM1684" s="2">
        <v>0</v>
      </c>
      <c r="AN1684" s="2"/>
      <c r="AO1684" s="2">
        <v>0</v>
      </c>
      <c r="AP1684" s="2">
        <v>1325000</v>
      </c>
      <c r="AQ1684" s="2">
        <v>1325000</v>
      </c>
      <c r="AR1684" s="2">
        <v>0</v>
      </c>
      <c r="AS1684" s="2">
        <v>0</v>
      </c>
      <c r="AT1684" s="2">
        <v>0</v>
      </c>
      <c r="AU1684" s="2">
        <v>1325000</v>
      </c>
      <c r="AV1684" s="2">
        <v>0</v>
      </c>
      <c r="AW1684" s="4"/>
      <c r="AX1684" t="s">
        <v>75</v>
      </c>
      <c r="AZ1684" t="s">
        <v>4222</v>
      </c>
      <c r="BA1684" t="s">
        <v>67</v>
      </c>
      <c r="BB1684" t="s">
        <v>4223</v>
      </c>
      <c r="BC1684" t="s">
        <v>3114</v>
      </c>
      <c r="BD1684" t="s">
        <v>79</v>
      </c>
      <c r="BE1684" t="s">
        <v>168</v>
      </c>
      <c r="BF1684" s="5">
        <v>46388</v>
      </c>
      <c r="BH1684">
        <v>1</v>
      </c>
      <c r="BI1684" s="6">
        <v>2000000</v>
      </c>
      <c r="BJ1684" s="6">
        <v>35</v>
      </c>
      <c r="BK1684" s="6">
        <v>700000</v>
      </c>
      <c r="BL1684" s="6">
        <v>1300000</v>
      </c>
      <c r="BM1684" s="2">
        <v>1300000</v>
      </c>
      <c r="BN1684">
        <f>InvoiceTable[[#This Row],[Giảm giá]]*InvoiceTable[[#This Row],[Số lượng]]</f>
        <v>700000</v>
      </c>
    </row>
    <row r="1685" spans="1:66" x14ac:dyDescent="0.25">
      <c r="A1685" t="s">
        <v>65</v>
      </c>
      <c r="B1685" t="s">
        <v>4224</v>
      </c>
      <c r="F1685" s="2"/>
      <c r="G1685" s="3">
        <v>45999.492493321763</v>
      </c>
      <c r="H1685" s="3">
        <v>45999.49249340278</v>
      </c>
      <c r="I1685" s="4" t="s">
        <v>67</v>
      </c>
      <c r="J1685" t="s">
        <v>67</v>
      </c>
      <c r="K1685" t="s">
        <v>67</v>
      </c>
      <c r="L1685" t="s">
        <v>2795</v>
      </c>
      <c r="M1685" t="s">
        <v>2796</v>
      </c>
      <c r="N1685" t="s">
        <v>67</v>
      </c>
      <c r="O1685" t="s">
        <v>2797</v>
      </c>
      <c r="P1685" t="s">
        <v>2798</v>
      </c>
      <c r="S1685" s="5"/>
      <c r="T1685" t="s">
        <v>72</v>
      </c>
      <c r="U1685" t="s">
        <v>87</v>
      </c>
      <c r="V1685" t="s">
        <v>74</v>
      </c>
      <c r="W1685" t="s">
        <v>87</v>
      </c>
      <c r="AE1685" s="2"/>
      <c r="AF1685" s="2"/>
      <c r="AG1685" s="2"/>
      <c r="AH1685" s="2"/>
      <c r="AK1685" t="s">
        <v>4225</v>
      </c>
      <c r="AL1685" s="2">
        <v>1888000</v>
      </c>
      <c r="AM1685" s="2">
        <v>0</v>
      </c>
      <c r="AN1685" s="2"/>
      <c r="AO1685" s="2">
        <v>0</v>
      </c>
      <c r="AP1685" s="2">
        <v>1888000</v>
      </c>
      <c r="AQ1685" s="2">
        <v>0</v>
      </c>
      <c r="AR1685" s="2">
        <v>0</v>
      </c>
      <c r="AS1685" s="2">
        <v>0</v>
      </c>
      <c r="AT1685" s="2">
        <v>0</v>
      </c>
      <c r="AU1685" s="2">
        <v>0</v>
      </c>
      <c r="AV1685" s="2">
        <v>0</v>
      </c>
      <c r="AW1685" s="4"/>
      <c r="AX1685" t="s">
        <v>75</v>
      </c>
      <c r="AZ1685" t="s">
        <v>710</v>
      </c>
      <c r="BA1685" t="s">
        <v>67</v>
      </c>
      <c r="BB1685" t="s">
        <v>711</v>
      </c>
      <c r="BC1685" t="s">
        <v>204</v>
      </c>
      <c r="BD1685" t="s">
        <v>79</v>
      </c>
      <c r="BE1685" t="s">
        <v>273</v>
      </c>
      <c r="BF1685" s="5">
        <v>46266</v>
      </c>
      <c r="BH1685">
        <v>3</v>
      </c>
      <c r="BI1685" s="6">
        <v>850000</v>
      </c>
      <c r="BJ1685" s="6">
        <v>0</v>
      </c>
      <c r="BK1685" s="6">
        <v>580000</v>
      </c>
      <c r="BL1685" s="6">
        <v>270000</v>
      </c>
      <c r="BM1685" s="2">
        <v>810000</v>
      </c>
      <c r="BN1685">
        <f>InvoiceTable[[#This Row],[Giảm giá]]*InvoiceTable[[#This Row],[Số lượng]]</f>
        <v>1740000</v>
      </c>
    </row>
    <row r="1686" spans="1:66" x14ac:dyDescent="0.25">
      <c r="A1686" t="s">
        <v>65</v>
      </c>
      <c r="B1686" t="s">
        <v>4224</v>
      </c>
      <c r="F1686" s="2"/>
      <c r="G1686" s="3">
        <v>45999.492493321763</v>
      </c>
      <c r="H1686" s="3">
        <v>45999.49249340278</v>
      </c>
      <c r="I1686" s="4" t="s">
        <v>67</v>
      </c>
      <c r="J1686" t="s">
        <v>67</v>
      </c>
      <c r="K1686" t="s">
        <v>67</v>
      </c>
      <c r="L1686" t="s">
        <v>2795</v>
      </c>
      <c r="M1686" t="s">
        <v>2796</v>
      </c>
      <c r="N1686" t="s">
        <v>67</v>
      </c>
      <c r="O1686" t="s">
        <v>2797</v>
      </c>
      <c r="P1686" t="s">
        <v>2798</v>
      </c>
      <c r="S1686" s="5"/>
      <c r="T1686" t="s">
        <v>72</v>
      </c>
      <c r="U1686" t="s">
        <v>87</v>
      </c>
      <c r="V1686" t="s">
        <v>74</v>
      </c>
      <c r="W1686" t="s">
        <v>87</v>
      </c>
      <c r="AE1686" s="2"/>
      <c r="AF1686" s="2"/>
      <c r="AG1686" s="2"/>
      <c r="AH1686" s="2"/>
      <c r="AK1686" t="s">
        <v>4225</v>
      </c>
      <c r="AL1686" s="2">
        <v>1888000</v>
      </c>
      <c r="AM1686" s="2">
        <v>0</v>
      </c>
      <c r="AN1686" s="2"/>
      <c r="AO1686" s="2">
        <v>0</v>
      </c>
      <c r="AP1686" s="2">
        <v>1888000</v>
      </c>
      <c r="AQ1686" s="2">
        <v>0</v>
      </c>
      <c r="AR1686" s="2">
        <v>0</v>
      </c>
      <c r="AS1686" s="2">
        <v>0</v>
      </c>
      <c r="AT1686" s="2">
        <v>0</v>
      </c>
      <c r="AU1686" s="2">
        <v>0</v>
      </c>
      <c r="AV1686" s="2">
        <v>0</v>
      </c>
      <c r="AW1686" s="4"/>
      <c r="AX1686" t="s">
        <v>75</v>
      </c>
      <c r="AZ1686" t="s">
        <v>4226</v>
      </c>
      <c r="BA1686" t="s">
        <v>67</v>
      </c>
      <c r="BB1686" t="s">
        <v>4227</v>
      </c>
      <c r="BC1686" t="s">
        <v>706</v>
      </c>
      <c r="BD1686" t="s">
        <v>79</v>
      </c>
      <c r="BE1686" t="s">
        <v>317</v>
      </c>
      <c r="BF1686" s="5">
        <v>46935</v>
      </c>
      <c r="BH1686">
        <v>2</v>
      </c>
      <c r="BI1686" s="6">
        <v>980000</v>
      </c>
      <c r="BJ1686" s="6">
        <v>45</v>
      </c>
      <c r="BK1686" s="6">
        <v>441000</v>
      </c>
      <c r="BL1686" s="6">
        <v>539000</v>
      </c>
      <c r="BM1686" s="2">
        <v>1078000</v>
      </c>
      <c r="BN1686">
        <f>InvoiceTable[[#This Row],[Giảm giá]]*InvoiceTable[[#This Row],[Số lượng]]</f>
        <v>882000</v>
      </c>
    </row>
    <row r="1687" spans="1:66" x14ac:dyDescent="0.25">
      <c r="A1687" t="s">
        <v>65</v>
      </c>
      <c r="B1687" t="s">
        <v>4228</v>
      </c>
      <c r="F1687" s="2"/>
      <c r="G1687" s="3">
        <v>45999.491990358794</v>
      </c>
      <c r="H1687" s="3">
        <v>45999.491805520833</v>
      </c>
      <c r="I1687" s="4" t="s">
        <v>96</v>
      </c>
      <c r="J1687" t="s">
        <v>4229</v>
      </c>
      <c r="K1687" t="s">
        <v>67</v>
      </c>
      <c r="L1687" t="s">
        <v>4230</v>
      </c>
      <c r="M1687" t="s">
        <v>4231</v>
      </c>
      <c r="N1687" t="s">
        <v>67</v>
      </c>
      <c r="O1687" t="s">
        <v>4232</v>
      </c>
      <c r="P1687" t="s">
        <v>4233</v>
      </c>
      <c r="Q1687" t="s">
        <v>67</v>
      </c>
      <c r="R1687" t="s">
        <v>67</v>
      </c>
      <c r="S1687" s="5"/>
      <c r="T1687" t="s">
        <v>72</v>
      </c>
      <c r="U1687" t="s">
        <v>102</v>
      </c>
      <c r="V1687" t="s">
        <v>74</v>
      </c>
      <c r="W1687" t="s">
        <v>87</v>
      </c>
      <c r="AE1687" s="2"/>
      <c r="AF1687" s="2"/>
      <c r="AG1687" s="2"/>
      <c r="AH1687" s="2"/>
      <c r="AK1687" t="s">
        <v>4234</v>
      </c>
      <c r="AL1687" s="2">
        <v>1700000</v>
      </c>
      <c r="AM1687" s="2">
        <v>0</v>
      </c>
      <c r="AN1687" s="2"/>
      <c r="AO1687" s="2">
        <v>0</v>
      </c>
      <c r="AP1687" s="2">
        <v>1700000</v>
      </c>
      <c r="AQ1687" s="2">
        <v>1700000</v>
      </c>
      <c r="AR1687" s="2">
        <v>0</v>
      </c>
      <c r="AS1687" s="2">
        <v>0</v>
      </c>
      <c r="AT1687" s="2">
        <v>0</v>
      </c>
      <c r="AU1687" s="2">
        <v>1700000</v>
      </c>
      <c r="AV1687" s="2">
        <v>0</v>
      </c>
      <c r="AW1687" s="4"/>
      <c r="AX1687" t="s">
        <v>75</v>
      </c>
      <c r="AZ1687" t="s">
        <v>4235</v>
      </c>
      <c r="BA1687" t="s">
        <v>67</v>
      </c>
      <c r="BB1687" t="s">
        <v>4236</v>
      </c>
      <c r="BC1687" t="s">
        <v>4237</v>
      </c>
      <c r="BD1687" t="s">
        <v>79</v>
      </c>
      <c r="BE1687" t="s">
        <v>142</v>
      </c>
      <c r="BF1687" s="5">
        <v>46844</v>
      </c>
      <c r="BH1687">
        <v>2</v>
      </c>
      <c r="BI1687" s="6">
        <v>1500000</v>
      </c>
      <c r="BJ1687" s="6">
        <v>43.33</v>
      </c>
      <c r="BK1687" s="6">
        <v>650000</v>
      </c>
      <c r="BL1687" s="6">
        <v>850000</v>
      </c>
      <c r="BM1687" s="2">
        <v>1700000</v>
      </c>
      <c r="BN1687">
        <f>InvoiceTable[[#This Row],[Giảm giá]]*InvoiceTable[[#This Row],[Số lượng]]</f>
        <v>1300000</v>
      </c>
    </row>
    <row r="1688" spans="1:66" x14ac:dyDescent="0.25">
      <c r="A1688" t="s">
        <v>65</v>
      </c>
      <c r="B1688" t="s">
        <v>4238</v>
      </c>
      <c r="F1688" s="2"/>
      <c r="G1688" s="3">
        <v>45999.491609525459</v>
      </c>
      <c r="H1688" s="3">
        <v>45999.491609641205</v>
      </c>
      <c r="I1688" s="4" t="s">
        <v>67</v>
      </c>
      <c r="J1688" t="s">
        <v>4239</v>
      </c>
      <c r="K1688" t="s">
        <v>67</v>
      </c>
      <c r="L1688" t="s">
        <v>119</v>
      </c>
      <c r="M1688" t="s">
        <v>120</v>
      </c>
      <c r="N1688" t="s">
        <v>67</v>
      </c>
      <c r="O1688" t="s">
        <v>121</v>
      </c>
      <c r="Q1688" t="s">
        <v>122</v>
      </c>
      <c r="R1688" t="s">
        <v>123</v>
      </c>
      <c r="S1688" s="5"/>
      <c r="T1688" t="s">
        <v>72</v>
      </c>
      <c r="U1688" t="s">
        <v>102</v>
      </c>
      <c r="V1688" t="s">
        <v>74</v>
      </c>
      <c r="W1688" t="s">
        <v>87</v>
      </c>
      <c r="AE1688" s="2"/>
      <c r="AF1688" s="2"/>
      <c r="AG1688" s="2"/>
      <c r="AH1688" s="2"/>
      <c r="AK1688" t="s">
        <v>1003</v>
      </c>
      <c r="AL1688" s="2">
        <v>2093500</v>
      </c>
      <c r="AM1688" s="2">
        <v>0</v>
      </c>
      <c r="AN1688" s="2"/>
      <c r="AO1688" s="2">
        <v>0</v>
      </c>
      <c r="AP1688" s="2">
        <v>2093500</v>
      </c>
      <c r="AQ1688" s="2">
        <v>0</v>
      </c>
      <c r="AR1688" s="2">
        <v>0</v>
      </c>
      <c r="AS1688" s="2">
        <v>0</v>
      </c>
      <c r="AT1688" s="2">
        <v>0</v>
      </c>
      <c r="AU1688" s="2">
        <v>0</v>
      </c>
      <c r="AV1688" s="2">
        <v>0</v>
      </c>
      <c r="AW1688" s="4"/>
      <c r="AX1688" t="s">
        <v>75</v>
      </c>
      <c r="AZ1688" t="s">
        <v>905</v>
      </c>
      <c r="BA1688" t="s">
        <v>67</v>
      </c>
      <c r="BB1688" t="s">
        <v>906</v>
      </c>
      <c r="BC1688" t="s">
        <v>285</v>
      </c>
      <c r="BD1688" t="s">
        <v>79</v>
      </c>
      <c r="BE1688" t="s">
        <v>117</v>
      </c>
      <c r="BF1688" s="5">
        <v>46569</v>
      </c>
      <c r="BH1688">
        <v>1</v>
      </c>
      <c r="BI1688" s="6">
        <v>3950000</v>
      </c>
      <c r="BJ1688" s="6">
        <v>47</v>
      </c>
      <c r="BK1688" s="6">
        <v>1856500</v>
      </c>
      <c r="BL1688" s="6">
        <v>2093500</v>
      </c>
      <c r="BM1688" s="2">
        <v>2093500</v>
      </c>
      <c r="BN1688">
        <f>InvoiceTable[[#This Row],[Giảm giá]]*InvoiceTable[[#This Row],[Số lượng]]</f>
        <v>1856500</v>
      </c>
    </row>
    <row r="1689" spans="1:66" x14ac:dyDescent="0.25">
      <c r="A1689" t="s">
        <v>65</v>
      </c>
      <c r="B1689" t="s">
        <v>4240</v>
      </c>
      <c r="F1689" s="2"/>
      <c r="G1689" s="3">
        <v>45999.491548414349</v>
      </c>
      <c r="H1689" s="3">
        <v>45999.491444409723</v>
      </c>
      <c r="I1689" s="4" t="s">
        <v>2428</v>
      </c>
      <c r="J1689" t="s">
        <v>4241</v>
      </c>
      <c r="K1689" t="s">
        <v>67</v>
      </c>
      <c r="L1689" t="s">
        <v>455</v>
      </c>
      <c r="M1689" t="s">
        <v>456</v>
      </c>
      <c r="N1689" t="s">
        <v>67</v>
      </c>
      <c r="O1689" t="s">
        <v>457</v>
      </c>
      <c r="P1689" t="s">
        <v>458</v>
      </c>
      <c r="Q1689" t="s">
        <v>459</v>
      </c>
      <c r="R1689" t="s">
        <v>460</v>
      </c>
      <c r="S1689" s="5"/>
      <c r="T1689" t="s">
        <v>72</v>
      </c>
      <c r="U1689" t="s">
        <v>1031</v>
      </c>
      <c r="V1689" t="s">
        <v>74</v>
      </c>
      <c r="W1689" t="s">
        <v>87</v>
      </c>
      <c r="AE1689" s="2"/>
      <c r="AF1689" s="2"/>
      <c r="AG1689" s="2"/>
      <c r="AH1689" s="2"/>
      <c r="AL1689" s="2">
        <v>360000</v>
      </c>
      <c r="AM1689" s="2">
        <v>0</v>
      </c>
      <c r="AN1689" s="2"/>
      <c r="AO1689" s="2">
        <v>0</v>
      </c>
      <c r="AP1689" s="2">
        <v>360000</v>
      </c>
      <c r="AQ1689" s="2">
        <v>0</v>
      </c>
      <c r="AR1689" s="2">
        <v>0</v>
      </c>
      <c r="AS1689" s="2">
        <v>0</v>
      </c>
      <c r="AT1689" s="2">
        <v>0</v>
      </c>
      <c r="AU1689" s="2">
        <v>0</v>
      </c>
      <c r="AV1689" s="2">
        <v>0</v>
      </c>
      <c r="AW1689" s="4"/>
      <c r="AX1689" t="s">
        <v>75</v>
      </c>
      <c r="AZ1689" t="s">
        <v>1920</v>
      </c>
      <c r="BA1689" t="s">
        <v>67</v>
      </c>
      <c r="BB1689" t="s">
        <v>1921</v>
      </c>
      <c r="BC1689" t="s">
        <v>126</v>
      </c>
      <c r="BD1689" t="s">
        <v>79</v>
      </c>
      <c r="BE1689" t="s">
        <v>195</v>
      </c>
      <c r="BF1689" s="5">
        <v>46419</v>
      </c>
      <c r="BG1689" t="s">
        <v>67</v>
      </c>
      <c r="BH1689">
        <v>1</v>
      </c>
      <c r="BI1689" s="6">
        <v>780000</v>
      </c>
      <c r="BJ1689" s="6">
        <v>0</v>
      </c>
      <c r="BK1689" s="6">
        <v>420000</v>
      </c>
      <c r="BL1689" s="6">
        <v>360000</v>
      </c>
      <c r="BM1689" s="2">
        <v>360000</v>
      </c>
      <c r="BN1689">
        <f>InvoiceTable[[#This Row],[Giảm giá]]*InvoiceTable[[#This Row],[Số lượng]]</f>
        <v>420000</v>
      </c>
    </row>
    <row r="1690" spans="1:66" x14ac:dyDescent="0.25">
      <c r="A1690" t="s">
        <v>65</v>
      </c>
      <c r="B1690" t="s">
        <v>4242</v>
      </c>
      <c r="F1690" s="2"/>
      <c r="G1690" s="3">
        <v>45999.488681446761</v>
      </c>
      <c r="H1690" s="3">
        <v>45999.488681516203</v>
      </c>
      <c r="I1690" s="4" t="s">
        <v>67</v>
      </c>
      <c r="J1690" t="s">
        <v>67</v>
      </c>
      <c r="K1690" t="s">
        <v>67</v>
      </c>
      <c r="L1690" t="s">
        <v>672</v>
      </c>
      <c r="M1690" t="s">
        <v>673</v>
      </c>
      <c r="N1690" t="s">
        <v>67</v>
      </c>
      <c r="Q1690" t="s">
        <v>67</v>
      </c>
      <c r="R1690" t="s">
        <v>67</v>
      </c>
      <c r="S1690" s="5"/>
      <c r="T1690" t="s">
        <v>72</v>
      </c>
      <c r="U1690" t="s">
        <v>87</v>
      </c>
      <c r="V1690" t="s">
        <v>74</v>
      </c>
      <c r="W1690" t="s">
        <v>87</v>
      </c>
      <c r="AE1690" s="2"/>
      <c r="AF1690" s="2"/>
      <c r="AG1690" s="2"/>
      <c r="AH1690" s="2"/>
      <c r="AL1690" s="2">
        <v>1090000</v>
      </c>
      <c r="AM1690" s="2">
        <v>0</v>
      </c>
      <c r="AN1690" s="2"/>
      <c r="AO1690" s="2">
        <v>0</v>
      </c>
      <c r="AP1690" s="2">
        <v>1090000</v>
      </c>
      <c r="AQ1690" s="2">
        <v>1090000</v>
      </c>
      <c r="AR1690" s="2">
        <v>0</v>
      </c>
      <c r="AS1690" s="2">
        <v>0</v>
      </c>
      <c r="AT1690" s="2">
        <v>0</v>
      </c>
      <c r="AU1690" s="2">
        <v>1090000</v>
      </c>
      <c r="AV1690" s="2">
        <v>0</v>
      </c>
      <c r="AW1690" s="4"/>
      <c r="AX1690" t="s">
        <v>75</v>
      </c>
      <c r="AZ1690" t="s">
        <v>1494</v>
      </c>
      <c r="BA1690" t="s">
        <v>67</v>
      </c>
      <c r="BB1690" t="s">
        <v>1495</v>
      </c>
      <c r="BC1690" t="s">
        <v>676</v>
      </c>
      <c r="BD1690" t="s">
        <v>79</v>
      </c>
      <c r="BE1690" t="s">
        <v>117</v>
      </c>
      <c r="BF1690" s="5">
        <v>46569</v>
      </c>
      <c r="BH1690">
        <v>1</v>
      </c>
      <c r="BI1690" s="6">
        <v>1690000</v>
      </c>
      <c r="BJ1690" s="6">
        <v>0</v>
      </c>
      <c r="BK1690" s="6">
        <v>600000</v>
      </c>
      <c r="BL1690" s="6">
        <v>1090000</v>
      </c>
      <c r="BM1690" s="2">
        <v>1090000</v>
      </c>
      <c r="BN1690">
        <f>InvoiceTable[[#This Row],[Giảm giá]]*InvoiceTable[[#This Row],[Số lượng]]</f>
        <v>600000</v>
      </c>
    </row>
    <row r="1691" spans="1:66" x14ac:dyDescent="0.25">
      <c r="A1691" t="s">
        <v>65</v>
      </c>
      <c r="B1691" t="s">
        <v>4243</v>
      </c>
      <c r="F1691" s="2"/>
      <c r="G1691" s="3">
        <v>45999.483861539353</v>
      </c>
      <c r="H1691" s="3">
        <v>45999.483861608795</v>
      </c>
      <c r="I1691" s="4" t="s">
        <v>67</v>
      </c>
      <c r="J1691" t="s">
        <v>67</v>
      </c>
      <c r="K1691" t="s">
        <v>67</v>
      </c>
      <c r="L1691" t="s">
        <v>1099</v>
      </c>
      <c r="M1691" t="s">
        <v>1100</v>
      </c>
      <c r="N1691" t="s">
        <v>67</v>
      </c>
      <c r="O1691" t="s">
        <v>1101</v>
      </c>
      <c r="P1691" t="s">
        <v>1102</v>
      </c>
      <c r="S1691" s="5"/>
      <c r="T1691" t="s">
        <v>72</v>
      </c>
      <c r="U1691" t="s">
        <v>87</v>
      </c>
      <c r="V1691" t="s">
        <v>74</v>
      </c>
      <c r="W1691" t="s">
        <v>87</v>
      </c>
      <c r="AE1691" s="2"/>
      <c r="AF1691" s="2"/>
      <c r="AG1691" s="2"/>
      <c r="AH1691" s="2"/>
      <c r="AL1691" s="2">
        <v>721500</v>
      </c>
      <c r="AM1691" s="2">
        <v>0</v>
      </c>
      <c r="AN1691" s="2"/>
      <c r="AO1691" s="2">
        <v>0</v>
      </c>
      <c r="AP1691" s="2">
        <v>721500</v>
      </c>
      <c r="AQ1691" s="2">
        <v>0</v>
      </c>
      <c r="AR1691" s="2">
        <v>0</v>
      </c>
      <c r="AS1691" s="2">
        <v>0</v>
      </c>
      <c r="AT1691" s="2">
        <v>0</v>
      </c>
      <c r="AU1691" s="2">
        <v>0</v>
      </c>
      <c r="AV1691" s="2">
        <v>0</v>
      </c>
      <c r="AW1691" s="4"/>
      <c r="AX1691" t="s">
        <v>75</v>
      </c>
      <c r="AZ1691" t="s">
        <v>2470</v>
      </c>
      <c r="BA1691" t="s">
        <v>67</v>
      </c>
      <c r="BB1691" t="s">
        <v>2471</v>
      </c>
      <c r="BC1691" t="s">
        <v>1489</v>
      </c>
      <c r="BD1691" t="s">
        <v>79</v>
      </c>
      <c r="BE1691" t="s">
        <v>434</v>
      </c>
      <c r="BF1691" s="5">
        <v>46661</v>
      </c>
      <c r="BH1691">
        <v>2</v>
      </c>
      <c r="BI1691" s="6">
        <v>555000</v>
      </c>
      <c r="BJ1691" s="6">
        <v>35</v>
      </c>
      <c r="BK1691" s="6">
        <v>194250</v>
      </c>
      <c r="BL1691" s="6">
        <v>360750</v>
      </c>
      <c r="BM1691" s="2">
        <v>721500</v>
      </c>
      <c r="BN1691">
        <f>InvoiceTable[[#This Row],[Giảm giá]]*InvoiceTable[[#This Row],[Số lượng]]</f>
        <v>388500</v>
      </c>
    </row>
    <row r="1692" spans="1:66" x14ac:dyDescent="0.25">
      <c r="A1692" t="s">
        <v>65</v>
      </c>
      <c r="B1692" t="s">
        <v>4244</v>
      </c>
      <c r="F1692" s="2"/>
      <c r="G1692" s="3">
        <v>45999.479416782407</v>
      </c>
      <c r="H1692" s="3">
        <v>45999.479231712961</v>
      </c>
      <c r="I1692" s="4" t="s">
        <v>96</v>
      </c>
      <c r="J1692" t="s">
        <v>4245</v>
      </c>
      <c r="K1692" t="s">
        <v>67</v>
      </c>
      <c r="L1692" t="s">
        <v>4131</v>
      </c>
      <c r="M1692" t="s">
        <v>4132</v>
      </c>
      <c r="N1692" t="s">
        <v>67</v>
      </c>
      <c r="O1692" t="s">
        <v>4133</v>
      </c>
      <c r="P1692" t="s">
        <v>4134</v>
      </c>
      <c r="Q1692" t="s">
        <v>67</v>
      </c>
      <c r="R1692" t="s">
        <v>67</v>
      </c>
      <c r="S1692" s="5"/>
      <c r="T1692" t="s">
        <v>72</v>
      </c>
      <c r="U1692" t="s">
        <v>102</v>
      </c>
      <c r="V1692" t="s">
        <v>74</v>
      </c>
      <c r="W1692" t="s">
        <v>87</v>
      </c>
      <c r="AE1692" s="2"/>
      <c r="AF1692" s="2"/>
      <c r="AG1692" s="2"/>
      <c r="AH1692" s="2"/>
      <c r="AK1692" t="s">
        <v>4246</v>
      </c>
      <c r="AL1692" s="2">
        <v>2699000</v>
      </c>
      <c r="AM1692" s="2">
        <v>0</v>
      </c>
      <c r="AN1692" s="2"/>
      <c r="AO1692" s="2">
        <v>0</v>
      </c>
      <c r="AP1692" s="2">
        <v>2699000</v>
      </c>
      <c r="AQ1692" s="2">
        <v>0</v>
      </c>
      <c r="AR1692" s="2">
        <v>0</v>
      </c>
      <c r="AS1692" s="2">
        <v>0</v>
      </c>
      <c r="AT1692" s="2">
        <v>0</v>
      </c>
      <c r="AU1692" s="2">
        <v>0</v>
      </c>
      <c r="AV1692" s="2">
        <v>0</v>
      </c>
      <c r="AW1692" s="4"/>
      <c r="AX1692" t="s">
        <v>75</v>
      </c>
      <c r="AZ1692" t="s">
        <v>4247</v>
      </c>
      <c r="BA1692" t="s">
        <v>67</v>
      </c>
      <c r="BB1692" t="s">
        <v>4248</v>
      </c>
      <c r="BC1692" t="s">
        <v>126</v>
      </c>
      <c r="BD1692" t="s">
        <v>79</v>
      </c>
      <c r="BE1692" t="s">
        <v>117</v>
      </c>
      <c r="BF1692" s="5">
        <v>46569</v>
      </c>
      <c r="BG1692" t="s">
        <v>67</v>
      </c>
      <c r="BH1692">
        <v>2</v>
      </c>
      <c r="BI1692" s="6">
        <v>420000</v>
      </c>
      <c r="BJ1692" s="6">
        <v>0</v>
      </c>
      <c r="BK1692" s="6">
        <v>260000</v>
      </c>
      <c r="BL1692" s="6">
        <v>160000</v>
      </c>
      <c r="BM1692" s="2">
        <v>320000</v>
      </c>
      <c r="BN1692">
        <f>InvoiceTable[[#This Row],[Giảm giá]]*InvoiceTable[[#This Row],[Số lượng]]</f>
        <v>520000</v>
      </c>
    </row>
    <row r="1693" spans="1:66" x14ac:dyDescent="0.25">
      <c r="A1693" t="s">
        <v>65</v>
      </c>
      <c r="B1693" t="s">
        <v>4244</v>
      </c>
      <c r="F1693" s="2"/>
      <c r="G1693" s="3">
        <v>45999.479416782407</v>
      </c>
      <c r="H1693" s="3">
        <v>45999.479231712961</v>
      </c>
      <c r="I1693" s="4" t="s">
        <v>96</v>
      </c>
      <c r="J1693" t="s">
        <v>4245</v>
      </c>
      <c r="K1693" t="s">
        <v>67</v>
      </c>
      <c r="L1693" t="s">
        <v>4131</v>
      </c>
      <c r="M1693" t="s">
        <v>4132</v>
      </c>
      <c r="N1693" t="s">
        <v>67</v>
      </c>
      <c r="O1693" t="s">
        <v>4133</v>
      </c>
      <c r="P1693" t="s">
        <v>4134</v>
      </c>
      <c r="Q1693" t="s">
        <v>67</v>
      </c>
      <c r="R1693" t="s">
        <v>67</v>
      </c>
      <c r="S1693" s="5"/>
      <c r="T1693" t="s">
        <v>72</v>
      </c>
      <c r="U1693" t="s">
        <v>102</v>
      </c>
      <c r="V1693" t="s">
        <v>74</v>
      </c>
      <c r="W1693" t="s">
        <v>87</v>
      </c>
      <c r="AE1693" s="2"/>
      <c r="AF1693" s="2"/>
      <c r="AG1693" s="2"/>
      <c r="AH1693" s="2"/>
      <c r="AK1693" t="s">
        <v>4246</v>
      </c>
      <c r="AL1693" s="2">
        <v>2699000</v>
      </c>
      <c r="AM1693" s="2">
        <v>0</v>
      </c>
      <c r="AN1693" s="2"/>
      <c r="AO1693" s="2">
        <v>0</v>
      </c>
      <c r="AP1693" s="2">
        <v>2699000</v>
      </c>
      <c r="AQ1693" s="2">
        <v>0</v>
      </c>
      <c r="AR1693" s="2">
        <v>0</v>
      </c>
      <c r="AS1693" s="2">
        <v>0</v>
      </c>
      <c r="AT1693" s="2">
        <v>0</v>
      </c>
      <c r="AU1693" s="2">
        <v>0</v>
      </c>
      <c r="AV1693" s="2">
        <v>0</v>
      </c>
      <c r="AW1693" s="4"/>
      <c r="AX1693" t="s">
        <v>75</v>
      </c>
      <c r="AZ1693" t="s">
        <v>1860</v>
      </c>
      <c r="BA1693" t="s">
        <v>67</v>
      </c>
      <c r="BB1693" t="s">
        <v>1861</v>
      </c>
      <c r="BC1693" t="s">
        <v>1714</v>
      </c>
      <c r="BD1693" t="s">
        <v>79</v>
      </c>
      <c r="BE1693" t="s">
        <v>317</v>
      </c>
      <c r="BF1693" s="5">
        <v>46935</v>
      </c>
      <c r="BH1693">
        <v>10</v>
      </c>
      <c r="BI1693" s="6">
        <v>390000</v>
      </c>
      <c r="BJ1693" s="6">
        <v>39</v>
      </c>
      <c r="BK1693" s="6">
        <v>152100</v>
      </c>
      <c r="BL1693" s="6">
        <v>237900</v>
      </c>
      <c r="BM1693" s="2">
        <v>2379000</v>
      </c>
      <c r="BN1693">
        <f>InvoiceTable[[#This Row],[Giảm giá]]*InvoiceTable[[#This Row],[Số lượng]]</f>
        <v>1521000</v>
      </c>
    </row>
    <row r="1694" spans="1:66" x14ac:dyDescent="0.25">
      <c r="A1694" t="s">
        <v>65</v>
      </c>
      <c r="B1694" t="s">
        <v>4249</v>
      </c>
      <c r="F1694" s="2"/>
      <c r="G1694" s="3">
        <v>45999.479062349536</v>
      </c>
      <c r="H1694" s="3">
        <v>45999.479062465274</v>
      </c>
      <c r="I1694" s="4" t="s">
        <v>67</v>
      </c>
      <c r="J1694" t="s">
        <v>4250</v>
      </c>
      <c r="K1694" t="s">
        <v>67</v>
      </c>
      <c r="L1694" t="s">
        <v>4251</v>
      </c>
      <c r="M1694" t="s">
        <v>4252</v>
      </c>
      <c r="N1694" t="s">
        <v>4253</v>
      </c>
      <c r="O1694" t="s">
        <v>4254</v>
      </c>
      <c r="P1694" t="s">
        <v>4255</v>
      </c>
      <c r="S1694" s="5"/>
      <c r="T1694" t="s">
        <v>72</v>
      </c>
      <c r="U1694" t="s">
        <v>73</v>
      </c>
      <c r="V1694" t="s">
        <v>74</v>
      </c>
      <c r="W1694" t="s">
        <v>87</v>
      </c>
      <c r="AE1694" s="2"/>
      <c r="AF1694" s="2"/>
      <c r="AG1694" s="2"/>
      <c r="AH1694" s="2"/>
      <c r="AL1694" s="2">
        <v>1320000</v>
      </c>
      <c r="AM1694" s="2">
        <v>0</v>
      </c>
      <c r="AN1694" s="2"/>
      <c r="AO1694" s="2">
        <v>0</v>
      </c>
      <c r="AP1694" s="2">
        <v>1320000</v>
      </c>
      <c r="AQ1694" s="2">
        <v>1320000</v>
      </c>
      <c r="AR1694" s="2">
        <v>1320000</v>
      </c>
      <c r="AS1694" s="2">
        <v>0</v>
      </c>
      <c r="AT1694" s="2">
        <v>0</v>
      </c>
      <c r="AU1694" s="2">
        <v>0</v>
      </c>
      <c r="AV1694" s="2">
        <v>0</v>
      </c>
      <c r="AW1694" s="4"/>
      <c r="AX1694" t="s">
        <v>75</v>
      </c>
      <c r="AZ1694" t="s">
        <v>748</v>
      </c>
      <c r="BA1694" t="s">
        <v>67</v>
      </c>
      <c r="BB1694" t="s">
        <v>749</v>
      </c>
      <c r="BC1694" t="s">
        <v>750</v>
      </c>
      <c r="BD1694" t="s">
        <v>79</v>
      </c>
      <c r="BE1694" t="s">
        <v>117</v>
      </c>
      <c r="BF1694" s="5">
        <v>46569</v>
      </c>
      <c r="BH1694">
        <v>1</v>
      </c>
      <c r="BI1694" s="6">
        <v>1500000</v>
      </c>
      <c r="BJ1694" s="6">
        <v>0</v>
      </c>
      <c r="BK1694" s="6">
        <v>400000</v>
      </c>
      <c r="BL1694" s="6">
        <v>1100000</v>
      </c>
      <c r="BM1694" s="2">
        <v>1100000</v>
      </c>
      <c r="BN1694">
        <f>InvoiceTable[[#This Row],[Giảm giá]]*InvoiceTable[[#This Row],[Số lượng]]</f>
        <v>400000</v>
      </c>
    </row>
    <row r="1695" spans="1:66" x14ac:dyDescent="0.25">
      <c r="A1695" t="s">
        <v>65</v>
      </c>
      <c r="B1695" t="s">
        <v>4249</v>
      </c>
      <c r="F1695" s="2"/>
      <c r="G1695" s="3">
        <v>45999.479062349536</v>
      </c>
      <c r="H1695" s="3">
        <v>45999.479062465274</v>
      </c>
      <c r="I1695" s="4" t="s">
        <v>67</v>
      </c>
      <c r="J1695" t="s">
        <v>4250</v>
      </c>
      <c r="K1695" t="s">
        <v>67</v>
      </c>
      <c r="L1695" t="s">
        <v>4251</v>
      </c>
      <c r="M1695" t="s">
        <v>4252</v>
      </c>
      <c r="N1695" t="s">
        <v>4253</v>
      </c>
      <c r="O1695" t="s">
        <v>4254</v>
      </c>
      <c r="P1695" t="s">
        <v>4255</v>
      </c>
      <c r="S1695" s="5"/>
      <c r="T1695" t="s">
        <v>72</v>
      </c>
      <c r="U1695" t="s">
        <v>73</v>
      </c>
      <c r="V1695" t="s">
        <v>74</v>
      </c>
      <c r="W1695" t="s">
        <v>87</v>
      </c>
      <c r="AE1695" s="2"/>
      <c r="AF1695" s="2"/>
      <c r="AG1695" s="2"/>
      <c r="AH1695" s="2"/>
      <c r="AL1695" s="2">
        <v>1320000</v>
      </c>
      <c r="AM1695" s="2">
        <v>0</v>
      </c>
      <c r="AN1695" s="2"/>
      <c r="AO1695" s="2">
        <v>0</v>
      </c>
      <c r="AP1695" s="2">
        <v>1320000</v>
      </c>
      <c r="AQ1695" s="2">
        <v>1320000</v>
      </c>
      <c r="AR1695" s="2">
        <v>1320000</v>
      </c>
      <c r="AS1695" s="2">
        <v>0</v>
      </c>
      <c r="AT1695" s="2">
        <v>0</v>
      </c>
      <c r="AU1695" s="2">
        <v>0</v>
      </c>
      <c r="AV1695" s="2">
        <v>0</v>
      </c>
      <c r="AW1695" s="4"/>
      <c r="AX1695" t="s">
        <v>75</v>
      </c>
      <c r="AZ1695" t="s">
        <v>1537</v>
      </c>
      <c r="BA1695" t="s">
        <v>67</v>
      </c>
      <c r="BB1695" t="s">
        <v>1538</v>
      </c>
      <c r="BC1695" t="s">
        <v>126</v>
      </c>
      <c r="BD1695" t="s">
        <v>79</v>
      </c>
      <c r="BE1695" t="s">
        <v>195</v>
      </c>
      <c r="BF1695" s="5">
        <v>46419</v>
      </c>
      <c r="BG1695" t="s">
        <v>67</v>
      </c>
      <c r="BH1695">
        <v>1</v>
      </c>
      <c r="BI1695" s="6">
        <v>180000</v>
      </c>
      <c r="BJ1695" s="6">
        <v>0</v>
      </c>
      <c r="BK1695" s="6">
        <v>100000</v>
      </c>
      <c r="BL1695" s="6">
        <v>80000</v>
      </c>
      <c r="BM1695" s="2">
        <v>80000</v>
      </c>
      <c r="BN1695">
        <f>InvoiceTable[[#This Row],[Giảm giá]]*InvoiceTable[[#This Row],[Số lượng]]</f>
        <v>100000</v>
      </c>
    </row>
    <row r="1696" spans="1:66" x14ac:dyDescent="0.25">
      <c r="A1696" t="s">
        <v>65</v>
      </c>
      <c r="B1696" t="s">
        <v>4249</v>
      </c>
      <c r="F1696" s="2"/>
      <c r="G1696" s="3">
        <v>45999.479062349536</v>
      </c>
      <c r="H1696" s="3">
        <v>45999.479062465274</v>
      </c>
      <c r="I1696" s="4" t="s">
        <v>67</v>
      </c>
      <c r="J1696" t="s">
        <v>4250</v>
      </c>
      <c r="K1696" t="s">
        <v>67</v>
      </c>
      <c r="L1696" t="s">
        <v>4251</v>
      </c>
      <c r="M1696" t="s">
        <v>4252</v>
      </c>
      <c r="N1696" t="s">
        <v>4253</v>
      </c>
      <c r="O1696" t="s">
        <v>4254</v>
      </c>
      <c r="P1696" t="s">
        <v>4255</v>
      </c>
      <c r="S1696" s="5"/>
      <c r="T1696" t="s">
        <v>72</v>
      </c>
      <c r="U1696" t="s">
        <v>73</v>
      </c>
      <c r="V1696" t="s">
        <v>74</v>
      </c>
      <c r="W1696" t="s">
        <v>87</v>
      </c>
      <c r="AE1696" s="2"/>
      <c r="AF1696" s="2"/>
      <c r="AG1696" s="2"/>
      <c r="AH1696" s="2"/>
      <c r="AL1696" s="2">
        <v>1320000</v>
      </c>
      <c r="AM1696" s="2">
        <v>0</v>
      </c>
      <c r="AN1696" s="2"/>
      <c r="AO1696" s="2">
        <v>0</v>
      </c>
      <c r="AP1696" s="2">
        <v>1320000</v>
      </c>
      <c r="AQ1696" s="2">
        <v>1320000</v>
      </c>
      <c r="AR1696" s="2">
        <v>1320000</v>
      </c>
      <c r="AS1696" s="2">
        <v>0</v>
      </c>
      <c r="AT1696" s="2">
        <v>0</v>
      </c>
      <c r="AU1696" s="2">
        <v>0</v>
      </c>
      <c r="AV1696" s="2">
        <v>0</v>
      </c>
      <c r="AW1696" s="4"/>
      <c r="AX1696" t="s">
        <v>75</v>
      </c>
      <c r="AZ1696" t="s">
        <v>291</v>
      </c>
      <c r="BA1696" t="s">
        <v>67</v>
      </c>
      <c r="BB1696" t="s">
        <v>292</v>
      </c>
      <c r="BC1696" t="s">
        <v>126</v>
      </c>
      <c r="BD1696" t="s">
        <v>79</v>
      </c>
      <c r="BE1696" t="s">
        <v>94</v>
      </c>
      <c r="BF1696" s="5">
        <v>46692</v>
      </c>
      <c r="BG1696" t="s">
        <v>67</v>
      </c>
      <c r="BH1696">
        <v>2</v>
      </c>
      <c r="BI1696" s="6">
        <v>250000</v>
      </c>
      <c r="BJ1696" s="6">
        <v>0</v>
      </c>
      <c r="BK1696" s="6">
        <v>180000</v>
      </c>
      <c r="BL1696" s="6">
        <v>70000</v>
      </c>
      <c r="BM1696" s="2">
        <v>140000</v>
      </c>
      <c r="BN1696">
        <f>InvoiceTable[[#This Row],[Giảm giá]]*InvoiceTable[[#This Row],[Số lượng]]</f>
        <v>360000</v>
      </c>
    </row>
    <row r="1697" spans="1:66" x14ac:dyDescent="0.25">
      <c r="A1697" t="s">
        <v>65</v>
      </c>
      <c r="B1697" t="s">
        <v>4256</v>
      </c>
      <c r="F1697" s="2"/>
      <c r="G1697" s="3">
        <v>45999.478824652775</v>
      </c>
      <c r="H1697" s="3">
        <v>45999.478824768521</v>
      </c>
      <c r="I1697" s="4" t="s">
        <v>67</v>
      </c>
      <c r="J1697" t="s">
        <v>4257</v>
      </c>
      <c r="K1697" t="s">
        <v>67</v>
      </c>
      <c r="L1697" t="s">
        <v>2346</v>
      </c>
      <c r="M1697" t="s">
        <v>2347</v>
      </c>
      <c r="N1697" t="s">
        <v>2348</v>
      </c>
      <c r="O1697" t="s">
        <v>2349</v>
      </c>
      <c r="P1697" t="s">
        <v>2350</v>
      </c>
      <c r="S1697" s="5"/>
      <c r="T1697" t="s">
        <v>72</v>
      </c>
      <c r="U1697" t="s">
        <v>87</v>
      </c>
      <c r="V1697" t="s">
        <v>74</v>
      </c>
      <c r="W1697" t="s">
        <v>87</v>
      </c>
      <c r="AE1697" s="2"/>
      <c r="AF1697" s="2"/>
      <c r="AG1697" s="2"/>
      <c r="AH1697" s="2"/>
      <c r="AL1697" s="2">
        <v>2084054</v>
      </c>
      <c r="AM1697" s="2">
        <v>0</v>
      </c>
      <c r="AN1697" s="2"/>
      <c r="AO1697" s="2">
        <v>0</v>
      </c>
      <c r="AP1697" s="2">
        <v>2084054</v>
      </c>
      <c r="AQ1697" s="2">
        <v>2084054</v>
      </c>
      <c r="AR1697" s="2">
        <v>0</v>
      </c>
      <c r="AS1697" s="2">
        <v>0</v>
      </c>
      <c r="AT1697" s="2">
        <v>0</v>
      </c>
      <c r="AU1697" s="2">
        <v>2084054</v>
      </c>
      <c r="AV1697" s="2">
        <v>0</v>
      </c>
      <c r="AW1697" s="4"/>
      <c r="AX1697" t="s">
        <v>75</v>
      </c>
      <c r="AZ1697" t="s">
        <v>4258</v>
      </c>
      <c r="BA1697" t="s">
        <v>67</v>
      </c>
      <c r="BB1697" t="s">
        <v>4259</v>
      </c>
      <c r="BC1697" t="s">
        <v>1067</v>
      </c>
      <c r="BD1697" t="s">
        <v>79</v>
      </c>
      <c r="BE1697" t="s">
        <v>198</v>
      </c>
      <c r="BF1697" s="5">
        <v>46753</v>
      </c>
      <c r="BH1697">
        <v>2</v>
      </c>
      <c r="BI1697" s="6">
        <v>618000</v>
      </c>
      <c r="BJ1697" s="6">
        <v>38</v>
      </c>
      <c r="BK1697" s="6">
        <v>234840</v>
      </c>
      <c r="BL1697" s="6">
        <v>383160</v>
      </c>
      <c r="BM1697" s="2">
        <v>766320</v>
      </c>
      <c r="BN1697">
        <f>InvoiceTable[[#This Row],[Giảm giá]]*InvoiceTable[[#This Row],[Số lượng]]</f>
        <v>469680</v>
      </c>
    </row>
    <row r="1698" spans="1:66" x14ac:dyDescent="0.25">
      <c r="A1698" t="s">
        <v>65</v>
      </c>
      <c r="B1698" t="s">
        <v>4256</v>
      </c>
      <c r="F1698" s="2"/>
      <c r="G1698" s="3">
        <v>45999.478824652775</v>
      </c>
      <c r="H1698" s="3">
        <v>45999.478824768521</v>
      </c>
      <c r="I1698" s="4" t="s">
        <v>67</v>
      </c>
      <c r="J1698" t="s">
        <v>4257</v>
      </c>
      <c r="K1698" t="s">
        <v>67</v>
      </c>
      <c r="L1698" t="s">
        <v>2346</v>
      </c>
      <c r="M1698" t="s">
        <v>2347</v>
      </c>
      <c r="N1698" t="s">
        <v>2348</v>
      </c>
      <c r="O1698" t="s">
        <v>2349</v>
      </c>
      <c r="P1698" t="s">
        <v>2350</v>
      </c>
      <c r="S1698" s="5"/>
      <c r="T1698" t="s">
        <v>72</v>
      </c>
      <c r="U1698" t="s">
        <v>87</v>
      </c>
      <c r="V1698" t="s">
        <v>74</v>
      </c>
      <c r="W1698" t="s">
        <v>87</v>
      </c>
      <c r="AE1698" s="2"/>
      <c r="AF1698" s="2"/>
      <c r="AG1698" s="2"/>
      <c r="AH1698" s="2"/>
      <c r="AL1698" s="2">
        <v>2084054</v>
      </c>
      <c r="AM1698" s="2">
        <v>0</v>
      </c>
      <c r="AN1698" s="2"/>
      <c r="AO1698" s="2">
        <v>0</v>
      </c>
      <c r="AP1698" s="2">
        <v>2084054</v>
      </c>
      <c r="AQ1698" s="2">
        <v>2084054</v>
      </c>
      <c r="AR1698" s="2">
        <v>0</v>
      </c>
      <c r="AS1698" s="2">
        <v>0</v>
      </c>
      <c r="AT1698" s="2">
        <v>0</v>
      </c>
      <c r="AU1698" s="2">
        <v>2084054</v>
      </c>
      <c r="AV1698" s="2">
        <v>0</v>
      </c>
      <c r="AW1698" s="4"/>
      <c r="AX1698" t="s">
        <v>75</v>
      </c>
      <c r="AZ1698" t="s">
        <v>3248</v>
      </c>
      <c r="BA1698" t="s">
        <v>67</v>
      </c>
      <c r="BB1698" t="s">
        <v>3249</v>
      </c>
      <c r="BC1698" t="s">
        <v>721</v>
      </c>
      <c r="BD1698" t="s">
        <v>79</v>
      </c>
      <c r="BE1698" t="s">
        <v>216</v>
      </c>
      <c r="BF1698" s="5">
        <v>46784</v>
      </c>
      <c r="BH1698">
        <v>1</v>
      </c>
      <c r="BI1698" s="6">
        <v>980000</v>
      </c>
      <c r="BJ1698" s="6">
        <v>45</v>
      </c>
      <c r="BK1698" s="6">
        <v>441000</v>
      </c>
      <c r="BL1698" s="6">
        <v>539000</v>
      </c>
      <c r="BM1698" s="2">
        <v>539000</v>
      </c>
      <c r="BN1698">
        <f>InvoiceTable[[#This Row],[Giảm giá]]*InvoiceTable[[#This Row],[Số lượng]]</f>
        <v>441000</v>
      </c>
    </row>
    <row r="1699" spans="1:66" x14ac:dyDescent="0.25">
      <c r="A1699" t="s">
        <v>65</v>
      </c>
      <c r="B1699" t="s">
        <v>4256</v>
      </c>
      <c r="F1699" s="2"/>
      <c r="G1699" s="3">
        <v>45999.478824652775</v>
      </c>
      <c r="H1699" s="3">
        <v>45999.478824768521</v>
      </c>
      <c r="I1699" s="4" t="s">
        <v>67</v>
      </c>
      <c r="J1699" t="s">
        <v>4257</v>
      </c>
      <c r="K1699" t="s">
        <v>67</v>
      </c>
      <c r="L1699" t="s">
        <v>2346</v>
      </c>
      <c r="M1699" t="s">
        <v>2347</v>
      </c>
      <c r="N1699" t="s">
        <v>2348</v>
      </c>
      <c r="O1699" t="s">
        <v>2349</v>
      </c>
      <c r="P1699" t="s">
        <v>2350</v>
      </c>
      <c r="S1699" s="5"/>
      <c r="T1699" t="s">
        <v>72</v>
      </c>
      <c r="U1699" t="s">
        <v>87</v>
      </c>
      <c r="V1699" t="s">
        <v>74</v>
      </c>
      <c r="W1699" t="s">
        <v>87</v>
      </c>
      <c r="AE1699" s="2"/>
      <c r="AF1699" s="2"/>
      <c r="AG1699" s="2"/>
      <c r="AH1699" s="2"/>
      <c r="AL1699" s="2">
        <v>2084054</v>
      </c>
      <c r="AM1699" s="2">
        <v>0</v>
      </c>
      <c r="AN1699" s="2"/>
      <c r="AO1699" s="2">
        <v>0</v>
      </c>
      <c r="AP1699" s="2">
        <v>2084054</v>
      </c>
      <c r="AQ1699" s="2">
        <v>2084054</v>
      </c>
      <c r="AR1699" s="2">
        <v>0</v>
      </c>
      <c r="AS1699" s="2">
        <v>0</v>
      </c>
      <c r="AT1699" s="2">
        <v>0</v>
      </c>
      <c r="AU1699" s="2">
        <v>2084054</v>
      </c>
      <c r="AV1699" s="2">
        <v>0</v>
      </c>
      <c r="AW1699" s="4"/>
      <c r="AX1699" t="s">
        <v>75</v>
      </c>
      <c r="AZ1699" t="s">
        <v>4260</v>
      </c>
      <c r="BA1699" t="s">
        <v>67</v>
      </c>
      <c r="BB1699" t="s">
        <v>4261</v>
      </c>
      <c r="BC1699" t="s">
        <v>1851</v>
      </c>
      <c r="BD1699" t="s">
        <v>79</v>
      </c>
      <c r="BE1699" t="s">
        <v>106</v>
      </c>
      <c r="BF1699" s="5">
        <v>46327</v>
      </c>
      <c r="BH1699">
        <v>1</v>
      </c>
      <c r="BI1699" s="6">
        <v>1366200</v>
      </c>
      <c r="BJ1699" s="6">
        <v>43</v>
      </c>
      <c r="BK1699" s="6">
        <v>587466</v>
      </c>
      <c r="BL1699" s="6">
        <v>778734</v>
      </c>
      <c r="BM1699" s="2">
        <v>778734</v>
      </c>
      <c r="BN1699">
        <f>InvoiceTable[[#This Row],[Giảm giá]]*InvoiceTable[[#This Row],[Số lượng]]</f>
        <v>587466</v>
      </c>
    </row>
    <row r="1700" spans="1:66" x14ac:dyDescent="0.25">
      <c r="A1700" t="s">
        <v>65</v>
      </c>
      <c r="B1700" t="s">
        <v>4262</v>
      </c>
      <c r="F1700" s="2"/>
      <c r="G1700" s="3">
        <v>45999.469505868059</v>
      </c>
      <c r="H1700" s="3">
        <v>45999.469505983798</v>
      </c>
      <c r="I1700" s="4" t="s">
        <v>67</v>
      </c>
      <c r="J1700" t="s">
        <v>67</v>
      </c>
      <c r="K1700" t="s">
        <v>67</v>
      </c>
      <c r="L1700" t="s">
        <v>455</v>
      </c>
      <c r="M1700" t="s">
        <v>456</v>
      </c>
      <c r="N1700" t="s">
        <v>67</v>
      </c>
      <c r="O1700" t="s">
        <v>457</v>
      </c>
      <c r="P1700" t="s">
        <v>458</v>
      </c>
      <c r="Q1700" t="s">
        <v>459</v>
      </c>
      <c r="R1700" t="s">
        <v>460</v>
      </c>
      <c r="S1700" s="5"/>
      <c r="T1700" t="s">
        <v>72</v>
      </c>
      <c r="U1700" t="s">
        <v>87</v>
      </c>
      <c r="V1700" t="s">
        <v>74</v>
      </c>
      <c r="W1700" t="s">
        <v>87</v>
      </c>
      <c r="AE1700" s="2"/>
      <c r="AF1700" s="2"/>
      <c r="AG1700" s="2"/>
      <c r="AH1700" s="2"/>
      <c r="AK1700" t="s">
        <v>4263</v>
      </c>
      <c r="AL1700" s="2">
        <v>1750000</v>
      </c>
      <c r="AM1700" s="2">
        <v>0</v>
      </c>
      <c r="AN1700" s="2"/>
      <c r="AO1700" s="2">
        <v>0</v>
      </c>
      <c r="AP1700" s="2">
        <v>1750000</v>
      </c>
      <c r="AQ1700" s="2">
        <v>0</v>
      </c>
      <c r="AR1700" s="2">
        <v>0</v>
      </c>
      <c r="AS1700" s="2">
        <v>0</v>
      </c>
      <c r="AT1700" s="2">
        <v>0</v>
      </c>
      <c r="AU1700" s="2">
        <v>0</v>
      </c>
      <c r="AV1700" s="2">
        <v>0</v>
      </c>
      <c r="AW1700" s="4"/>
      <c r="AX1700" t="s">
        <v>75</v>
      </c>
      <c r="AZ1700" t="s">
        <v>518</v>
      </c>
      <c r="BA1700" t="s">
        <v>67</v>
      </c>
      <c r="BB1700" t="s">
        <v>519</v>
      </c>
      <c r="BC1700" t="s">
        <v>78</v>
      </c>
      <c r="BD1700" t="s">
        <v>79</v>
      </c>
      <c r="BE1700" t="s">
        <v>80</v>
      </c>
      <c r="BF1700" s="5">
        <v>47300</v>
      </c>
      <c r="BH1700">
        <v>1</v>
      </c>
      <c r="BI1700" s="6">
        <v>3500000</v>
      </c>
      <c r="BJ1700" s="6">
        <v>50</v>
      </c>
      <c r="BK1700" s="6">
        <v>1750000</v>
      </c>
      <c r="BL1700" s="6">
        <v>1750000</v>
      </c>
      <c r="BM1700" s="2">
        <v>1750000</v>
      </c>
      <c r="BN1700">
        <f>InvoiceTable[[#This Row],[Giảm giá]]*InvoiceTable[[#This Row],[Số lượng]]</f>
        <v>1750000</v>
      </c>
    </row>
    <row r="1701" spans="1:66" x14ac:dyDescent="0.25">
      <c r="A1701" t="s">
        <v>65</v>
      </c>
      <c r="B1701" t="s">
        <v>4264</v>
      </c>
      <c r="F1701" s="2"/>
      <c r="G1701" s="3">
        <v>45999.469136342595</v>
      </c>
      <c r="H1701" s="3">
        <v>45999.469113391206</v>
      </c>
      <c r="I1701" s="4" t="s">
        <v>3493</v>
      </c>
      <c r="J1701" t="s">
        <v>4265</v>
      </c>
      <c r="K1701" t="s">
        <v>67</v>
      </c>
      <c r="L1701" t="s">
        <v>963</v>
      </c>
      <c r="M1701" t="s">
        <v>964</v>
      </c>
      <c r="N1701" t="s">
        <v>67</v>
      </c>
      <c r="O1701" t="s">
        <v>965</v>
      </c>
      <c r="P1701" t="s">
        <v>966</v>
      </c>
      <c r="Q1701" t="s">
        <v>67</v>
      </c>
      <c r="R1701" t="s">
        <v>67</v>
      </c>
      <c r="S1701" s="5"/>
      <c r="T1701" t="s">
        <v>72</v>
      </c>
      <c r="U1701" t="s">
        <v>102</v>
      </c>
      <c r="V1701" t="s">
        <v>74</v>
      </c>
      <c r="W1701" t="s">
        <v>87</v>
      </c>
      <c r="AE1701" s="2"/>
      <c r="AF1701" s="2"/>
      <c r="AG1701" s="2"/>
      <c r="AH1701" s="2"/>
      <c r="AK1701" t="s">
        <v>1652</v>
      </c>
      <c r="AL1701" s="2">
        <v>2856000</v>
      </c>
      <c r="AM1701" s="2">
        <v>0</v>
      </c>
      <c r="AN1701" s="2"/>
      <c r="AO1701" s="2">
        <v>0</v>
      </c>
      <c r="AP1701" s="2">
        <v>2856000</v>
      </c>
      <c r="AQ1701" s="2">
        <v>2856000</v>
      </c>
      <c r="AR1701" s="2">
        <v>2856000</v>
      </c>
      <c r="AS1701" s="2">
        <v>0</v>
      </c>
      <c r="AT1701" s="2">
        <v>0</v>
      </c>
      <c r="AU1701" s="2">
        <v>0</v>
      </c>
      <c r="AV1701" s="2">
        <v>0</v>
      </c>
      <c r="AW1701" s="4"/>
      <c r="AX1701" t="s">
        <v>75</v>
      </c>
      <c r="AZ1701" t="s">
        <v>968</v>
      </c>
      <c r="BA1701" t="s">
        <v>67</v>
      </c>
      <c r="BB1701" t="s">
        <v>969</v>
      </c>
      <c r="BC1701" t="s">
        <v>970</v>
      </c>
      <c r="BD1701" t="s">
        <v>79</v>
      </c>
      <c r="BE1701" t="s">
        <v>195</v>
      </c>
      <c r="BF1701" s="5">
        <v>46419</v>
      </c>
      <c r="BG1701" t="s">
        <v>67</v>
      </c>
      <c r="BH1701">
        <v>1</v>
      </c>
      <c r="BI1701" s="6">
        <v>3360000</v>
      </c>
      <c r="BJ1701" s="6">
        <v>15</v>
      </c>
      <c r="BK1701" s="6">
        <v>504000</v>
      </c>
      <c r="BL1701" s="6">
        <v>2856000</v>
      </c>
      <c r="BM1701" s="2">
        <v>2856000</v>
      </c>
      <c r="BN1701">
        <f>InvoiceTable[[#This Row],[Giảm giá]]*InvoiceTable[[#This Row],[Số lượng]]</f>
        <v>504000</v>
      </c>
    </row>
    <row r="1702" spans="1:66" x14ac:dyDescent="0.25">
      <c r="A1702" t="s">
        <v>65</v>
      </c>
      <c r="B1702" t="s">
        <v>4266</v>
      </c>
      <c r="F1702" s="2"/>
      <c r="G1702" s="3">
        <v>45999.468513738429</v>
      </c>
      <c r="H1702" s="3">
        <v>45999.468513854168</v>
      </c>
      <c r="I1702" s="4" t="s">
        <v>4267</v>
      </c>
      <c r="J1702" t="s">
        <v>67</v>
      </c>
      <c r="K1702" t="s">
        <v>67</v>
      </c>
      <c r="L1702" t="s">
        <v>866</v>
      </c>
      <c r="M1702" t="s">
        <v>867</v>
      </c>
      <c r="N1702" t="s">
        <v>868</v>
      </c>
      <c r="O1702" t="s">
        <v>869</v>
      </c>
      <c r="P1702" t="s">
        <v>870</v>
      </c>
      <c r="S1702" s="5"/>
      <c r="T1702" t="s">
        <v>72</v>
      </c>
      <c r="U1702" t="s">
        <v>87</v>
      </c>
      <c r="V1702" t="s">
        <v>74</v>
      </c>
      <c r="W1702" t="s">
        <v>87</v>
      </c>
      <c r="AE1702" s="2"/>
      <c r="AF1702" s="2"/>
      <c r="AG1702" s="2"/>
      <c r="AH1702" s="2"/>
      <c r="AK1702" t="s">
        <v>4268</v>
      </c>
      <c r="AL1702" s="2">
        <v>2969550</v>
      </c>
      <c r="AM1702" s="2">
        <v>0</v>
      </c>
      <c r="AN1702" s="2"/>
      <c r="AO1702" s="2">
        <v>0</v>
      </c>
      <c r="AP1702" s="2">
        <v>2969550</v>
      </c>
      <c r="AQ1702" s="2">
        <v>0</v>
      </c>
      <c r="AR1702" s="2">
        <v>0</v>
      </c>
      <c r="AS1702" s="2">
        <v>0</v>
      </c>
      <c r="AT1702" s="2">
        <v>0</v>
      </c>
      <c r="AU1702" s="2">
        <v>0</v>
      </c>
      <c r="AV1702" s="2">
        <v>0</v>
      </c>
      <c r="AW1702" s="4"/>
      <c r="AX1702" t="s">
        <v>75</v>
      </c>
      <c r="AZ1702" t="s">
        <v>1508</v>
      </c>
      <c r="BA1702" t="s">
        <v>67</v>
      </c>
      <c r="BB1702" t="s">
        <v>1509</v>
      </c>
      <c r="BC1702" t="s">
        <v>223</v>
      </c>
      <c r="BD1702" t="s">
        <v>79</v>
      </c>
      <c r="BE1702" t="s">
        <v>201</v>
      </c>
      <c r="BF1702" s="5">
        <v>46966</v>
      </c>
      <c r="BH1702">
        <v>1</v>
      </c>
      <c r="BI1702" s="6">
        <v>2950000</v>
      </c>
      <c r="BJ1702" s="6">
        <v>44</v>
      </c>
      <c r="BK1702" s="6">
        <v>1298000</v>
      </c>
      <c r="BL1702" s="6">
        <v>1652000</v>
      </c>
      <c r="BM1702" s="2">
        <v>1652000</v>
      </c>
      <c r="BN1702">
        <f>InvoiceTable[[#This Row],[Giảm giá]]*InvoiceTable[[#This Row],[Số lượng]]</f>
        <v>1298000</v>
      </c>
    </row>
    <row r="1703" spans="1:66" x14ac:dyDescent="0.25">
      <c r="A1703" t="s">
        <v>65</v>
      </c>
      <c r="B1703" t="s">
        <v>4266</v>
      </c>
      <c r="F1703" s="2"/>
      <c r="G1703" s="3">
        <v>45999.468513738429</v>
      </c>
      <c r="H1703" s="3">
        <v>45999.468513854168</v>
      </c>
      <c r="I1703" s="4" t="s">
        <v>4267</v>
      </c>
      <c r="J1703" t="s">
        <v>67</v>
      </c>
      <c r="K1703" t="s">
        <v>67</v>
      </c>
      <c r="L1703" t="s">
        <v>866</v>
      </c>
      <c r="M1703" t="s">
        <v>867</v>
      </c>
      <c r="N1703" t="s">
        <v>868</v>
      </c>
      <c r="O1703" t="s">
        <v>869</v>
      </c>
      <c r="P1703" t="s">
        <v>870</v>
      </c>
      <c r="S1703" s="5"/>
      <c r="T1703" t="s">
        <v>72</v>
      </c>
      <c r="U1703" t="s">
        <v>87</v>
      </c>
      <c r="V1703" t="s">
        <v>74</v>
      </c>
      <c r="W1703" t="s">
        <v>87</v>
      </c>
      <c r="AE1703" s="2"/>
      <c r="AF1703" s="2"/>
      <c r="AG1703" s="2"/>
      <c r="AH1703" s="2"/>
      <c r="AK1703" t="s">
        <v>4268</v>
      </c>
      <c r="AL1703" s="2">
        <v>2969550</v>
      </c>
      <c r="AM1703" s="2">
        <v>0</v>
      </c>
      <c r="AN1703" s="2"/>
      <c r="AO1703" s="2">
        <v>0</v>
      </c>
      <c r="AP1703" s="2">
        <v>2969550</v>
      </c>
      <c r="AQ1703" s="2">
        <v>0</v>
      </c>
      <c r="AR1703" s="2">
        <v>0</v>
      </c>
      <c r="AS1703" s="2">
        <v>0</v>
      </c>
      <c r="AT1703" s="2">
        <v>0</v>
      </c>
      <c r="AU1703" s="2">
        <v>0</v>
      </c>
      <c r="AV1703" s="2">
        <v>0</v>
      </c>
      <c r="AW1703" s="4"/>
      <c r="AX1703" t="s">
        <v>75</v>
      </c>
      <c r="AZ1703" t="s">
        <v>2849</v>
      </c>
      <c r="BB1703" t="s">
        <v>2850</v>
      </c>
      <c r="BC1703" t="s">
        <v>212</v>
      </c>
      <c r="BD1703" t="s">
        <v>79</v>
      </c>
      <c r="BE1703" t="s">
        <v>145</v>
      </c>
      <c r="BF1703" s="5">
        <v>46508</v>
      </c>
      <c r="BH1703">
        <v>1</v>
      </c>
      <c r="BI1703" s="6">
        <v>415000</v>
      </c>
      <c r="BJ1703" s="6">
        <v>35</v>
      </c>
      <c r="BK1703" s="6">
        <v>145250</v>
      </c>
      <c r="BL1703" s="6">
        <v>269750</v>
      </c>
      <c r="BM1703" s="2">
        <v>269750</v>
      </c>
      <c r="BN1703">
        <f>InvoiceTable[[#This Row],[Giảm giá]]*InvoiceTable[[#This Row],[Số lượng]]</f>
        <v>145250</v>
      </c>
    </row>
    <row r="1704" spans="1:66" x14ac:dyDescent="0.25">
      <c r="A1704" t="s">
        <v>65</v>
      </c>
      <c r="B1704" t="s">
        <v>4266</v>
      </c>
      <c r="F1704" s="2"/>
      <c r="G1704" s="3">
        <v>45999.468513738429</v>
      </c>
      <c r="H1704" s="3">
        <v>45999.468513854168</v>
      </c>
      <c r="I1704" s="4" t="s">
        <v>4267</v>
      </c>
      <c r="J1704" t="s">
        <v>67</v>
      </c>
      <c r="K1704" t="s">
        <v>67</v>
      </c>
      <c r="L1704" t="s">
        <v>866</v>
      </c>
      <c r="M1704" t="s">
        <v>867</v>
      </c>
      <c r="N1704" t="s">
        <v>868</v>
      </c>
      <c r="O1704" t="s">
        <v>869</v>
      </c>
      <c r="P1704" t="s">
        <v>870</v>
      </c>
      <c r="S1704" s="5"/>
      <c r="T1704" t="s">
        <v>72</v>
      </c>
      <c r="U1704" t="s">
        <v>87</v>
      </c>
      <c r="V1704" t="s">
        <v>74</v>
      </c>
      <c r="W1704" t="s">
        <v>87</v>
      </c>
      <c r="AE1704" s="2"/>
      <c r="AF1704" s="2"/>
      <c r="AG1704" s="2"/>
      <c r="AH1704" s="2"/>
      <c r="AK1704" t="s">
        <v>4268</v>
      </c>
      <c r="AL1704" s="2">
        <v>2969550</v>
      </c>
      <c r="AM1704" s="2">
        <v>0</v>
      </c>
      <c r="AN1704" s="2"/>
      <c r="AO1704" s="2">
        <v>0</v>
      </c>
      <c r="AP1704" s="2">
        <v>2969550</v>
      </c>
      <c r="AQ1704" s="2">
        <v>0</v>
      </c>
      <c r="AR1704" s="2">
        <v>0</v>
      </c>
      <c r="AS1704" s="2">
        <v>0</v>
      </c>
      <c r="AT1704" s="2">
        <v>0</v>
      </c>
      <c r="AU1704" s="2">
        <v>0</v>
      </c>
      <c r="AV1704" s="2">
        <v>0</v>
      </c>
      <c r="AW1704" s="4"/>
      <c r="AX1704" t="s">
        <v>75</v>
      </c>
      <c r="AZ1704" t="s">
        <v>1105</v>
      </c>
      <c r="BA1704" t="s">
        <v>67</v>
      </c>
      <c r="BB1704" t="s">
        <v>1106</v>
      </c>
      <c r="BC1704" t="s">
        <v>939</v>
      </c>
      <c r="BD1704" t="s">
        <v>79</v>
      </c>
      <c r="BE1704" t="s">
        <v>378</v>
      </c>
      <c r="BF1704" s="5">
        <v>46997</v>
      </c>
      <c r="BH1704">
        <v>2</v>
      </c>
      <c r="BI1704" s="6">
        <v>845000</v>
      </c>
      <c r="BJ1704" s="6">
        <v>38</v>
      </c>
      <c r="BK1704" s="6">
        <v>321100</v>
      </c>
      <c r="BL1704" s="6">
        <v>523900</v>
      </c>
      <c r="BM1704" s="2">
        <v>1047800</v>
      </c>
      <c r="BN1704">
        <f>InvoiceTable[[#This Row],[Giảm giá]]*InvoiceTable[[#This Row],[Số lượng]]</f>
        <v>642200</v>
      </c>
    </row>
    <row r="1705" spans="1:66" x14ac:dyDescent="0.25">
      <c r="A1705" t="s">
        <v>65</v>
      </c>
      <c r="B1705" t="s">
        <v>4269</v>
      </c>
      <c r="F1705" s="2"/>
      <c r="G1705" s="3">
        <v>45999.466471643522</v>
      </c>
      <c r="H1705" s="3">
        <v>45999.46647175926</v>
      </c>
      <c r="I1705" s="4" t="s">
        <v>67</v>
      </c>
      <c r="J1705" t="s">
        <v>4270</v>
      </c>
      <c r="K1705" t="s">
        <v>67</v>
      </c>
      <c r="L1705" t="s">
        <v>4271</v>
      </c>
      <c r="M1705" t="s">
        <v>4272</v>
      </c>
      <c r="N1705" t="s">
        <v>67</v>
      </c>
      <c r="O1705" t="s">
        <v>4273</v>
      </c>
      <c r="P1705" t="s">
        <v>4274</v>
      </c>
      <c r="Q1705" t="s">
        <v>67</v>
      </c>
      <c r="R1705" t="s">
        <v>67</v>
      </c>
      <c r="S1705" s="5"/>
      <c r="T1705" t="s">
        <v>72</v>
      </c>
      <c r="U1705" t="s">
        <v>87</v>
      </c>
      <c r="V1705" t="s">
        <v>74</v>
      </c>
      <c r="W1705" t="s">
        <v>87</v>
      </c>
      <c r="AE1705" s="2"/>
      <c r="AF1705" s="2"/>
      <c r="AG1705" s="2"/>
      <c r="AH1705" s="2"/>
      <c r="AK1705" t="s">
        <v>4275</v>
      </c>
      <c r="AL1705" s="2">
        <v>1236300</v>
      </c>
      <c r="AM1705" s="2">
        <v>0</v>
      </c>
      <c r="AN1705" s="2"/>
      <c r="AO1705" s="2">
        <v>0</v>
      </c>
      <c r="AP1705" s="2">
        <v>1236300</v>
      </c>
      <c r="AQ1705" s="2">
        <v>0</v>
      </c>
      <c r="AR1705" s="2">
        <v>0</v>
      </c>
      <c r="AS1705" s="2">
        <v>0</v>
      </c>
      <c r="AT1705" s="2">
        <v>0</v>
      </c>
      <c r="AU1705" s="2">
        <v>0</v>
      </c>
      <c r="AV1705" s="2">
        <v>0</v>
      </c>
      <c r="AW1705" s="4"/>
      <c r="AX1705" t="s">
        <v>75</v>
      </c>
      <c r="AZ1705" t="s">
        <v>3248</v>
      </c>
      <c r="BA1705" t="s">
        <v>67</v>
      </c>
      <c r="BB1705" t="s">
        <v>3249</v>
      </c>
      <c r="BC1705" t="s">
        <v>721</v>
      </c>
      <c r="BD1705" t="s">
        <v>79</v>
      </c>
      <c r="BE1705" t="s">
        <v>216</v>
      </c>
      <c r="BF1705" s="5">
        <v>46784</v>
      </c>
      <c r="BH1705">
        <v>1</v>
      </c>
      <c r="BI1705" s="6">
        <v>980000</v>
      </c>
      <c r="BJ1705" s="6">
        <v>44</v>
      </c>
      <c r="BK1705" s="6">
        <v>431200</v>
      </c>
      <c r="BL1705" s="6">
        <v>548800</v>
      </c>
      <c r="BM1705" s="2">
        <v>548800</v>
      </c>
      <c r="BN1705">
        <f>InvoiceTable[[#This Row],[Giảm giá]]*InvoiceTable[[#This Row],[Số lượng]]</f>
        <v>431200</v>
      </c>
    </row>
    <row r="1706" spans="1:66" x14ac:dyDescent="0.25">
      <c r="A1706" t="s">
        <v>65</v>
      </c>
      <c r="B1706" t="s">
        <v>4269</v>
      </c>
      <c r="F1706" s="2"/>
      <c r="G1706" s="3">
        <v>45999.466471643522</v>
      </c>
      <c r="H1706" s="3">
        <v>45999.46647175926</v>
      </c>
      <c r="I1706" s="4" t="s">
        <v>67</v>
      </c>
      <c r="J1706" t="s">
        <v>4270</v>
      </c>
      <c r="K1706" t="s">
        <v>67</v>
      </c>
      <c r="L1706" t="s">
        <v>4271</v>
      </c>
      <c r="M1706" t="s">
        <v>4272</v>
      </c>
      <c r="N1706" t="s">
        <v>67</v>
      </c>
      <c r="O1706" t="s">
        <v>4273</v>
      </c>
      <c r="P1706" t="s">
        <v>4274</v>
      </c>
      <c r="Q1706" t="s">
        <v>67</v>
      </c>
      <c r="R1706" t="s">
        <v>67</v>
      </c>
      <c r="S1706" s="5"/>
      <c r="T1706" t="s">
        <v>72</v>
      </c>
      <c r="U1706" t="s">
        <v>87</v>
      </c>
      <c r="V1706" t="s">
        <v>74</v>
      </c>
      <c r="W1706" t="s">
        <v>87</v>
      </c>
      <c r="AE1706" s="2"/>
      <c r="AF1706" s="2"/>
      <c r="AG1706" s="2"/>
      <c r="AH1706" s="2"/>
      <c r="AK1706" t="s">
        <v>4275</v>
      </c>
      <c r="AL1706" s="2">
        <v>1236300</v>
      </c>
      <c r="AM1706" s="2">
        <v>0</v>
      </c>
      <c r="AN1706" s="2"/>
      <c r="AO1706" s="2">
        <v>0</v>
      </c>
      <c r="AP1706" s="2">
        <v>1236300</v>
      </c>
      <c r="AQ1706" s="2">
        <v>0</v>
      </c>
      <c r="AR1706" s="2">
        <v>0</v>
      </c>
      <c r="AS1706" s="2">
        <v>0</v>
      </c>
      <c r="AT1706" s="2">
        <v>0</v>
      </c>
      <c r="AU1706" s="2">
        <v>0</v>
      </c>
      <c r="AV1706" s="2">
        <v>0</v>
      </c>
      <c r="AW1706" s="4"/>
      <c r="AX1706" t="s">
        <v>75</v>
      </c>
      <c r="AZ1706" t="s">
        <v>659</v>
      </c>
      <c r="BA1706" t="s">
        <v>67</v>
      </c>
      <c r="BB1706" t="s">
        <v>660</v>
      </c>
      <c r="BC1706" t="s">
        <v>223</v>
      </c>
      <c r="BD1706" t="s">
        <v>79</v>
      </c>
      <c r="BE1706" t="s">
        <v>661</v>
      </c>
      <c r="BF1706" s="5">
        <v>47025</v>
      </c>
      <c r="BH1706">
        <v>1</v>
      </c>
      <c r="BI1706" s="6">
        <v>1250000</v>
      </c>
      <c r="BJ1706" s="6">
        <v>45</v>
      </c>
      <c r="BK1706" s="6">
        <v>562500</v>
      </c>
      <c r="BL1706" s="6">
        <v>687500</v>
      </c>
      <c r="BM1706" s="2">
        <v>687500</v>
      </c>
      <c r="BN1706">
        <f>InvoiceTable[[#This Row],[Giảm giá]]*InvoiceTable[[#This Row],[Số lượng]]</f>
        <v>562500</v>
      </c>
    </row>
    <row r="1707" spans="1:66" x14ac:dyDescent="0.25">
      <c r="A1707" t="s">
        <v>65</v>
      </c>
      <c r="B1707" t="s">
        <v>4276</v>
      </c>
      <c r="F1707" s="2"/>
      <c r="G1707" s="3">
        <v>45999.463790243055</v>
      </c>
      <c r="H1707" s="3">
        <v>45999.46379050926</v>
      </c>
      <c r="I1707" s="4" t="s">
        <v>67</v>
      </c>
      <c r="J1707" t="s">
        <v>4277</v>
      </c>
      <c r="K1707" t="s">
        <v>67</v>
      </c>
      <c r="L1707" t="s">
        <v>609</v>
      </c>
      <c r="M1707" t="s">
        <v>610</v>
      </c>
      <c r="N1707" t="s">
        <v>67</v>
      </c>
      <c r="O1707" t="s">
        <v>611</v>
      </c>
      <c r="P1707" t="s">
        <v>612</v>
      </c>
      <c r="S1707" s="5"/>
      <c r="T1707" t="s">
        <v>72</v>
      </c>
      <c r="U1707" t="s">
        <v>73</v>
      </c>
      <c r="V1707" t="s">
        <v>74</v>
      </c>
      <c r="W1707" t="s">
        <v>87</v>
      </c>
      <c r="AE1707" s="2"/>
      <c r="AF1707" s="2"/>
      <c r="AG1707" s="2"/>
      <c r="AH1707" s="2"/>
      <c r="AK1707" t="s">
        <v>258</v>
      </c>
      <c r="AL1707" s="2">
        <v>6343000</v>
      </c>
      <c r="AM1707" s="2">
        <v>0</v>
      </c>
      <c r="AN1707" s="2"/>
      <c r="AO1707" s="2">
        <v>0</v>
      </c>
      <c r="AP1707" s="2">
        <v>6343000</v>
      </c>
      <c r="AQ1707" s="2">
        <v>0</v>
      </c>
      <c r="AR1707" s="2">
        <v>0</v>
      </c>
      <c r="AS1707" s="2">
        <v>0</v>
      </c>
      <c r="AT1707" s="2">
        <v>0</v>
      </c>
      <c r="AU1707" s="2">
        <v>0</v>
      </c>
      <c r="AV1707" s="2">
        <v>0</v>
      </c>
      <c r="AW1707" s="4"/>
      <c r="AX1707" t="s">
        <v>75</v>
      </c>
      <c r="AZ1707" t="s">
        <v>704</v>
      </c>
      <c r="BA1707" t="s">
        <v>67</v>
      </c>
      <c r="BB1707" t="s">
        <v>705</v>
      </c>
      <c r="BC1707" t="s">
        <v>706</v>
      </c>
      <c r="BD1707" t="s">
        <v>79</v>
      </c>
      <c r="BE1707" t="s">
        <v>378</v>
      </c>
      <c r="BF1707" s="5">
        <v>46997</v>
      </c>
      <c r="BH1707">
        <v>5</v>
      </c>
      <c r="BI1707" s="6">
        <v>860000</v>
      </c>
      <c r="BJ1707" s="6">
        <v>45</v>
      </c>
      <c r="BK1707" s="6">
        <v>387000</v>
      </c>
      <c r="BL1707" s="6">
        <v>473000</v>
      </c>
      <c r="BM1707" s="2">
        <v>2365000</v>
      </c>
      <c r="BN1707">
        <f>InvoiceTable[[#This Row],[Giảm giá]]*InvoiceTable[[#This Row],[Số lượng]]</f>
        <v>1935000</v>
      </c>
    </row>
    <row r="1708" spans="1:66" x14ac:dyDescent="0.25">
      <c r="A1708" t="s">
        <v>65</v>
      </c>
      <c r="B1708" t="s">
        <v>4276</v>
      </c>
      <c r="F1708" s="2"/>
      <c r="G1708" s="3">
        <v>45999.463790243055</v>
      </c>
      <c r="H1708" s="3">
        <v>45999.46379050926</v>
      </c>
      <c r="I1708" s="4" t="s">
        <v>67</v>
      </c>
      <c r="J1708" t="s">
        <v>4277</v>
      </c>
      <c r="K1708" t="s">
        <v>67</v>
      </c>
      <c r="L1708" t="s">
        <v>609</v>
      </c>
      <c r="M1708" t="s">
        <v>610</v>
      </c>
      <c r="N1708" t="s">
        <v>67</v>
      </c>
      <c r="O1708" t="s">
        <v>611</v>
      </c>
      <c r="P1708" t="s">
        <v>612</v>
      </c>
      <c r="S1708" s="5"/>
      <c r="T1708" t="s">
        <v>72</v>
      </c>
      <c r="U1708" t="s">
        <v>73</v>
      </c>
      <c r="V1708" t="s">
        <v>74</v>
      </c>
      <c r="W1708" t="s">
        <v>87</v>
      </c>
      <c r="AE1708" s="2"/>
      <c r="AF1708" s="2"/>
      <c r="AG1708" s="2"/>
      <c r="AH1708" s="2"/>
      <c r="AK1708" t="s">
        <v>258</v>
      </c>
      <c r="AL1708" s="2">
        <v>6343000</v>
      </c>
      <c r="AM1708" s="2">
        <v>0</v>
      </c>
      <c r="AN1708" s="2"/>
      <c r="AO1708" s="2">
        <v>0</v>
      </c>
      <c r="AP1708" s="2">
        <v>6343000</v>
      </c>
      <c r="AQ1708" s="2">
        <v>0</v>
      </c>
      <c r="AR1708" s="2">
        <v>0</v>
      </c>
      <c r="AS1708" s="2">
        <v>0</v>
      </c>
      <c r="AT1708" s="2">
        <v>0</v>
      </c>
      <c r="AU1708" s="2">
        <v>0</v>
      </c>
      <c r="AV1708" s="2">
        <v>0</v>
      </c>
      <c r="AW1708" s="4"/>
      <c r="AX1708" t="s">
        <v>75</v>
      </c>
      <c r="AZ1708" t="s">
        <v>124</v>
      </c>
      <c r="BA1708" t="s">
        <v>67</v>
      </c>
      <c r="BB1708" t="s">
        <v>125</v>
      </c>
      <c r="BC1708" t="s">
        <v>126</v>
      </c>
      <c r="BD1708" t="s">
        <v>79</v>
      </c>
      <c r="BE1708" t="s">
        <v>3255</v>
      </c>
      <c r="BF1708" s="5">
        <v>46722</v>
      </c>
      <c r="BH1708">
        <v>1</v>
      </c>
      <c r="BI1708" s="6">
        <v>1200000</v>
      </c>
      <c r="BJ1708" s="6">
        <v>47.5</v>
      </c>
      <c r="BK1708" s="6">
        <v>570000</v>
      </c>
      <c r="BL1708" s="6">
        <v>630000</v>
      </c>
      <c r="BM1708" s="2">
        <v>630000</v>
      </c>
      <c r="BN1708">
        <f>InvoiceTable[[#This Row],[Giảm giá]]*InvoiceTable[[#This Row],[Số lượng]]</f>
        <v>570000</v>
      </c>
    </row>
    <row r="1709" spans="1:66" x14ac:dyDescent="0.25">
      <c r="A1709" t="s">
        <v>65</v>
      </c>
      <c r="B1709" t="s">
        <v>4276</v>
      </c>
      <c r="F1709" s="2"/>
      <c r="G1709" s="3">
        <v>45999.463790243055</v>
      </c>
      <c r="H1709" s="3">
        <v>45999.46379050926</v>
      </c>
      <c r="I1709" s="4" t="s">
        <v>67</v>
      </c>
      <c r="J1709" t="s">
        <v>4277</v>
      </c>
      <c r="K1709" t="s">
        <v>67</v>
      </c>
      <c r="L1709" t="s">
        <v>609</v>
      </c>
      <c r="M1709" t="s">
        <v>610</v>
      </c>
      <c r="N1709" t="s">
        <v>67</v>
      </c>
      <c r="O1709" t="s">
        <v>611</v>
      </c>
      <c r="P1709" t="s">
        <v>612</v>
      </c>
      <c r="S1709" s="5"/>
      <c r="T1709" t="s">
        <v>72</v>
      </c>
      <c r="U1709" t="s">
        <v>73</v>
      </c>
      <c r="V1709" t="s">
        <v>74</v>
      </c>
      <c r="W1709" t="s">
        <v>87</v>
      </c>
      <c r="AE1709" s="2"/>
      <c r="AF1709" s="2"/>
      <c r="AG1709" s="2"/>
      <c r="AH1709" s="2"/>
      <c r="AK1709" t="s">
        <v>258</v>
      </c>
      <c r="AL1709" s="2">
        <v>6343000</v>
      </c>
      <c r="AM1709" s="2">
        <v>0</v>
      </c>
      <c r="AN1709" s="2"/>
      <c r="AO1709" s="2">
        <v>0</v>
      </c>
      <c r="AP1709" s="2">
        <v>6343000</v>
      </c>
      <c r="AQ1709" s="2">
        <v>0</v>
      </c>
      <c r="AR1709" s="2">
        <v>0</v>
      </c>
      <c r="AS1709" s="2">
        <v>0</v>
      </c>
      <c r="AT1709" s="2">
        <v>0</v>
      </c>
      <c r="AU1709" s="2">
        <v>0</v>
      </c>
      <c r="AV1709" s="2">
        <v>0</v>
      </c>
      <c r="AW1709" s="4"/>
      <c r="AX1709" t="s">
        <v>75</v>
      </c>
      <c r="AZ1709" t="s">
        <v>2024</v>
      </c>
      <c r="BA1709" t="s">
        <v>67</v>
      </c>
      <c r="BB1709" t="s">
        <v>2025</v>
      </c>
      <c r="BC1709" t="s">
        <v>1991</v>
      </c>
      <c r="BD1709" t="s">
        <v>79</v>
      </c>
      <c r="BE1709" t="s">
        <v>142</v>
      </c>
      <c r="BF1709" s="5">
        <v>46844</v>
      </c>
      <c r="BH1709">
        <v>3</v>
      </c>
      <c r="BI1709" s="6">
        <v>1800000</v>
      </c>
      <c r="BJ1709" s="6">
        <v>38</v>
      </c>
      <c r="BK1709" s="6">
        <v>684000</v>
      </c>
      <c r="BL1709" s="6">
        <v>1116000</v>
      </c>
      <c r="BM1709" s="2">
        <v>3348000</v>
      </c>
      <c r="BN1709">
        <f>InvoiceTable[[#This Row],[Giảm giá]]*InvoiceTable[[#This Row],[Số lượng]]</f>
        <v>2052000</v>
      </c>
    </row>
    <row r="1710" spans="1:66" x14ac:dyDescent="0.25">
      <c r="A1710" t="s">
        <v>65</v>
      </c>
      <c r="B1710" t="s">
        <v>4278</v>
      </c>
      <c r="F1710" s="2"/>
      <c r="G1710" s="3">
        <v>45999.462866469905</v>
      </c>
      <c r="H1710" s="3">
        <v>45999.462866585651</v>
      </c>
      <c r="I1710" s="4" t="s">
        <v>67</v>
      </c>
      <c r="J1710" t="s">
        <v>67</v>
      </c>
      <c r="K1710" t="s">
        <v>67</v>
      </c>
      <c r="L1710" t="s">
        <v>111</v>
      </c>
      <c r="M1710" t="s">
        <v>112</v>
      </c>
      <c r="N1710" t="s">
        <v>67</v>
      </c>
      <c r="O1710" t="s">
        <v>113</v>
      </c>
      <c r="P1710" t="s">
        <v>114</v>
      </c>
      <c r="Q1710" t="s">
        <v>67</v>
      </c>
      <c r="R1710" t="s">
        <v>67</v>
      </c>
      <c r="S1710" s="5"/>
      <c r="T1710" t="s">
        <v>72</v>
      </c>
      <c r="U1710" t="s">
        <v>87</v>
      </c>
      <c r="V1710" t="s">
        <v>74</v>
      </c>
      <c r="W1710" t="s">
        <v>87</v>
      </c>
      <c r="AE1710" s="2"/>
      <c r="AF1710" s="2"/>
      <c r="AG1710" s="2"/>
      <c r="AH1710" s="2"/>
      <c r="AL1710" s="2">
        <v>9850000</v>
      </c>
      <c r="AM1710" s="2">
        <v>4925000</v>
      </c>
      <c r="AN1710" s="2"/>
      <c r="AO1710" s="2">
        <v>0</v>
      </c>
      <c r="AP1710" s="2">
        <v>4925000</v>
      </c>
      <c r="AQ1710" s="2">
        <v>0</v>
      </c>
      <c r="AR1710" s="2">
        <v>0</v>
      </c>
      <c r="AS1710" s="2">
        <v>0</v>
      </c>
      <c r="AT1710" s="2">
        <v>0</v>
      </c>
      <c r="AU1710" s="2">
        <v>0</v>
      </c>
      <c r="AV1710" s="2">
        <v>0</v>
      </c>
      <c r="AW1710" s="4"/>
      <c r="AX1710" t="s">
        <v>75</v>
      </c>
      <c r="AZ1710" t="s">
        <v>513</v>
      </c>
      <c r="BA1710" t="s">
        <v>67</v>
      </c>
      <c r="BB1710" t="s">
        <v>514</v>
      </c>
      <c r="BC1710" t="s">
        <v>78</v>
      </c>
      <c r="BD1710" t="s">
        <v>79</v>
      </c>
      <c r="BE1710" t="s">
        <v>168</v>
      </c>
      <c r="BF1710" s="5">
        <v>46388</v>
      </c>
      <c r="BH1710">
        <v>1</v>
      </c>
      <c r="BI1710" s="6">
        <v>2700000</v>
      </c>
      <c r="BJ1710" s="6">
        <v>0</v>
      </c>
      <c r="BK1710" s="6">
        <v>0</v>
      </c>
      <c r="BL1710" s="6">
        <v>2700000</v>
      </c>
      <c r="BM1710" s="2">
        <v>2700000</v>
      </c>
      <c r="BN1710">
        <f>InvoiceTable[[#This Row],[Giảm giá]]*InvoiceTable[[#This Row],[Số lượng]]</f>
        <v>0</v>
      </c>
    </row>
    <row r="1711" spans="1:66" x14ac:dyDescent="0.25">
      <c r="A1711" t="s">
        <v>65</v>
      </c>
      <c r="B1711" t="s">
        <v>4278</v>
      </c>
      <c r="F1711" s="2"/>
      <c r="G1711" s="3">
        <v>45999.462866469905</v>
      </c>
      <c r="H1711" s="3">
        <v>45999.462866585651</v>
      </c>
      <c r="I1711" s="4" t="s">
        <v>67</v>
      </c>
      <c r="J1711" t="s">
        <v>67</v>
      </c>
      <c r="K1711" t="s">
        <v>67</v>
      </c>
      <c r="L1711" t="s">
        <v>111</v>
      </c>
      <c r="M1711" t="s">
        <v>112</v>
      </c>
      <c r="N1711" t="s">
        <v>67</v>
      </c>
      <c r="O1711" t="s">
        <v>113</v>
      </c>
      <c r="P1711" t="s">
        <v>114</v>
      </c>
      <c r="Q1711" t="s">
        <v>67</v>
      </c>
      <c r="R1711" t="s">
        <v>67</v>
      </c>
      <c r="S1711" s="5"/>
      <c r="T1711" t="s">
        <v>72</v>
      </c>
      <c r="U1711" t="s">
        <v>87</v>
      </c>
      <c r="V1711" t="s">
        <v>74</v>
      </c>
      <c r="W1711" t="s">
        <v>87</v>
      </c>
      <c r="AE1711" s="2"/>
      <c r="AF1711" s="2"/>
      <c r="AG1711" s="2"/>
      <c r="AH1711" s="2"/>
      <c r="AL1711" s="2">
        <v>9850000</v>
      </c>
      <c r="AM1711" s="2">
        <v>4925000</v>
      </c>
      <c r="AN1711" s="2"/>
      <c r="AO1711" s="2">
        <v>0</v>
      </c>
      <c r="AP1711" s="2">
        <v>4925000</v>
      </c>
      <c r="AQ1711" s="2">
        <v>0</v>
      </c>
      <c r="AR1711" s="2">
        <v>0</v>
      </c>
      <c r="AS1711" s="2">
        <v>0</v>
      </c>
      <c r="AT1711" s="2">
        <v>0</v>
      </c>
      <c r="AU1711" s="2">
        <v>0</v>
      </c>
      <c r="AV1711" s="2">
        <v>0</v>
      </c>
      <c r="AW1711" s="4"/>
      <c r="AX1711" t="s">
        <v>75</v>
      </c>
      <c r="AZ1711" t="s">
        <v>2228</v>
      </c>
      <c r="BA1711" t="s">
        <v>67</v>
      </c>
      <c r="BB1711" t="s">
        <v>2229</v>
      </c>
      <c r="BC1711" t="s">
        <v>78</v>
      </c>
      <c r="BD1711" t="s">
        <v>79</v>
      </c>
      <c r="BE1711" t="s">
        <v>168</v>
      </c>
      <c r="BF1711" s="5">
        <v>46388</v>
      </c>
      <c r="BG1711" t="s">
        <v>67</v>
      </c>
      <c r="BH1711">
        <v>1</v>
      </c>
      <c r="BI1711" s="6">
        <v>3800000</v>
      </c>
      <c r="BJ1711" s="6">
        <v>0</v>
      </c>
      <c r="BK1711" s="6">
        <v>0</v>
      </c>
      <c r="BL1711" s="6">
        <v>3800000</v>
      </c>
      <c r="BM1711" s="2">
        <v>3800000</v>
      </c>
      <c r="BN1711">
        <f>InvoiceTable[[#This Row],[Giảm giá]]*InvoiceTable[[#This Row],[Số lượng]]</f>
        <v>0</v>
      </c>
    </row>
    <row r="1712" spans="1:66" x14ac:dyDescent="0.25">
      <c r="A1712" t="s">
        <v>65</v>
      </c>
      <c r="B1712" t="s">
        <v>4278</v>
      </c>
      <c r="F1712" s="2"/>
      <c r="G1712" s="3">
        <v>45999.462866469905</v>
      </c>
      <c r="H1712" s="3">
        <v>45999.462866585651</v>
      </c>
      <c r="I1712" s="4" t="s">
        <v>67</v>
      </c>
      <c r="J1712" t="s">
        <v>67</v>
      </c>
      <c r="K1712" t="s">
        <v>67</v>
      </c>
      <c r="L1712" t="s">
        <v>111</v>
      </c>
      <c r="M1712" t="s">
        <v>112</v>
      </c>
      <c r="N1712" t="s">
        <v>67</v>
      </c>
      <c r="O1712" t="s">
        <v>113</v>
      </c>
      <c r="P1712" t="s">
        <v>114</v>
      </c>
      <c r="Q1712" t="s">
        <v>67</v>
      </c>
      <c r="R1712" t="s">
        <v>67</v>
      </c>
      <c r="S1712" s="5"/>
      <c r="T1712" t="s">
        <v>72</v>
      </c>
      <c r="U1712" t="s">
        <v>87</v>
      </c>
      <c r="V1712" t="s">
        <v>74</v>
      </c>
      <c r="W1712" t="s">
        <v>87</v>
      </c>
      <c r="AE1712" s="2"/>
      <c r="AF1712" s="2"/>
      <c r="AG1712" s="2"/>
      <c r="AH1712" s="2"/>
      <c r="AL1712" s="2">
        <v>9850000</v>
      </c>
      <c r="AM1712" s="2">
        <v>4925000</v>
      </c>
      <c r="AN1712" s="2"/>
      <c r="AO1712" s="2">
        <v>0</v>
      </c>
      <c r="AP1712" s="2">
        <v>4925000</v>
      </c>
      <c r="AQ1712" s="2">
        <v>0</v>
      </c>
      <c r="AR1712" s="2">
        <v>0</v>
      </c>
      <c r="AS1712" s="2">
        <v>0</v>
      </c>
      <c r="AT1712" s="2">
        <v>0</v>
      </c>
      <c r="AU1712" s="2">
        <v>0</v>
      </c>
      <c r="AV1712" s="2">
        <v>0</v>
      </c>
      <c r="AW1712" s="4"/>
      <c r="AX1712" t="s">
        <v>75</v>
      </c>
      <c r="AZ1712" t="s">
        <v>1041</v>
      </c>
      <c r="BB1712" t="s">
        <v>1042</v>
      </c>
      <c r="BC1712" t="s">
        <v>78</v>
      </c>
      <c r="BD1712" t="s">
        <v>79</v>
      </c>
      <c r="BE1712" t="s">
        <v>216</v>
      </c>
      <c r="BF1712" s="5">
        <v>46784</v>
      </c>
      <c r="BG1712" t="s">
        <v>67</v>
      </c>
      <c r="BH1712">
        <v>1</v>
      </c>
      <c r="BI1712" s="6">
        <v>3350000</v>
      </c>
      <c r="BJ1712" s="6">
        <v>0</v>
      </c>
      <c r="BK1712" s="6">
        <v>0</v>
      </c>
      <c r="BL1712" s="6">
        <v>3350000</v>
      </c>
      <c r="BM1712" s="2">
        <v>3350000</v>
      </c>
      <c r="BN1712">
        <f>InvoiceTable[[#This Row],[Giảm giá]]*InvoiceTable[[#This Row],[Số lượng]]</f>
        <v>0</v>
      </c>
    </row>
    <row r="1713" spans="1:66" x14ac:dyDescent="0.25">
      <c r="A1713" t="s">
        <v>65</v>
      </c>
      <c r="B1713" t="s">
        <v>4279</v>
      </c>
      <c r="F1713" s="2"/>
      <c r="G1713" s="3">
        <v>45999.457794363429</v>
      </c>
      <c r="H1713" s="3">
        <v>45999.457794479167</v>
      </c>
      <c r="I1713" s="4" t="s">
        <v>67</v>
      </c>
      <c r="J1713" t="s">
        <v>67</v>
      </c>
      <c r="K1713" t="s">
        <v>67</v>
      </c>
      <c r="L1713" t="s">
        <v>1854</v>
      </c>
      <c r="M1713" t="s">
        <v>1855</v>
      </c>
      <c r="N1713" t="s">
        <v>67</v>
      </c>
      <c r="O1713" t="s">
        <v>1856</v>
      </c>
      <c r="P1713" t="s">
        <v>1857</v>
      </c>
      <c r="Q1713" t="s">
        <v>1858</v>
      </c>
      <c r="R1713" t="s">
        <v>1859</v>
      </c>
      <c r="S1713" s="5"/>
      <c r="T1713" t="s">
        <v>72</v>
      </c>
      <c r="U1713" t="s">
        <v>87</v>
      </c>
      <c r="V1713" t="s">
        <v>74</v>
      </c>
      <c r="W1713" t="s">
        <v>87</v>
      </c>
      <c r="AE1713" s="2"/>
      <c r="AF1713" s="2"/>
      <c r="AG1713" s="2"/>
      <c r="AH1713" s="2"/>
      <c r="AL1713" s="2">
        <v>4100000</v>
      </c>
      <c r="AM1713" s="2">
        <v>0</v>
      </c>
      <c r="AN1713" s="2"/>
      <c r="AO1713" s="2">
        <v>0</v>
      </c>
      <c r="AP1713" s="2">
        <v>4100000</v>
      </c>
      <c r="AQ1713" s="2">
        <v>0</v>
      </c>
      <c r="AR1713" s="2">
        <v>0</v>
      </c>
      <c r="AS1713" s="2">
        <v>0</v>
      </c>
      <c r="AT1713" s="2">
        <v>0</v>
      </c>
      <c r="AU1713" s="2">
        <v>0</v>
      </c>
      <c r="AV1713" s="2">
        <v>0</v>
      </c>
      <c r="AW1713" s="4"/>
      <c r="AX1713" t="s">
        <v>75</v>
      </c>
      <c r="AZ1713" t="s">
        <v>581</v>
      </c>
      <c r="BA1713" t="s">
        <v>67</v>
      </c>
      <c r="BB1713" t="s">
        <v>582</v>
      </c>
      <c r="BC1713" t="s">
        <v>583</v>
      </c>
      <c r="BD1713" t="s">
        <v>79</v>
      </c>
      <c r="BE1713" t="s">
        <v>155</v>
      </c>
      <c r="BF1713" s="5">
        <v>46600</v>
      </c>
      <c r="BH1713">
        <v>2</v>
      </c>
      <c r="BI1713" s="6">
        <v>2600000</v>
      </c>
      <c r="BJ1713" s="6">
        <v>0</v>
      </c>
      <c r="BK1713" s="6">
        <v>550000</v>
      </c>
      <c r="BL1713" s="6">
        <v>2050000</v>
      </c>
      <c r="BM1713" s="2">
        <v>4100000</v>
      </c>
      <c r="BN1713">
        <f>InvoiceTable[[#This Row],[Giảm giá]]*InvoiceTable[[#This Row],[Số lượng]]</f>
        <v>1100000</v>
      </c>
    </row>
    <row r="1714" spans="1:66" x14ac:dyDescent="0.25">
      <c r="A1714" t="s">
        <v>65</v>
      </c>
      <c r="B1714" t="s">
        <v>4280</v>
      </c>
      <c r="F1714" s="2"/>
      <c r="G1714" s="3">
        <v>45999.40578857639</v>
      </c>
      <c r="H1714" s="3">
        <v>46008.728869328705</v>
      </c>
      <c r="I1714" s="4" t="s">
        <v>67</v>
      </c>
      <c r="J1714" t="s">
        <v>67</v>
      </c>
      <c r="K1714" t="s">
        <v>67</v>
      </c>
      <c r="L1714" t="s">
        <v>119</v>
      </c>
      <c r="M1714" t="s">
        <v>120</v>
      </c>
      <c r="N1714" t="s">
        <v>67</v>
      </c>
      <c r="O1714" t="s">
        <v>121</v>
      </c>
      <c r="Q1714" t="s">
        <v>122</v>
      </c>
      <c r="R1714" t="s">
        <v>123</v>
      </c>
      <c r="S1714" s="5"/>
      <c r="T1714" t="s">
        <v>72</v>
      </c>
      <c r="U1714" t="s">
        <v>102</v>
      </c>
      <c r="V1714" t="s">
        <v>74</v>
      </c>
      <c r="W1714" t="s">
        <v>102</v>
      </c>
      <c r="AE1714" s="2"/>
      <c r="AF1714" s="2"/>
      <c r="AG1714" s="2"/>
      <c r="AH1714" s="2"/>
      <c r="AL1714" s="2">
        <v>1482000</v>
      </c>
      <c r="AM1714" s="2">
        <v>0</v>
      </c>
      <c r="AN1714" s="2"/>
      <c r="AO1714" s="2">
        <v>0</v>
      </c>
      <c r="AP1714" s="2">
        <v>1482000</v>
      </c>
      <c r="AQ1714" s="2">
        <v>0</v>
      </c>
      <c r="AR1714" s="2">
        <v>0</v>
      </c>
      <c r="AS1714" s="2">
        <v>0</v>
      </c>
      <c r="AT1714" s="2">
        <v>0</v>
      </c>
      <c r="AU1714" s="2">
        <v>0</v>
      </c>
      <c r="AV1714" s="2">
        <v>0</v>
      </c>
      <c r="AW1714" s="4"/>
      <c r="AX1714" t="s">
        <v>75</v>
      </c>
      <c r="AZ1714" t="s">
        <v>2385</v>
      </c>
      <c r="BA1714" t="s">
        <v>67</v>
      </c>
      <c r="BB1714" t="s">
        <v>2386</v>
      </c>
      <c r="BC1714" t="s">
        <v>391</v>
      </c>
      <c r="BD1714" t="s">
        <v>79</v>
      </c>
      <c r="BE1714" t="s">
        <v>198</v>
      </c>
      <c r="BF1714" s="5">
        <v>46753</v>
      </c>
      <c r="BH1714">
        <v>1</v>
      </c>
      <c r="BI1714" s="6">
        <v>2850000</v>
      </c>
      <c r="BJ1714" s="6">
        <v>48</v>
      </c>
      <c r="BK1714" s="6">
        <v>1368000</v>
      </c>
      <c r="BL1714" s="6">
        <v>1482000</v>
      </c>
      <c r="BM1714" s="2">
        <v>1482000</v>
      </c>
      <c r="BN1714">
        <f>InvoiceTable[[#This Row],[Giảm giá]]*InvoiceTable[[#This Row],[Số lượng]]</f>
        <v>1368000</v>
      </c>
    </row>
    <row r="1715" spans="1:66" x14ac:dyDescent="0.25">
      <c r="A1715" t="s">
        <v>65</v>
      </c>
      <c r="B1715" t="s">
        <v>4281</v>
      </c>
      <c r="F1715" s="2"/>
      <c r="G1715" s="3">
        <v>45999.40428278935</v>
      </c>
      <c r="H1715" s="3">
        <v>45999.404284872682</v>
      </c>
      <c r="I1715" s="4" t="s">
        <v>67</v>
      </c>
      <c r="J1715" t="s">
        <v>67</v>
      </c>
      <c r="K1715" t="s">
        <v>67</v>
      </c>
      <c r="L1715" t="s">
        <v>4282</v>
      </c>
      <c r="M1715" t="s">
        <v>4283</v>
      </c>
      <c r="N1715" t="s">
        <v>4284</v>
      </c>
      <c r="O1715" t="s">
        <v>4285</v>
      </c>
      <c r="P1715" t="s">
        <v>4286</v>
      </c>
      <c r="S1715" s="5"/>
      <c r="T1715" t="s">
        <v>72</v>
      </c>
      <c r="U1715" t="s">
        <v>87</v>
      </c>
      <c r="V1715" t="s">
        <v>74</v>
      </c>
      <c r="W1715" t="s">
        <v>87</v>
      </c>
      <c r="AE1715" s="2"/>
      <c r="AF1715" s="2"/>
      <c r="AG1715" s="2"/>
      <c r="AH1715" s="2"/>
      <c r="AL1715" s="2">
        <v>1573900</v>
      </c>
      <c r="AM1715" s="2">
        <v>0</v>
      </c>
      <c r="AN1715" s="2"/>
      <c r="AO1715" s="2">
        <v>0</v>
      </c>
      <c r="AP1715" s="2">
        <v>1573900</v>
      </c>
      <c r="AQ1715" s="2">
        <v>0</v>
      </c>
      <c r="AR1715" s="2">
        <v>0</v>
      </c>
      <c r="AS1715" s="2">
        <v>0</v>
      </c>
      <c r="AT1715" s="2">
        <v>0</v>
      </c>
      <c r="AU1715" s="2">
        <v>0</v>
      </c>
      <c r="AV1715" s="2">
        <v>0</v>
      </c>
      <c r="AW1715" s="4"/>
      <c r="AX1715" t="s">
        <v>75</v>
      </c>
      <c r="AZ1715" t="s">
        <v>3171</v>
      </c>
      <c r="BA1715" t="s">
        <v>67</v>
      </c>
      <c r="BB1715" t="s">
        <v>3172</v>
      </c>
      <c r="BC1715" t="s">
        <v>176</v>
      </c>
      <c r="BD1715" t="s">
        <v>79</v>
      </c>
      <c r="BE1715" t="s">
        <v>117</v>
      </c>
      <c r="BF1715" s="5">
        <v>46569</v>
      </c>
      <c r="BH1715">
        <v>1</v>
      </c>
      <c r="BI1715" s="6">
        <v>1050000</v>
      </c>
      <c r="BJ1715" s="6">
        <v>45</v>
      </c>
      <c r="BK1715" s="6">
        <v>472500</v>
      </c>
      <c r="BL1715" s="6">
        <v>577500</v>
      </c>
      <c r="BM1715" s="2">
        <v>577500</v>
      </c>
      <c r="BN1715">
        <f>InvoiceTable[[#This Row],[Giảm giá]]*InvoiceTable[[#This Row],[Số lượng]]</f>
        <v>472500</v>
      </c>
    </row>
    <row r="1716" spans="1:66" x14ac:dyDescent="0.25">
      <c r="A1716" t="s">
        <v>65</v>
      </c>
      <c r="B1716" t="s">
        <v>4281</v>
      </c>
      <c r="F1716" s="2"/>
      <c r="G1716" s="3">
        <v>45999.40428278935</v>
      </c>
      <c r="H1716" s="3">
        <v>45999.404284872682</v>
      </c>
      <c r="I1716" s="4" t="s">
        <v>67</v>
      </c>
      <c r="J1716" t="s">
        <v>67</v>
      </c>
      <c r="K1716" t="s">
        <v>67</v>
      </c>
      <c r="L1716" t="s">
        <v>4282</v>
      </c>
      <c r="M1716" t="s">
        <v>4283</v>
      </c>
      <c r="N1716" t="s">
        <v>4284</v>
      </c>
      <c r="O1716" t="s">
        <v>4285</v>
      </c>
      <c r="P1716" t="s">
        <v>4286</v>
      </c>
      <c r="S1716" s="5"/>
      <c r="T1716" t="s">
        <v>72</v>
      </c>
      <c r="U1716" t="s">
        <v>87</v>
      </c>
      <c r="V1716" t="s">
        <v>74</v>
      </c>
      <c r="W1716" t="s">
        <v>87</v>
      </c>
      <c r="AE1716" s="2"/>
      <c r="AF1716" s="2"/>
      <c r="AG1716" s="2"/>
      <c r="AH1716" s="2"/>
      <c r="AL1716" s="2">
        <v>1573900</v>
      </c>
      <c r="AM1716" s="2">
        <v>0</v>
      </c>
      <c r="AN1716" s="2"/>
      <c r="AO1716" s="2">
        <v>0</v>
      </c>
      <c r="AP1716" s="2">
        <v>1573900</v>
      </c>
      <c r="AQ1716" s="2">
        <v>0</v>
      </c>
      <c r="AR1716" s="2">
        <v>0</v>
      </c>
      <c r="AS1716" s="2">
        <v>0</v>
      </c>
      <c r="AT1716" s="2">
        <v>0</v>
      </c>
      <c r="AU1716" s="2">
        <v>0</v>
      </c>
      <c r="AV1716" s="2">
        <v>0</v>
      </c>
      <c r="AW1716" s="4"/>
      <c r="AX1716" t="s">
        <v>75</v>
      </c>
      <c r="AZ1716" t="s">
        <v>4033</v>
      </c>
      <c r="BA1716" t="s">
        <v>67</v>
      </c>
      <c r="BB1716" t="s">
        <v>4034</v>
      </c>
      <c r="BC1716" t="s">
        <v>4035</v>
      </c>
      <c r="BD1716" t="s">
        <v>79</v>
      </c>
      <c r="BE1716" t="s">
        <v>810</v>
      </c>
      <c r="BF1716" s="5">
        <v>46539</v>
      </c>
      <c r="BH1716">
        <v>1</v>
      </c>
      <c r="BI1716" s="6">
        <v>1880000</v>
      </c>
      <c r="BJ1716" s="6">
        <v>47</v>
      </c>
      <c r="BK1716" s="6">
        <v>883600</v>
      </c>
      <c r="BL1716" s="6">
        <v>996400</v>
      </c>
      <c r="BM1716" s="2">
        <v>996400</v>
      </c>
      <c r="BN1716">
        <f>InvoiceTable[[#This Row],[Giảm giá]]*InvoiceTable[[#This Row],[Số lượng]]</f>
        <v>883600</v>
      </c>
    </row>
    <row r="1717" spans="1:66" x14ac:dyDescent="0.25">
      <c r="A1717" t="s">
        <v>65</v>
      </c>
      <c r="B1717" t="s">
        <v>4287</v>
      </c>
      <c r="F1717" s="2"/>
      <c r="G1717" s="3">
        <v>45999.403365706021</v>
      </c>
      <c r="H1717" s="3">
        <v>45999.40336582176</v>
      </c>
      <c r="I1717" s="4" t="s">
        <v>67</v>
      </c>
      <c r="J1717" t="s">
        <v>67</v>
      </c>
      <c r="K1717" t="s">
        <v>67</v>
      </c>
      <c r="L1717" t="s">
        <v>1952</v>
      </c>
      <c r="M1717" t="s">
        <v>1953</v>
      </c>
      <c r="N1717" t="s">
        <v>67</v>
      </c>
      <c r="Q1717" t="s">
        <v>67</v>
      </c>
      <c r="R1717" t="s">
        <v>67</v>
      </c>
      <c r="S1717" s="5"/>
      <c r="T1717" t="s">
        <v>72</v>
      </c>
      <c r="U1717" t="s">
        <v>87</v>
      </c>
      <c r="V1717" t="s">
        <v>74</v>
      </c>
      <c r="W1717" t="s">
        <v>87</v>
      </c>
      <c r="AE1717" s="2"/>
      <c r="AF1717" s="2"/>
      <c r="AG1717" s="2"/>
      <c r="AH1717" s="2"/>
      <c r="AK1717" t="s">
        <v>4288</v>
      </c>
      <c r="AL1717" s="2">
        <v>2750000</v>
      </c>
      <c r="AM1717" s="2">
        <v>0</v>
      </c>
      <c r="AN1717" s="2"/>
      <c r="AO1717" s="2">
        <v>0</v>
      </c>
      <c r="AP1717" s="2">
        <v>2750000</v>
      </c>
      <c r="AQ1717" s="2">
        <v>0</v>
      </c>
      <c r="AR1717" s="2">
        <v>0</v>
      </c>
      <c r="AS1717" s="2">
        <v>0</v>
      </c>
      <c r="AT1717" s="2">
        <v>0</v>
      </c>
      <c r="AU1717" s="2">
        <v>0</v>
      </c>
      <c r="AV1717" s="2">
        <v>0</v>
      </c>
      <c r="AW1717" s="4"/>
      <c r="AX1717" t="s">
        <v>75</v>
      </c>
      <c r="AZ1717" t="s">
        <v>3303</v>
      </c>
      <c r="BA1717" t="s">
        <v>67</v>
      </c>
      <c r="BB1717" t="s">
        <v>3304</v>
      </c>
      <c r="BC1717" t="s">
        <v>78</v>
      </c>
      <c r="BD1717" t="s">
        <v>79</v>
      </c>
      <c r="BE1717" t="s">
        <v>106</v>
      </c>
      <c r="BF1717" s="5">
        <v>46327</v>
      </c>
      <c r="BG1717" t="s">
        <v>67</v>
      </c>
      <c r="BH1717">
        <v>1</v>
      </c>
      <c r="BI1717" s="6">
        <v>5500000</v>
      </c>
      <c r="BJ1717" s="6">
        <v>50</v>
      </c>
      <c r="BK1717" s="6">
        <v>2750000</v>
      </c>
      <c r="BL1717" s="6">
        <v>2750000</v>
      </c>
      <c r="BM1717" s="2">
        <v>2750000</v>
      </c>
      <c r="BN1717">
        <f>InvoiceTable[[#This Row],[Giảm giá]]*InvoiceTable[[#This Row],[Số lượng]]</f>
        <v>2750000</v>
      </c>
    </row>
    <row r="1718" spans="1:66" x14ac:dyDescent="0.25">
      <c r="A1718" t="s">
        <v>65</v>
      </c>
      <c r="B1718" t="s">
        <v>4289</v>
      </c>
      <c r="F1718" s="2"/>
      <c r="G1718" s="3">
        <v>45999.403046678242</v>
      </c>
      <c r="H1718" s="3">
        <v>45999.403046793981</v>
      </c>
      <c r="I1718" s="4" t="s">
        <v>67</v>
      </c>
      <c r="J1718" t="s">
        <v>67</v>
      </c>
      <c r="K1718" t="s">
        <v>67</v>
      </c>
      <c r="L1718" t="s">
        <v>1952</v>
      </c>
      <c r="M1718" t="s">
        <v>1953</v>
      </c>
      <c r="N1718" t="s">
        <v>67</v>
      </c>
      <c r="Q1718" t="s">
        <v>67</v>
      </c>
      <c r="R1718" t="s">
        <v>67</v>
      </c>
      <c r="S1718" s="5"/>
      <c r="T1718" t="s">
        <v>72</v>
      </c>
      <c r="U1718" t="s">
        <v>87</v>
      </c>
      <c r="V1718" t="s">
        <v>74</v>
      </c>
      <c r="W1718" t="s">
        <v>87</v>
      </c>
      <c r="AE1718" s="2"/>
      <c r="AF1718" s="2"/>
      <c r="AG1718" s="2"/>
      <c r="AH1718" s="2"/>
      <c r="AK1718" t="s">
        <v>4290</v>
      </c>
      <c r="AL1718" s="2">
        <v>3350000</v>
      </c>
      <c r="AM1718" s="2">
        <v>0</v>
      </c>
      <c r="AN1718" s="2"/>
      <c r="AO1718" s="2">
        <v>0</v>
      </c>
      <c r="AP1718" s="2">
        <v>3350000</v>
      </c>
      <c r="AQ1718" s="2">
        <v>0</v>
      </c>
      <c r="AR1718" s="2">
        <v>0</v>
      </c>
      <c r="AS1718" s="2">
        <v>0</v>
      </c>
      <c r="AT1718" s="2">
        <v>0</v>
      </c>
      <c r="AU1718" s="2">
        <v>0</v>
      </c>
      <c r="AV1718" s="2">
        <v>0</v>
      </c>
      <c r="AW1718" s="4"/>
      <c r="AX1718" t="s">
        <v>75</v>
      </c>
      <c r="AZ1718" t="s">
        <v>1041</v>
      </c>
      <c r="BB1718" t="s">
        <v>1042</v>
      </c>
      <c r="BC1718" t="s">
        <v>78</v>
      </c>
      <c r="BD1718" t="s">
        <v>79</v>
      </c>
      <c r="BE1718" t="s">
        <v>168</v>
      </c>
      <c r="BF1718" s="5">
        <v>46388</v>
      </c>
      <c r="BG1718" t="s">
        <v>67</v>
      </c>
      <c r="BH1718">
        <v>2</v>
      </c>
      <c r="BI1718" s="6">
        <v>3350000</v>
      </c>
      <c r="BJ1718" s="6">
        <v>50</v>
      </c>
      <c r="BK1718" s="6">
        <v>1675000</v>
      </c>
      <c r="BL1718" s="6">
        <v>1675000</v>
      </c>
      <c r="BM1718" s="2">
        <v>3350000</v>
      </c>
      <c r="BN1718">
        <f>InvoiceTable[[#This Row],[Giảm giá]]*InvoiceTable[[#This Row],[Số lượng]]</f>
        <v>3350000</v>
      </c>
    </row>
    <row r="1719" spans="1:66" x14ac:dyDescent="0.25">
      <c r="A1719" t="s">
        <v>65</v>
      </c>
      <c r="B1719" t="s">
        <v>4291</v>
      </c>
      <c r="F1719" s="2"/>
      <c r="G1719" s="3">
        <v>45999.398825115743</v>
      </c>
      <c r="H1719" s="3">
        <v>45999.39882519676</v>
      </c>
      <c r="I1719" s="4" t="s">
        <v>67</v>
      </c>
      <c r="J1719" t="s">
        <v>67</v>
      </c>
      <c r="K1719" t="s">
        <v>67</v>
      </c>
      <c r="L1719" t="s">
        <v>474</v>
      </c>
      <c r="M1719" t="s">
        <v>475</v>
      </c>
      <c r="N1719" t="s">
        <v>476</v>
      </c>
      <c r="O1719" t="s">
        <v>477</v>
      </c>
      <c r="P1719" t="s">
        <v>478</v>
      </c>
      <c r="S1719" s="5"/>
      <c r="T1719" t="s">
        <v>72</v>
      </c>
      <c r="U1719" t="s">
        <v>102</v>
      </c>
      <c r="V1719" t="s">
        <v>74</v>
      </c>
      <c r="W1719" t="s">
        <v>102</v>
      </c>
      <c r="AE1719" s="2"/>
      <c r="AF1719" s="2"/>
      <c r="AG1719" s="2"/>
      <c r="AH1719" s="2"/>
      <c r="AL1719" s="2">
        <v>587500</v>
      </c>
      <c r="AM1719" s="2">
        <v>0</v>
      </c>
      <c r="AN1719" s="2"/>
      <c r="AO1719" s="2">
        <v>0</v>
      </c>
      <c r="AP1719" s="2">
        <v>587500</v>
      </c>
      <c r="AQ1719" s="2">
        <v>0</v>
      </c>
      <c r="AR1719" s="2">
        <v>0</v>
      </c>
      <c r="AS1719" s="2">
        <v>0</v>
      </c>
      <c r="AT1719" s="2">
        <v>0</v>
      </c>
      <c r="AU1719" s="2">
        <v>0</v>
      </c>
      <c r="AV1719" s="2">
        <v>0</v>
      </c>
      <c r="AW1719" s="4"/>
      <c r="AX1719" t="s">
        <v>75</v>
      </c>
      <c r="AZ1719" t="s">
        <v>375</v>
      </c>
      <c r="BA1719" t="s">
        <v>67</v>
      </c>
      <c r="BB1719" t="s">
        <v>376</v>
      </c>
      <c r="BC1719" t="s">
        <v>377</v>
      </c>
      <c r="BD1719" t="s">
        <v>79</v>
      </c>
      <c r="BE1719" t="s">
        <v>293</v>
      </c>
      <c r="BF1719" s="5">
        <v>46722</v>
      </c>
      <c r="BH1719">
        <v>1</v>
      </c>
      <c r="BI1719" s="6">
        <v>500000</v>
      </c>
      <c r="BJ1719" s="6">
        <v>35</v>
      </c>
      <c r="BK1719" s="6">
        <v>175000</v>
      </c>
      <c r="BL1719" s="6">
        <v>325000</v>
      </c>
      <c r="BM1719" s="2">
        <v>325000</v>
      </c>
      <c r="BN1719">
        <f>InvoiceTable[[#This Row],[Giảm giá]]*InvoiceTable[[#This Row],[Số lượng]]</f>
        <v>175000</v>
      </c>
    </row>
    <row r="1720" spans="1:66" x14ac:dyDescent="0.25">
      <c r="A1720" t="s">
        <v>65</v>
      </c>
      <c r="B1720" t="s">
        <v>4291</v>
      </c>
      <c r="F1720" s="2"/>
      <c r="G1720" s="3">
        <v>45999.398825115743</v>
      </c>
      <c r="H1720" s="3">
        <v>45999.39882519676</v>
      </c>
      <c r="I1720" s="4" t="s">
        <v>67</v>
      </c>
      <c r="J1720" t="s">
        <v>67</v>
      </c>
      <c r="K1720" t="s">
        <v>67</v>
      </c>
      <c r="L1720" t="s">
        <v>474</v>
      </c>
      <c r="M1720" t="s">
        <v>475</v>
      </c>
      <c r="N1720" t="s">
        <v>476</v>
      </c>
      <c r="O1720" t="s">
        <v>477</v>
      </c>
      <c r="P1720" t="s">
        <v>478</v>
      </c>
      <c r="S1720" s="5"/>
      <c r="T1720" t="s">
        <v>72</v>
      </c>
      <c r="U1720" t="s">
        <v>102</v>
      </c>
      <c r="V1720" t="s">
        <v>74</v>
      </c>
      <c r="W1720" t="s">
        <v>102</v>
      </c>
      <c r="AE1720" s="2"/>
      <c r="AF1720" s="2"/>
      <c r="AG1720" s="2"/>
      <c r="AH1720" s="2"/>
      <c r="AL1720" s="2">
        <v>587500</v>
      </c>
      <c r="AM1720" s="2">
        <v>0</v>
      </c>
      <c r="AN1720" s="2"/>
      <c r="AO1720" s="2">
        <v>0</v>
      </c>
      <c r="AP1720" s="2">
        <v>587500</v>
      </c>
      <c r="AQ1720" s="2">
        <v>0</v>
      </c>
      <c r="AR1720" s="2">
        <v>0</v>
      </c>
      <c r="AS1720" s="2">
        <v>0</v>
      </c>
      <c r="AT1720" s="2">
        <v>0</v>
      </c>
      <c r="AU1720" s="2">
        <v>0</v>
      </c>
      <c r="AV1720" s="2">
        <v>0</v>
      </c>
      <c r="AW1720" s="4"/>
      <c r="AX1720" t="s">
        <v>75</v>
      </c>
      <c r="AZ1720" t="s">
        <v>4292</v>
      </c>
      <c r="BA1720" t="s">
        <v>67</v>
      </c>
      <c r="BB1720" t="s">
        <v>4293</v>
      </c>
      <c r="BC1720" t="s">
        <v>261</v>
      </c>
      <c r="BD1720" t="s">
        <v>79</v>
      </c>
      <c r="BE1720" t="s">
        <v>131</v>
      </c>
      <c r="BF1720" s="5">
        <v>46874</v>
      </c>
      <c r="BH1720">
        <v>1</v>
      </c>
      <c r="BI1720" s="6">
        <v>350000</v>
      </c>
      <c r="BJ1720" s="6">
        <v>25</v>
      </c>
      <c r="BK1720" s="6">
        <v>87500</v>
      </c>
      <c r="BL1720" s="6">
        <v>262500</v>
      </c>
      <c r="BM1720" s="2">
        <v>262500</v>
      </c>
      <c r="BN1720">
        <f>InvoiceTable[[#This Row],[Giảm giá]]*InvoiceTable[[#This Row],[Số lượng]]</f>
        <v>87500</v>
      </c>
    </row>
    <row r="1721" spans="1:66" x14ac:dyDescent="0.25">
      <c r="A1721" t="s">
        <v>65</v>
      </c>
      <c r="B1721" t="s">
        <v>4294</v>
      </c>
      <c r="F1721" s="2"/>
      <c r="G1721" s="3">
        <v>45998.656819178243</v>
      </c>
      <c r="H1721" s="3">
        <v>45998.656645798612</v>
      </c>
      <c r="I1721" s="4" t="s">
        <v>1465</v>
      </c>
      <c r="J1721" t="s">
        <v>4295</v>
      </c>
      <c r="K1721" t="s">
        <v>67</v>
      </c>
      <c r="L1721" t="s">
        <v>3036</v>
      </c>
      <c r="M1721" t="s">
        <v>3037</v>
      </c>
      <c r="N1721" t="s">
        <v>67</v>
      </c>
      <c r="O1721" t="s">
        <v>3038</v>
      </c>
      <c r="P1721" t="s">
        <v>3039</v>
      </c>
      <c r="S1721" s="5"/>
      <c r="T1721" t="s">
        <v>72</v>
      </c>
      <c r="U1721" t="s">
        <v>87</v>
      </c>
      <c r="V1721" t="s">
        <v>74</v>
      </c>
      <c r="W1721" t="s">
        <v>87</v>
      </c>
      <c r="AE1721" s="2"/>
      <c r="AF1721" s="2"/>
      <c r="AG1721" s="2"/>
      <c r="AH1721" s="2"/>
      <c r="AL1721" s="2">
        <v>3100000</v>
      </c>
      <c r="AM1721" s="2">
        <v>0</v>
      </c>
      <c r="AN1721" s="2"/>
      <c r="AO1721" s="2">
        <v>0</v>
      </c>
      <c r="AP1721" s="2">
        <v>3100000</v>
      </c>
      <c r="AQ1721" s="2">
        <v>3100000</v>
      </c>
      <c r="AR1721" s="2">
        <v>3100000</v>
      </c>
      <c r="AS1721" s="2">
        <v>0</v>
      </c>
      <c r="AT1721" s="2">
        <v>0</v>
      </c>
      <c r="AU1721" s="2">
        <v>0</v>
      </c>
      <c r="AV1721" s="2">
        <v>0</v>
      </c>
      <c r="AW1721" s="4"/>
      <c r="AX1721" t="s">
        <v>75</v>
      </c>
      <c r="AZ1721" t="s">
        <v>1476</v>
      </c>
      <c r="BB1721" t="s">
        <v>1477</v>
      </c>
      <c r="BC1721" t="s">
        <v>126</v>
      </c>
      <c r="BD1721" t="s">
        <v>79</v>
      </c>
      <c r="BE1721" t="s">
        <v>4296</v>
      </c>
      <c r="BF1721" s="5">
        <v>46419</v>
      </c>
      <c r="BG1721" t="s">
        <v>67</v>
      </c>
      <c r="BH1721">
        <v>2</v>
      </c>
      <c r="BI1721" s="6">
        <v>2500000</v>
      </c>
      <c r="BJ1721" s="6">
        <v>0</v>
      </c>
      <c r="BK1721" s="6">
        <v>950000</v>
      </c>
      <c r="BL1721" s="6">
        <v>1550000</v>
      </c>
      <c r="BM1721" s="2">
        <v>3100000</v>
      </c>
      <c r="BN1721">
        <f>InvoiceTable[[#This Row],[Giảm giá]]*InvoiceTable[[#This Row],[Số lượng]]</f>
        <v>1900000</v>
      </c>
    </row>
    <row r="1722" spans="1:66" x14ac:dyDescent="0.25">
      <c r="A1722" t="s">
        <v>65</v>
      </c>
      <c r="B1722" t="s">
        <v>4297</v>
      </c>
      <c r="F1722" s="2"/>
      <c r="G1722" s="3">
        <v>45998.630215081015</v>
      </c>
      <c r="H1722" s="3">
        <v>45998.630215243058</v>
      </c>
      <c r="I1722" s="4" t="s">
        <v>67</v>
      </c>
      <c r="J1722" t="s">
        <v>67</v>
      </c>
      <c r="K1722" t="s">
        <v>67</v>
      </c>
      <c r="L1722" t="s">
        <v>4298</v>
      </c>
      <c r="M1722" t="s">
        <v>4299</v>
      </c>
      <c r="N1722" t="s">
        <v>67</v>
      </c>
      <c r="O1722" t="s">
        <v>4300</v>
      </c>
      <c r="P1722" t="s">
        <v>4301</v>
      </c>
      <c r="Q1722" t="s">
        <v>67</v>
      </c>
      <c r="R1722" t="s">
        <v>67</v>
      </c>
      <c r="S1722" s="5"/>
      <c r="T1722" t="s">
        <v>72</v>
      </c>
      <c r="U1722" t="s">
        <v>87</v>
      </c>
      <c r="V1722" t="s">
        <v>74</v>
      </c>
      <c r="W1722" t="s">
        <v>87</v>
      </c>
      <c r="AE1722" s="2"/>
      <c r="AF1722" s="2"/>
      <c r="AG1722" s="2"/>
      <c r="AH1722" s="2"/>
      <c r="AL1722" s="2">
        <v>9000000</v>
      </c>
      <c r="AM1722" s="2">
        <v>0</v>
      </c>
      <c r="AN1722" s="2"/>
      <c r="AO1722" s="2">
        <v>0</v>
      </c>
      <c r="AP1722" s="2">
        <v>9000000</v>
      </c>
      <c r="AQ1722" s="2">
        <v>0</v>
      </c>
      <c r="AR1722" s="2">
        <v>0</v>
      </c>
      <c r="AS1722" s="2">
        <v>0</v>
      </c>
      <c r="AT1722" s="2">
        <v>0</v>
      </c>
      <c r="AU1722" s="2">
        <v>0</v>
      </c>
      <c r="AV1722" s="2">
        <v>0</v>
      </c>
      <c r="AW1722" s="4"/>
      <c r="AX1722" t="s">
        <v>75</v>
      </c>
      <c r="AZ1722" t="s">
        <v>663</v>
      </c>
      <c r="BA1722" t="s">
        <v>67</v>
      </c>
      <c r="BB1722" t="s">
        <v>664</v>
      </c>
      <c r="BC1722" t="s">
        <v>665</v>
      </c>
      <c r="BD1722" t="s">
        <v>79</v>
      </c>
      <c r="BE1722" t="s">
        <v>159</v>
      </c>
      <c r="BF1722" s="5">
        <v>46478</v>
      </c>
      <c r="BH1722">
        <v>60</v>
      </c>
      <c r="BI1722" s="6">
        <v>380000</v>
      </c>
      <c r="BJ1722" s="6">
        <v>0</v>
      </c>
      <c r="BK1722" s="6">
        <v>230000</v>
      </c>
      <c r="BL1722" s="6">
        <v>150000</v>
      </c>
      <c r="BM1722" s="2">
        <v>9000000</v>
      </c>
      <c r="BN1722">
        <f>InvoiceTable[[#This Row],[Giảm giá]]*InvoiceTable[[#This Row],[Số lượng]]</f>
        <v>13800000</v>
      </c>
    </row>
    <row r="1723" spans="1:66" x14ac:dyDescent="0.25">
      <c r="A1723" t="s">
        <v>65</v>
      </c>
      <c r="B1723" t="s">
        <v>4302</v>
      </c>
      <c r="F1723" s="2"/>
      <c r="G1723" s="3">
        <v>45998.623234571758</v>
      </c>
      <c r="H1723" s="3">
        <v>45998.623234803243</v>
      </c>
      <c r="I1723" s="4" t="s">
        <v>4303</v>
      </c>
      <c r="J1723" t="s">
        <v>67</v>
      </c>
      <c r="K1723" t="s">
        <v>67</v>
      </c>
      <c r="L1723" t="s">
        <v>884</v>
      </c>
      <c r="M1723" t="s">
        <v>885</v>
      </c>
      <c r="N1723" t="s">
        <v>67</v>
      </c>
      <c r="O1723" t="s">
        <v>886</v>
      </c>
      <c r="P1723" t="s">
        <v>887</v>
      </c>
      <c r="Q1723" t="s">
        <v>67</v>
      </c>
      <c r="R1723" t="s">
        <v>67</v>
      </c>
      <c r="S1723" s="5"/>
      <c r="T1723" t="s">
        <v>72</v>
      </c>
      <c r="U1723" t="s">
        <v>102</v>
      </c>
      <c r="V1723" t="s">
        <v>74</v>
      </c>
      <c r="W1723" t="s">
        <v>87</v>
      </c>
      <c r="AE1723" s="2"/>
      <c r="AF1723" s="2"/>
      <c r="AG1723" s="2"/>
      <c r="AH1723" s="2"/>
      <c r="AK1723" t="s">
        <v>67</v>
      </c>
      <c r="AL1723" s="2">
        <v>4300000</v>
      </c>
      <c r="AM1723" s="2">
        <v>0</v>
      </c>
      <c r="AN1723" s="2"/>
      <c r="AO1723" s="2">
        <v>0</v>
      </c>
      <c r="AP1723" s="2">
        <v>4300000</v>
      </c>
      <c r="AQ1723" s="2">
        <v>0</v>
      </c>
      <c r="AR1723" s="2">
        <v>0</v>
      </c>
      <c r="AS1723" s="2">
        <v>0</v>
      </c>
      <c r="AT1723" s="2">
        <v>0</v>
      </c>
      <c r="AU1723" s="2">
        <v>0</v>
      </c>
      <c r="AV1723" s="2">
        <v>0</v>
      </c>
      <c r="AW1723" s="4"/>
      <c r="AX1723" t="s">
        <v>75</v>
      </c>
      <c r="AZ1723" t="s">
        <v>1562</v>
      </c>
      <c r="BB1723" t="s">
        <v>1563</v>
      </c>
      <c r="BC1723" t="s">
        <v>590</v>
      </c>
      <c r="BD1723" t="s">
        <v>79</v>
      </c>
      <c r="BE1723" t="s">
        <v>4304</v>
      </c>
      <c r="BF1723" s="5">
        <v>46611</v>
      </c>
      <c r="BG1723" t="s">
        <v>67</v>
      </c>
      <c r="BH1723">
        <v>2</v>
      </c>
      <c r="BI1723" s="6">
        <v>2590000</v>
      </c>
      <c r="BJ1723" s="6">
        <v>0</v>
      </c>
      <c r="BK1723" s="6">
        <v>440000</v>
      </c>
      <c r="BL1723" s="6">
        <v>2150000</v>
      </c>
      <c r="BM1723" s="2">
        <v>4300000</v>
      </c>
      <c r="BN1723">
        <f>InvoiceTable[[#This Row],[Giảm giá]]*InvoiceTable[[#This Row],[Số lượng]]</f>
        <v>880000</v>
      </c>
    </row>
    <row r="1724" spans="1:66" x14ac:dyDescent="0.25">
      <c r="A1724" t="s">
        <v>65</v>
      </c>
      <c r="B1724" t="s">
        <v>4305</v>
      </c>
      <c r="F1724" s="2"/>
      <c r="G1724" s="3">
        <v>45998.593803437499</v>
      </c>
      <c r="H1724" s="3">
        <v>45998.593803587966</v>
      </c>
      <c r="I1724" s="4" t="s">
        <v>67</v>
      </c>
      <c r="J1724" t="s">
        <v>67</v>
      </c>
      <c r="K1724" t="s">
        <v>67</v>
      </c>
      <c r="L1724" t="s">
        <v>630</v>
      </c>
      <c r="M1724" t="s">
        <v>631</v>
      </c>
      <c r="N1724" t="s">
        <v>632</v>
      </c>
      <c r="O1724" t="s">
        <v>633</v>
      </c>
      <c r="P1724" t="s">
        <v>634</v>
      </c>
      <c r="S1724" s="5"/>
      <c r="T1724" t="s">
        <v>72</v>
      </c>
      <c r="U1724" t="s">
        <v>87</v>
      </c>
      <c r="V1724" t="s">
        <v>74</v>
      </c>
      <c r="W1724" t="s">
        <v>87</v>
      </c>
      <c r="AE1724" s="2"/>
      <c r="AF1724" s="2"/>
      <c r="AG1724" s="2"/>
      <c r="AH1724" s="2"/>
      <c r="AL1724" s="2">
        <v>2950800</v>
      </c>
      <c r="AM1724" s="2">
        <v>0</v>
      </c>
      <c r="AN1724" s="2"/>
      <c r="AO1724" s="2">
        <v>0</v>
      </c>
      <c r="AP1724" s="2">
        <v>2950800</v>
      </c>
      <c r="AQ1724" s="2">
        <v>0</v>
      </c>
      <c r="AR1724" s="2">
        <v>0</v>
      </c>
      <c r="AS1724" s="2">
        <v>0</v>
      </c>
      <c r="AT1724" s="2">
        <v>0</v>
      </c>
      <c r="AU1724" s="2">
        <v>0</v>
      </c>
      <c r="AV1724" s="2">
        <v>0</v>
      </c>
      <c r="AW1724" s="4"/>
      <c r="AX1724" t="s">
        <v>75</v>
      </c>
      <c r="AZ1724" t="s">
        <v>2397</v>
      </c>
      <c r="BA1724" t="s">
        <v>67</v>
      </c>
      <c r="BB1724" t="s">
        <v>2398</v>
      </c>
      <c r="BC1724" t="s">
        <v>2093</v>
      </c>
      <c r="BD1724" t="s">
        <v>79</v>
      </c>
      <c r="BE1724" t="s">
        <v>434</v>
      </c>
      <c r="BF1724" s="5">
        <v>46661</v>
      </c>
      <c r="BH1724">
        <v>2</v>
      </c>
      <c r="BI1724" s="6">
        <v>880000</v>
      </c>
      <c r="BJ1724" s="6">
        <v>45</v>
      </c>
      <c r="BK1724" s="6">
        <v>396000</v>
      </c>
      <c r="BL1724" s="6">
        <v>484000</v>
      </c>
      <c r="BM1724" s="2">
        <v>968000</v>
      </c>
      <c r="BN1724">
        <f>InvoiceTable[[#This Row],[Giảm giá]]*InvoiceTable[[#This Row],[Số lượng]]</f>
        <v>792000</v>
      </c>
    </row>
    <row r="1725" spans="1:66" x14ac:dyDescent="0.25">
      <c r="A1725" t="s">
        <v>65</v>
      </c>
      <c r="B1725" t="s">
        <v>4305</v>
      </c>
      <c r="F1725" s="2"/>
      <c r="G1725" s="3">
        <v>45998.593803437499</v>
      </c>
      <c r="H1725" s="3">
        <v>45998.593803587966</v>
      </c>
      <c r="I1725" s="4" t="s">
        <v>67</v>
      </c>
      <c r="J1725" t="s">
        <v>67</v>
      </c>
      <c r="K1725" t="s">
        <v>67</v>
      </c>
      <c r="L1725" t="s">
        <v>630</v>
      </c>
      <c r="M1725" t="s">
        <v>631</v>
      </c>
      <c r="N1725" t="s">
        <v>632</v>
      </c>
      <c r="O1725" t="s">
        <v>633</v>
      </c>
      <c r="P1725" t="s">
        <v>634</v>
      </c>
      <c r="S1725" s="5"/>
      <c r="T1725" t="s">
        <v>72</v>
      </c>
      <c r="U1725" t="s">
        <v>87</v>
      </c>
      <c r="V1725" t="s">
        <v>74</v>
      </c>
      <c r="W1725" t="s">
        <v>87</v>
      </c>
      <c r="AE1725" s="2"/>
      <c r="AF1725" s="2"/>
      <c r="AG1725" s="2"/>
      <c r="AH1725" s="2"/>
      <c r="AL1725" s="2">
        <v>2950800</v>
      </c>
      <c r="AM1725" s="2">
        <v>0</v>
      </c>
      <c r="AN1725" s="2"/>
      <c r="AO1725" s="2">
        <v>0</v>
      </c>
      <c r="AP1725" s="2">
        <v>2950800</v>
      </c>
      <c r="AQ1725" s="2">
        <v>0</v>
      </c>
      <c r="AR1725" s="2">
        <v>0</v>
      </c>
      <c r="AS1725" s="2">
        <v>0</v>
      </c>
      <c r="AT1725" s="2">
        <v>0</v>
      </c>
      <c r="AU1725" s="2">
        <v>0</v>
      </c>
      <c r="AV1725" s="2">
        <v>0</v>
      </c>
      <c r="AW1725" s="4"/>
      <c r="AX1725" t="s">
        <v>75</v>
      </c>
      <c r="AZ1725" t="s">
        <v>4306</v>
      </c>
      <c r="BA1725" t="s">
        <v>67</v>
      </c>
      <c r="BB1725" t="s">
        <v>4307</v>
      </c>
      <c r="BC1725" t="s">
        <v>204</v>
      </c>
      <c r="BD1725" t="s">
        <v>79</v>
      </c>
      <c r="BE1725" t="s">
        <v>378</v>
      </c>
      <c r="BF1725" s="5">
        <v>46997</v>
      </c>
      <c r="BH1725">
        <v>2</v>
      </c>
      <c r="BI1725" s="6">
        <v>505000</v>
      </c>
      <c r="BJ1725" s="6">
        <v>38</v>
      </c>
      <c r="BK1725" s="6">
        <v>191900</v>
      </c>
      <c r="BL1725" s="6">
        <v>313100</v>
      </c>
      <c r="BM1725" s="2">
        <v>626200</v>
      </c>
      <c r="BN1725">
        <f>InvoiceTable[[#This Row],[Giảm giá]]*InvoiceTable[[#This Row],[Số lượng]]</f>
        <v>383800</v>
      </c>
    </row>
    <row r="1726" spans="1:66" x14ac:dyDescent="0.25">
      <c r="A1726" t="s">
        <v>65</v>
      </c>
      <c r="B1726" t="s">
        <v>4305</v>
      </c>
      <c r="F1726" s="2"/>
      <c r="G1726" s="3">
        <v>45998.593803437499</v>
      </c>
      <c r="H1726" s="3">
        <v>45998.593803587966</v>
      </c>
      <c r="I1726" s="4" t="s">
        <v>67</v>
      </c>
      <c r="J1726" t="s">
        <v>67</v>
      </c>
      <c r="K1726" t="s">
        <v>67</v>
      </c>
      <c r="L1726" t="s">
        <v>630</v>
      </c>
      <c r="M1726" t="s">
        <v>631</v>
      </c>
      <c r="N1726" t="s">
        <v>632</v>
      </c>
      <c r="O1726" t="s">
        <v>633</v>
      </c>
      <c r="P1726" t="s">
        <v>634</v>
      </c>
      <c r="S1726" s="5"/>
      <c r="T1726" t="s">
        <v>72</v>
      </c>
      <c r="U1726" t="s">
        <v>87</v>
      </c>
      <c r="V1726" t="s">
        <v>74</v>
      </c>
      <c r="W1726" t="s">
        <v>87</v>
      </c>
      <c r="AE1726" s="2"/>
      <c r="AF1726" s="2"/>
      <c r="AG1726" s="2"/>
      <c r="AH1726" s="2"/>
      <c r="AL1726" s="2">
        <v>2950800</v>
      </c>
      <c r="AM1726" s="2">
        <v>0</v>
      </c>
      <c r="AN1726" s="2"/>
      <c r="AO1726" s="2">
        <v>0</v>
      </c>
      <c r="AP1726" s="2">
        <v>2950800</v>
      </c>
      <c r="AQ1726" s="2">
        <v>0</v>
      </c>
      <c r="AR1726" s="2">
        <v>0</v>
      </c>
      <c r="AS1726" s="2">
        <v>0</v>
      </c>
      <c r="AT1726" s="2">
        <v>0</v>
      </c>
      <c r="AU1726" s="2">
        <v>0</v>
      </c>
      <c r="AV1726" s="2">
        <v>0</v>
      </c>
      <c r="AW1726" s="4"/>
      <c r="AX1726" t="s">
        <v>75</v>
      </c>
      <c r="AZ1726" t="s">
        <v>4308</v>
      </c>
      <c r="BA1726" t="s">
        <v>67</v>
      </c>
      <c r="BB1726" t="s">
        <v>4309</v>
      </c>
      <c r="BC1726" t="s">
        <v>567</v>
      </c>
      <c r="BD1726" t="s">
        <v>79</v>
      </c>
      <c r="BE1726" t="s">
        <v>195</v>
      </c>
      <c r="BF1726" s="5">
        <v>46419</v>
      </c>
      <c r="BH1726">
        <v>1</v>
      </c>
      <c r="BI1726" s="6">
        <v>511000</v>
      </c>
      <c r="BJ1726" s="6">
        <v>40</v>
      </c>
      <c r="BK1726" s="6">
        <v>204400</v>
      </c>
      <c r="BL1726" s="6">
        <v>306600</v>
      </c>
      <c r="BM1726" s="2">
        <v>306600</v>
      </c>
      <c r="BN1726">
        <f>InvoiceTable[[#This Row],[Giảm giá]]*InvoiceTable[[#This Row],[Số lượng]]</f>
        <v>204400</v>
      </c>
    </row>
    <row r="1727" spans="1:66" x14ac:dyDescent="0.25">
      <c r="A1727" t="s">
        <v>65</v>
      </c>
      <c r="B1727" t="s">
        <v>4305</v>
      </c>
      <c r="F1727" s="2"/>
      <c r="G1727" s="3">
        <v>45998.593803437499</v>
      </c>
      <c r="H1727" s="3">
        <v>45998.593803587966</v>
      </c>
      <c r="I1727" s="4" t="s">
        <v>67</v>
      </c>
      <c r="J1727" t="s">
        <v>67</v>
      </c>
      <c r="K1727" t="s">
        <v>67</v>
      </c>
      <c r="L1727" t="s">
        <v>630</v>
      </c>
      <c r="M1727" t="s">
        <v>631</v>
      </c>
      <c r="N1727" t="s">
        <v>632</v>
      </c>
      <c r="O1727" t="s">
        <v>633</v>
      </c>
      <c r="P1727" t="s">
        <v>634</v>
      </c>
      <c r="S1727" s="5"/>
      <c r="T1727" t="s">
        <v>72</v>
      </c>
      <c r="U1727" t="s">
        <v>87</v>
      </c>
      <c r="V1727" t="s">
        <v>74</v>
      </c>
      <c r="W1727" t="s">
        <v>87</v>
      </c>
      <c r="AE1727" s="2"/>
      <c r="AF1727" s="2"/>
      <c r="AG1727" s="2"/>
      <c r="AH1727" s="2"/>
      <c r="AL1727" s="2">
        <v>2950800</v>
      </c>
      <c r="AM1727" s="2">
        <v>0</v>
      </c>
      <c r="AN1727" s="2"/>
      <c r="AO1727" s="2">
        <v>0</v>
      </c>
      <c r="AP1727" s="2">
        <v>2950800</v>
      </c>
      <c r="AQ1727" s="2">
        <v>0</v>
      </c>
      <c r="AR1727" s="2">
        <v>0</v>
      </c>
      <c r="AS1727" s="2">
        <v>0</v>
      </c>
      <c r="AT1727" s="2">
        <v>0</v>
      </c>
      <c r="AU1727" s="2">
        <v>0</v>
      </c>
      <c r="AV1727" s="2">
        <v>0</v>
      </c>
      <c r="AW1727" s="4"/>
      <c r="AX1727" t="s">
        <v>75</v>
      </c>
      <c r="AZ1727" t="s">
        <v>748</v>
      </c>
      <c r="BA1727" t="s">
        <v>67</v>
      </c>
      <c r="BB1727" t="s">
        <v>749</v>
      </c>
      <c r="BC1727" t="s">
        <v>750</v>
      </c>
      <c r="BD1727" t="s">
        <v>79</v>
      </c>
      <c r="BE1727" t="s">
        <v>117</v>
      </c>
      <c r="BF1727" s="5">
        <v>46569</v>
      </c>
      <c r="BH1727">
        <v>1</v>
      </c>
      <c r="BI1727" s="6">
        <v>1500000</v>
      </c>
      <c r="BJ1727" s="6">
        <v>0</v>
      </c>
      <c r="BK1727" s="6">
        <v>450000</v>
      </c>
      <c r="BL1727" s="6">
        <v>1050000</v>
      </c>
      <c r="BM1727" s="2">
        <v>1050000</v>
      </c>
      <c r="BN1727">
        <f>InvoiceTable[[#This Row],[Giảm giá]]*InvoiceTable[[#This Row],[Số lượng]]</f>
        <v>450000</v>
      </c>
    </row>
    <row r="1728" spans="1:66" x14ac:dyDescent="0.25">
      <c r="A1728" t="s">
        <v>65</v>
      </c>
      <c r="B1728" t="s">
        <v>4310</v>
      </c>
      <c r="F1728" s="2"/>
      <c r="G1728" s="3">
        <v>45998.588234953706</v>
      </c>
      <c r="H1728" s="3">
        <v>45998.588235150462</v>
      </c>
      <c r="I1728" s="4" t="s">
        <v>67</v>
      </c>
      <c r="J1728" t="s">
        <v>4311</v>
      </c>
      <c r="K1728" t="s">
        <v>67</v>
      </c>
      <c r="L1728" t="s">
        <v>2491</v>
      </c>
      <c r="M1728" t="s">
        <v>2492</v>
      </c>
      <c r="N1728" t="s">
        <v>2493</v>
      </c>
      <c r="O1728" t="s">
        <v>2494</v>
      </c>
      <c r="P1728" t="s">
        <v>2495</v>
      </c>
      <c r="S1728" s="5"/>
      <c r="T1728" t="s">
        <v>72</v>
      </c>
      <c r="U1728" t="s">
        <v>87</v>
      </c>
      <c r="V1728" t="s">
        <v>74</v>
      </c>
      <c r="W1728" t="s">
        <v>87</v>
      </c>
      <c r="AE1728" s="2"/>
      <c r="AF1728" s="2"/>
      <c r="AG1728" s="2"/>
      <c r="AH1728" s="2"/>
      <c r="AK1728" t="s">
        <v>4312</v>
      </c>
      <c r="AL1728" s="2">
        <v>3936000</v>
      </c>
      <c r="AM1728" s="2">
        <v>0</v>
      </c>
      <c r="AN1728" s="2"/>
      <c r="AO1728" s="2">
        <v>0</v>
      </c>
      <c r="AP1728" s="2">
        <v>3936000</v>
      </c>
      <c r="AQ1728" s="2">
        <v>3936000</v>
      </c>
      <c r="AR1728" s="2">
        <v>3936000</v>
      </c>
      <c r="AS1728" s="2">
        <v>0</v>
      </c>
      <c r="AT1728" s="2">
        <v>0</v>
      </c>
      <c r="AU1728" s="2">
        <v>0</v>
      </c>
      <c r="AV1728" s="2">
        <v>0</v>
      </c>
      <c r="AW1728" s="4"/>
      <c r="AX1728" t="s">
        <v>75</v>
      </c>
      <c r="AZ1728" t="s">
        <v>124</v>
      </c>
      <c r="BA1728" t="s">
        <v>67</v>
      </c>
      <c r="BB1728" t="s">
        <v>125</v>
      </c>
      <c r="BC1728" t="s">
        <v>126</v>
      </c>
      <c r="BD1728" t="s">
        <v>79</v>
      </c>
      <c r="BE1728" t="s">
        <v>3255</v>
      </c>
      <c r="BF1728" s="5">
        <v>46722</v>
      </c>
      <c r="BH1728">
        <v>1</v>
      </c>
      <c r="BI1728" s="6">
        <v>1200000</v>
      </c>
      <c r="BJ1728" s="6">
        <v>0</v>
      </c>
      <c r="BK1728" s="6">
        <v>570000</v>
      </c>
      <c r="BL1728" s="6">
        <v>630000</v>
      </c>
      <c r="BM1728" s="2">
        <v>630000</v>
      </c>
      <c r="BN1728">
        <f>InvoiceTable[[#This Row],[Giảm giá]]*InvoiceTable[[#This Row],[Số lượng]]</f>
        <v>570000</v>
      </c>
    </row>
    <row r="1729" spans="1:66" x14ac:dyDescent="0.25">
      <c r="A1729" t="s">
        <v>65</v>
      </c>
      <c r="B1729" t="s">
        <v>4310</v>
      </c>
      <c r="F1729" s="2"/>
      <c r="G1729" s="3">
        <v>45998.588234953706</v>
      </c>
      <c r="H1729" s="3">
        <v>45998.588235150462</v>
      </c>
      <c r="I1729" s="4" t="s">
        <v>67</v>
      </c>
      <c r="J1729" t="s">
        <v>4311</v>
      </c>
      <c r="K1729" t="s">
        <v>67</v>
      </c>
      <c r="L1729" t="s">
        <v>2491</v>
      </c>
      <c r="M1729" t="s">
        <v>2492</v>
      </c>
      <c r="N1729" t="s">
        <v>2493</v>
      </c>
      <c r="O1729" t="s">
        <v>2494</v>
      </c>
      <c r="P1729" t="s">
        <v>2495</v>
      </c>
      <c r="S1729" s="5"/>
      <c r="T1729" t="s">
        <v>72</v>
      </c>
      <c r="U1729" t="s">
        <v>87</v>
      </c>
      <c r="V1729" t="s">
        <v>74</v>
      </c>
      <c r="W1729" t="s">
        <v>87</v>
      </c>
      <c r="AE1729" s="2"/>
      <c r="AF1729" s="2"/>
      <c r="AG1729" s="2"/>
      <c r="AH1729" s="2"/>
      <c r="AK1729" t="s">
        <v>4312</v>
      </c>
      <c r="AL1729" s="2">
        <v>3936000</v>
      </c>
      <c r="AM1729" s="2">
        <v>0</v>
      </c>
      <c r="AN1729" s="2"/>
      <c r="AO1729" s="2">
        <v>0</v>
      </c>
      <c r="AP1729" s="2">
        <v>3936000</v>
      </c>
      <c r="AQ1729" s="2">
        <v>3936000</v>
      </c>
      <c r="AR1729" s="2">
        <v>3936000</v>
      </c>
      <c r="AS1729" s="2">
        <v>0</v>
      </c>
      <c r="AT1729" s="2">
        <v>0</v>
      </c>
      <c r="AU1729" s="2">
        <v>0</v>
      </c>
      <c r="AV1729" s="2">
        <v>0</v>
      </c>
      <c r="AW1729" s="4"/>
      <c r="AX1729" t="s">
        <v>75</v>
      </c>
      <c r="AZ1729" t="s">
        <v>4313</v>
      </c>
      <c r="BA1729" t="s">
        <v>67</v>
      </c>
      <c r="BB1729" t="s">
        <v>4314</v>
      </c>
      <c r="BC1729" t="s">
        <v>4315</v>
      </c>
      <c r="BD1729" t="s">
        <v>79</v>
      </c>
      <c r="BE1729" t="s">
        <v>177</v>
      </c>
      <c r="BF1729" s="5">
        <v>47027</v>
      </c>
      <c r="BH1729">
        <v>1</v>
      </c>
      <c r="BI1729" s="6">
        <v>5800000</v>
      </c>
      <c r="BJ1729" s="6">
        <v>43</v>
      </c>
      <c r="BK1729" s="6">
        <v>2494000</v>
      </c>
      <c r="BL1729" s="6">
        <v>3306000</v>
      </c>
      <c r="BM1729" s="2">
        <v>3306000</v>
      </c>
      <c r="BN1729">
        <f>InvoiceTable[[#This Row],[Giảm giá]]*InvoiceTable[[#This Row],[Số lượng]]</f>
        <v>2494000</v>
      </c>
    </row>
    <row r="1730" spans="1:66" x14ac:dyDescent="0.25">
      <c r="A1730" t="s">
        <v>65</v>
      </c>
      <c r="B1730" t="s">
        <v>4316</v>
      </c>
      <c r="F1730" s="2"/>
      <c r="G1730" s="3">
        <v>45998.554451655094</v>
      </c>
      <c r="H1730" s="3">
        <v>45998.554428668984</v>
      </c>
      <c r="I1730" s="4" t="s">
        <v>3493</v>
      </c>
      <c r="J1730" t="s">
        <v>4317</v>
      </c>
      <c r="K1730" t="s">
        <v>67</v>
      </c>
      <c r="L1730" t="s">
        <v>647</v>
      </c>
      <c r="M1730" t="s">
        <v>648</v>
      </c>
      <c r="N1730" t="s">
        <v>67</v>
      </c>
      <c r="O1730" t="s">
        <v>649</v>
      </c>
      <c r="P1730" t="s">
        <v>650</v>
      </c>
      <c r="S1730" s="5"/>
      <c r="T1730" t="s">
        <v>72</v>
      </c>
      <c r="U1730" t="s">
        <v>87</v>
      </c>
      <c r="V1730" t="s">
        <v>74</v>
      </c>
      <c r="W1730" t="s">
        <v>87</v>
      </c>
      <c r="AE1730" s="2"/>
      <c r="AF1730" s="2"/>
      <c r="AG1730" s="2"/>
      <c r="AH1730" s="2"/>
      <c r="AL1730" s="2">
        <v>30000000</v>
      </c>
      <c r="AM1730" s="2">
        <v>15000000</v>
      </c>
      <c r="AN1730" s="2"/>
      <c r="AO1730" s="2">
        <v>0</v>
      </c>
      <c r="AP1730" s="2">
        <v>15000000</v>
      </c>
      <c r="AQ1730" s="2">
        <v>0</v>
      </c>
      <c r="AR1730" s="2">
        <v>0</v>
      </c>
      <c r="AS1730" s="2">
        <v>0</v>
      </c>
      <c r="AT1730" s="2">
        <v>0</v>
      </c>
      <c r="AU1730" s="2">
        <v>0</v>
      </c>
      <c r="AV1730" s="2">
        <v>0</v>
      </c>
      <c r="AW1730" s="4"/>
      <c r="AX1730" t="s">
        <v>75</v>
      </c>
      <c r="AZ1730" t="s">
        <v>483</v>
      </c>
      <c r="BA1730" t="s">
        <v>67</v>
      </c>
      <c r="BB1730" t="s">
        <v>484</v>
      </c>
      <c r="BC1730" t="s">
        <v>485</v>
      </c>
      <c r="BD1730" t="s">
        <v>79</v>
      </c>
      <c r="BE1730" t="s">
        <v>117</v>
      </c>
      <c r="BF1730" s="5">
        <v>46569</v>
      </c>
      <c r="BH1730">
        <v>15</v>
      </c>
      <c r="BI1730" s="6">
        <v>600000</v>
      </c>
      <c r="BJ1730" s="6">
        <v>0</v>
      </c>
      <c r="BK1730" s="6">
        <v>0</v>
      </c>
      <c r="BL1730" s="6">
        <v>600000</v>
      </c>
      <c r="BM1730" s="2">
        <v>9000000</v>
      </c>
      <c r="BN1730">
        <f>InvoiceTable[[#This Row],[Giảm giá]]*InvoiceTable[[#This Row],[Số lượng]]</f>
        <v>0</v>
      </c>
    </row>
    <row r="1731" spans="1:66" x14ac:dyDescent="0.25">
      <c r="A1731" t="s">
        <v>65</v>
      </c>
      <c r="B1731" t="s">
        <v>4316</v>
      </c>
      <c r="F1731" s="2"/>
      <c r="G1731" s="3">
        <v>45998.554451655094</v>
      </c>
      <c r="H1731" s="3">
        <v>45998.554428668984</v>
      </c>
      <c r="I1731" s="4" t="s">
        <v>3493</v>
      </c>
      <c r="J1731" t="s">
        <v>4317</v>
      </c>
      <c r="K1731" t="s">
        <v>67</v>
      </c>
      <c r="L1731" t="s">
        <v>647</v>
      </c>
      <c r="M1731" t="s">
        <v>648</v>
      </c>
      <c r="N1731" t="s">
        <v>67</v>
      </c>
      <c r="O1731" t="s">
        <v>649</v>
      </c>
      <c r="P1731" t="s">
        <v>650</v>
      </c>
      <c r="S1731" s="5"/>
      <c r="T1731" t="s">
        <v>72</v>
      </c>
      <c r="U1731" t="s">
        <v>87</v>
      </c>
      <c r="V1731" t="s">
        <v>74</v>
      </c>
      <c r="W1731" t="s">
        <v>87</v>
      </c>
      <c r="AE1731" s="2"/>
      <c r="AF1731" s="2"/>
      <c r="AG1731" s="2"/>
      <c r="AH1731" s="2"/>
      <c r="AL1731" s="2">
        <v>30000000</v>
      </c>
      <c r="AM1731" s="2">
        <v>15000000</v>
      </c>
      <c r="AN1731" s="2"/>
      <c r="AO1731" s="2">
        <v>0</v>
      </c>
      <c r="AP1731" s="2">
        <v>15000000</v>
      </c>
      <c r="AQ1731" s="2">
        <v>0</v>
      </c>
      <c r="AR1731" s="2">
        <v>0</v>
      </c>
      <c r="AS1731" s="2">
        <v>0</v>
      </c>
      <c r="AT1731" s="2">
        <v>0</v>
      </c>
      <c r="AU1731" s="2">
        <v>0</v>
      </c>
      <c r="AV1731" s="2">
        <v>0</v>
      </c>
      <c r="AW1731" s="4"/>
      <c r="AX1731" t="s">
        <v>75</v>
      </c>
      <c r="AZ1731" t="s">
        <v>1539</v>
      </c>
      <c r="BA1731" t="s">
        <v>67</v>
      </c>
      <c r="BB1731" t="s">
        <v>1540</v>
      </c>
      <c r="BC1731" t="s">
        <v>485</v>
      </c>
      <c r="BD1731" t="s">
        <v>79</v>
      </c>
      <c r="BE1731" t="s">
        <v>145</v>
      </c>
      <c r="BF1731" s="5">
        <v>46508</v>
      </c>
      <c r="BH1731">
        <v>20</v>
      </c>
      <c r="BI1731" s="6">
        <v>600000</v>
      </c>
      <c r="BJ1731" s="6">
        <v>0</v>
      </c>
      <c r="BK1731" s="6">
        <v>0</v>
      </c>
      <c r="BL1731" s="6">
        <v>600000</v>
      </c>
      <c r="BM1731" s="2">
        <v>12000000</v>
      </c>
      <c r="BN1731">
        <f>InvoiceTable[[#This Row],[Giảm giá]]*InvoiceTable[[#This Row],[Số lượng]]</f>
        <v>0</v>
      </c>
    </row>
    <row r="1732" spans="1:66" x14ac:dyDescent="0.25">
      <c r="A1732" t="s">
        <v>65</v>
      </c>
      <c r="B1732" t="s">
        <v>4316</v>
      </c>
      <c r="F1732" s="2"/>
      <c r="G1732" s="3">
        <v>45998.554451655094</v>
      </c>
      <c r="H1732" s="3">
        <v>45998.554428668984</v>
      </c>
      <c r="I1732" s="4" t="s">
        <v>3493</v>
      </c>
      <c r="J1732" t="s">
        <v>4317</v>
      </c>
      <c r="K1732" t="s">
        <v>67</v>
      </c>
      <c r="L1732" t="s">
        <v>647</v>
      </c>
      <c r="M1732" t="s">
        <v>648</v>
      </c>
      <c r="N1732" t="s">
        <v>67</v>
      </c>
      <c r="O1732" t="s">
        <v>649</v>
      </c>
      <c r="P1732" t="s">
        <v>650</v>
      </c>
      <c r="S1732" s="5"/>
      <c r="T1732" t="s">
        <v>72</v>
      </c>
      <c r="U1732" t="s">
        <v>87</v>
      </c>
      <c r="V1732" t="s">
        <v>74</v>
      </c>
      <c r="W1732" t="s">
        <v>87</v>
      </c>
      <c r="AE1732" s="2"/>
      <c r="AF1732" s="2"/>
      <c r="AG1732" s="2"/>
      <c r="AH1732" s="2"/>
      <c r="AL1732" s="2">
        <v>30000000</v>
      </c>
      <c r="AM1732" s="2">
        <v>15000000</v>
      </c>
      <c r="AN1732" s="2"/>
      <c r="AO1732" s="2">
        <v>0</v>
      </c>
      <c r="AP1732" s="2">
        <v>15000000</v>
      </c>
      <c r="AQ1732" s="2">
        <v>0</v>
      </c>
      <c r="AR1732" s="2">
        <v>0</v>
      </c>
      <c r="AS1732" s="2">
        <v>0</v>
      </c>
      <c r="AT1732" s="2">
        <v>0</v>
      </c>
      <c r="AU1732" s="2">
        <v>0</v>
      </c>
      <c r="AV1732" s="2">
        <v>0</v>
      </c>
      <c r="AW1732" s="4"/>
      <c r="AX1732" t="s">
        <v>75</v>
      </c>
      <c r="AZ1732" t="s">
        <v>486</v>
      </c>
      <c r="BA1732" t="s">
        <v>67</v>
      </c>
      <c r="BB1732" t="s">
        <v>487</v>
      </c>
      <c r="BC1732" t="s">
        <v>485</v>
      </c>
      <c r="BD1732" t="s">
        <v>79</v>
      </c>
      <c r="BE1732" t="s">
        <v>155</v>
      </c>
      <c r="BF1732" s="5">
        <v>46600</v>
      </c>
      <c r="BH1732">
        <v>15</v>
      </c>
      <c r="BI1732" s="6">
        <v>600000</v>
      </c>
      <c r="BJ1732" s="6">
        <v>0</v>
      </c>
      <c r="BK1732" s="6">
        <v>0</v>
      </c>
      <c r="BL1732" s="6">
        <v>600000</v>
      </c>
      <c r="BM1732" s="2">
        <v>9000000</v>
      </c>
      <c r="BN1732">
        <f>InvoiceTable[[#This Row],[Giảm giá]]*InvoiceTable[[#This Row],[Số lượng]]</f>
        <v>0</v>
      </c>
    </row>
    <row r="1733" spans="1:66" x14ac:dyDescent="0.25">
      <c r="A1733" t="s">
        <v>65</v>
      </c>
      <c r="B1733" t="s">
        <v>4318</v>
      </c>
      <c r="F1733" s="2"/>
      <c r="G1733" s="3">
        <v>45998.554155057871</v>
      </c>
      <c r="H1733" s="3">
        <v>45998.554085729163</v>
      </c>
      <c r="I1733" s="4" t="s">
        <v>2803</v>
      </c>
      <c r="J1733" t="s">
        <v>4319</v>
      </c>
      <c r="K1733" t="s">
        <v>67</v>
      </c>
      <c r="L1733" t="s">
        <v>2118</v>
      </c>
      <c r="M1733" t="s">
        <v>2119</v>
      </c>
      <c r="N1733" t="s">
        <v>2120</v>
      </c>
      <c r="O1733" t="s">
        <v>2121</v>
      </c>
      <c r="P1733" t="s">
        <v>2122</v>
      </c>
      <c r="S1733" s="5"/>
      <c r="T1733" t="s">
        <v>72</v>
      </c>
      <c r="U1733" t="s">
        <v>73</v>
      </c>
      <c r="V1733" t="s">
        <v>74</v>
      </c>
      <c r="W1733" t="s">
        <v>87</v>
      </c>
      <c r="AE1733" s="2"/>
      <c r="AF1733" s="2"/>
      <c r="AG1733" s="2"/>
      <c r="AH1733" s="2"/>
      <c r="AK1733" t="s">
        <v>4320</v>
      </c>
      <c r="AL1733" s="2">
        <v>210000</v>
      </c>
      <c r="AM1733" s="2">
        <v>0</v>
      </c>
      <c r="AN1733" s="2"/>
      <c r="AO1733" s="2">
        <v>0</v>
      </c>
      <c r="AP1733" s="2">
        <v>210000</v>
      </c>
      <c r="AQ1733" s="2">
        <v>210000</v>
      </c>
      <c r="AR1733" s="2">
        <v>210000</v>
      </c>
      <c r="AS1733" s="2">
        <v>0</v>
      </c>
      <c r="AT1733" s="2">
        <v>0</v>
      </c>
      <c r="AU1733" s="2">
        <v>0</v>
      </c>
      <c r="AV1733" s="2">
        <v>0</v>
      </c>
      <c r="AW1733" s="4"/>
      <c r="AX1733" t="s">
        <v>75</v>
      </c>
      <c r="AZ1733" t="s">
        <v>1397</v>
      </c>
      <c r="BA1733" t="s">
        <v>67</v>
      </c>
      <c r="BB1733" t="s">
        <v>1398</v>
      </c>
      <c r="BC1733" t="s">
        <v>126</v>
      </c>
      <c r="BD1733" t="s">
        <v>79</v>
      </c>
      <c r="BE1733" t="s">
        <v>131</v>
      </c>
      <c r="BF1733" s="5">
        <v>46874</v>
      </c>
      <c r="BG1733" t="s">
        <v>67</v>
      </c>
      <c r="BH1733">
        <v>1</v>
      </c>
      <c r="BI1733" s="6">
        <v>350000</v>
      </c>
      <c r="BJ1733" s="6">
        <v>0</v>
      </c>
      <c r="BK1733" s="6">
        <v>210000</v>
      </c>
      <c r="BL1733" s="6">
        <v>140000</v>
      </c>
      <c r="BM1733" s="2">
        <v>140000</v>
      </c>
      <c r="BN1733">
        <f>InvoiceTable[[#This Row],[Giảm giá]]*InvoiceTable[[#This Row],[Số lượng]]</f>
        <v>210000</v>
      </c>
    </row>
    <row r="1734" spans="1:66" x14ac:dyDescent="0.25">
      <c r="A1734" t="s">
        <v>65</v>
      </c>
      <c r="B1734" t="s">
        <v>4318</v>
      </c>
      <c r="F1734" s="2"/>
      <c r="G1734" s="3">
        <v>45998.554155057871</v>
      </c>
      <c r="H1734" s="3">
        <v>45998.554085729163</v>
      </c>
      <c r="I1734" s="4" t="s">
        <v>2803</v>
      </c>
      <c r="J1734" t="s">
        <v>4319</v>
      </c>
      <c r="K1734" t="s">
        <v>67</v>
      </c>
      <c r="L1734" t="s">
        <v>2118</v>
      </c>
      <c r="M1734" t="s">
        <v>2119</v>
      </c>
      <c r="N1734" t="s">
        <v>2120</v>
      </c>
      <c r="O1734" t="s">
        <v>2121</v>
      </c>
      <c r="P1734" t="s">
        <v>2122</v>
      </c>
      <c r="S1734" s="5"/>
      <c r="T1734" t="s">
        <v>72</v>
      </c>
      <c r="U1734" t="s">
        <v>73</v>
      </c>
      <c r="V1734" t="s">
        <v>74</v>
      </c>
      <c r="W1734" t="s">
        <v>87</v>
      </c>
      <c r="AE1734" s="2"/>
      <c r="AF1734" s="2"/>
      <c r="AG1734" s="2"/>
      <c r="AH1734" s="2"/>
      <c r="AK1734" t="s">
        <v>4320</v>
      </c>
      <c r="AL1734" s="2">
        <v>210000</v>
      </c>
      <c r="AM1734" s="2">
        <v>0</v>
      </c>
      <c r="AN1734" s="2"/>
      <c r="AO1734" s="2">
        <v>0</v>
      </c>
      <c r="AP1734" s="2">
        <v>210000</v>
      </c>
      <c r="AQ1734" s="2">
        <v>210000</v>
      </c>
      <c r="AR1734" s="2">
        <v>210000</v>
      </c>
      <c r="AS1734" s="2">
        <v>0</v>
      </c>
      <c r="AT1734" s="2">
        <v>0</v>
      </c>
      <c r="AU1734" s="2">
        <v>0</v>
      </c>
      <c r="AV1734" s="2">
        <v>0</v>
      </c>
      <c r="AW1734" s="4"/>
      <c r="AX1734" t="s">
        <v>75</v>
      </c>
      <c r="AZ1734" t="s">
        <v>940</v>
      </c>
      <c r="BA1734" t="s">
        <v>67</v>
      </c>
      <c r="BB1734" t="s">
        <v>941</v>
      </c>
      <c r="BC1734" t="s">
        <v>126</v>
      </c>
      <c r="BD1734" t="s">
        <v>79</v>
      </c>
      <c r="BE1734" t="s">
        <v>715</v>
      </c>
      <c r="BF1734" s="5">
        <v>46631</v>
      </c>
      <c r="BG1734" t="s">
        <v>67</v>
      </c>
      <c r="BH1734">
        <v>1</v>
      </c>
      <c r="BI1734" s="6">
        <v>250000</v>
      </c>
      <c r="BJ1734" s="6">
        <v>0</v>
      </c>
      <c r="BK1734" s="6">
        <v>180000</v>
      </c>
      <c r="BL1734" s="6">
        <v>70000</v>
      </c>
      <c r="BM1734" s="2">
        <v>70000</v>
      </c>
      <c r="BN1734">
        <f>InvoiceTable[[#This Row],[Giảm giá]]*InvoiceTable[[#This Row],[Số lượng]]</f>
        <v>180000</v>
      </c>
    </row>
    <row r="1735" spans="1:66" x14ac:dyDescent="0.25">
      <c r="A1735" t="s">
        <v>65</v>
      </c>
      <c r="B1735" t="s">
        <v>4321</v>
      </c>
      <c r="F1735" s="2"/>
      <c r="G1735" s="3">
        <v>45998.553629861111</v>
      </c>
      <c r="H1735" s="3">
        <v>45998.55362997685</v>
      </c>
      <c r="I1735" s="4" t="s">
        <v>67</v>
      </c>
      <c r="J1735" t="s">
        <v>4322</v>
      </c>
      <c r="K1735" t="s">
        <v>67</v>
      </c>
      <c r="L1735" t="s">
        <v>3614</v>
      </c>
      <c r="M1735" t="s">
        <v>3615</v>
      </c>
      <c r="N1735" t="s">
        <v>67</v>
      </c>
      <c r="O1735" t="s">
        <v>3616</v>
      </c>
      <c r="P1735" t="s">
        <v>3617</v>
      </c>
      <c r="Q1735" t="s">
        <v>3618</v>
      </c>
      <c r="R1735" t="s">
        <v>3619</v>
      </c>
      <c r="S1735" s="5"/>
      <c r="T1735" t="s">
        <v>72</v>
      </c>
      <c r="U1735" t="s">
        <v>87</v>
      </c>
      <c r="V1735" t="s">
        <v>74</v>
      </c>
      <c r="W1735" t="s">
        <v>87</v>
      </c>
      <c r="AE1735" s="2"/>
      <c r="AF1735" s="2"/>
      <c r="AG1735" s="2"/>
      <c r="AH1735" s="2"/>
      <c r="AK1735" t="s">
        <v>4323</v>
      </c>
      <c r="AL1735" s="2">
        <v>1437500</v>
      </c>
      <c r="AM1735" s="2">
        <v>0</v>
      </c>
      <c r="AN1735" s="2"/>
      <c r="AO1735" s="2">
        <v>0</v>
      </c>
      <c r="AP1735" s="2">
        <v>1437500</v>
      </c>
      <c r="AQ1735" s="2">
        <v>0</v>
      </c>
      <c r="AR1735" s="2">
        <v>0</v>
      </c>
      <c r="AS1735" s="2">
        <v>0</v>
      </c>
      <c r="AT1735" s="2">
        <v>0</v>
      </c>
      <c r="AU1735" s="2">
        <v>0</v>
      </c>
      <c r="AV1735" s="2">
        <v>0</v>
      </c>
      <c r="AW1735" s="4"/>
      <c r="AX1735" t="s">
        <v>75</v>
      </c>
      <c r="AZ1735" t="s">
        <v>2676</v>
      </c>
      <c r="BA1735" t="s">
        <v>67</v>
      </c>
      <c r="BB1735" t="s">
        <v>2677</v>
      </c>
      <c r="BC1735" t="s">
        <v>2678</v>
      </c>
      <c r="BD1735" t="s">
        <v>79</v>
      </c>
      <c r="BE1735" t="s">
        <v>168</v>
      </c>
      <c r="BF1735" s="5">
        <v>46388</v>
      </c>
      <c r="BH1735">
        <v>125</v>
      </c>
      <c r="BI1735" s="6">
        <v>25000</v>
      </c>
      <c r="BJ1735" s="6">
        <v>0</v>
      </c>
      <c r="BK1735" s="6">
        <v>13500</v>
      </c>
      <c r="BL1735" s="6">
        <v>11500</v>
      </c>
      <c r="BM1735" s="2">
        <v>1437500</v>
      </c>
      <c r="BN1735">
        <f>InvoiceTable[[#This Row],[Giảm giá]]*InvoiceTable[[#This Row],[Số lượng]]</f>
        <v>1687500</v>
      </c>
    </row>
    <row r="1736" spans="1:66" x14ac:dyDescent="0.25">
      <c r="A1736" t="s">
        <v>65</v>
      </c>
      <c r="B1736" t="s">
        <v>4324</v>
      </c>
      <c r="F1736" s="2"/>
      <c r="G1736" s="3">
        <v>45998.553286111113</v>
      </c>
      <c r="H1736" s="3">
        <v>45998.55328630787</v>
      </c>
      <c r="I1736" s="4" t="s">
        <v>67</v>
      </c>
      <c r="J1736" t="s">
        <v>4325</v>
      </c>
      <c r="K1736" t="s">
        <v>67</v>
      </c>
      <c r="L1736" t="s">
        <v>2217</v>
      </c>
      <c r="M1736" t="s">
        <v>2218</v>
      </c>
      <c r="N1736" t="s">
        <v>67</v>
      </c>
      <c r="O1736" t="s">
        <v>2219</v>
      </c>
      <c r="P1736" t="s">
        <v>2220</v>
      </c>
      <c r="Q1736" t="s">
        <v>67</v>
      </c>
      <c r="R1736" t="s">
        <v>67</v>
      </c>
      <c r="S1736" s="5"/>
      <c r="T1736" t="s">
        <v>72</v>
      </c>
      <c r="U1736" t="s">
        <v>73</v>
      </c>
      <c r="V1736" t="s">
        <v>74</v>
      </c>
      <c r="W1736" t="s">
        <v>87</v>
      </c>
      <c r="AE1736" s="2"/>
      <c r="AF1736" s="2"/>
      <c r="AG1736" s="2"/>
      <c r="AH1736" s="2"/>
      <c r="AL1736" s="2">
        <v>1595000</v>
      </c>
      <c r="AM1736" s="2">
        <v>0</v>
      </c>
      <c r="AN1736" s="2"/>
      <c r="AO1736" s="2">
        <v>0</v>
      </c>
      <c r="AP1736" s="2">
        <v>1595000</v>
      </c>
      <c r="AQ1736" s="2">
        <v>1595000</v>
      </c>
      <c r="AR1736" s="2">
        <v>1595000</v>
      </c>
      <c r="AS1736" s="2">
        <v>0</v>
      </c>
      <c r="AT1736" s="2">
        <v>0</v>
      </c>
      <c r="AU1736" s="2">
        <v>0</v>
      </c>
      <c r="AV1736" s="2">
        <v>0</v>
      </c>
      <c r="AW1736" s="4"/>
      <c r="AX1736" t="s">
        <v>75</v>
      </c>
      <c r="AZ1736" t="s">
        <v>4326</v>
      </c>
      <c r="BA1736" t="s">
        <v>67</v>
      </c>
      <c r="BB1736" t="s">
        <v>4327</v>
      </c>
      <c r="BC1736" t="s">
        <v>980</v>
      </c>
      <c r="BD1736" t="s">
        <v>79</v>
      </c>
      <c r="BE1736" t="s">
        <v>188</v>
      </c>
      <c r="BF1736" s="5">
        <v>46905</v>
      </c>
      <c r="BH1736">
        <v>1</v>
      </c>
      <c r="BI1736" s="6">
        <v>2900000</v>
      </c>
      <c r="BJ1736" s="6">
        <v>45</v>
      </c>
      <c r="BK1736" s="6">
        <v>1305000</v>
      </c>
      <c r="BL1736" s="6">
        <v>1595000</v>
      </c>
      <c r="BM1736" s="2">
        <v>1595000</v>
      </c>
      <c r="BN1736">
        <f>InvoiceTable[[#This Row],[Giảm giá]]*InvoiceTable[[#This Row],[Số lượng]]</f>
        <v>1305000</v>
      </c>
    </row>
    <row r="1737" spans="1:66" x14ac:dyDescent="0.25">
      <c r="A1737" t="s">
        <v>65</v>
      </c>
      <c r="B1737" t="s">
        <v>4328</v>
      </c>
      <c r="F1737" s="2"/>
      <c r="G1737" s="3">
        <v>45998.55286689815</v>
      </c>
      <c r="H1737" s="3">
        <v>45998.552867094906</v>
      </c>
      <c r="I1737" s="4" t="s">
        <v>67</v>
      </c>
      <c r="J1737" t="s">
        <v>4329</v>
      </c>
      <c r="K1737" t="s">
        <v>67</v>
      </c>
      <c r="L1737" t="s">
        <v>2075</v>
      </c>
      <c r="M1737" t="s">
        <v>2076</v>
      </c>
      <c r="N1737" t="s">
        <v>67</v>
      </c>
      <c r="O1737" t="s">
        <v>2077</v>
      </c>
      <c r="P1737" t="s">
        <v>2078</v>
      </c>
      <c r="Q1737" t="s">
        <v>67</v>
      </c>
      <c r="R1737" t="s">
        <v>67</v>
      </c>
      <c r="S1737" s="5"/>
      <c r="T1737" t="s">
        <v>72</v>
      </c>
      <c r="U1737" t="s">
        <v>87</v>
      </c>
      <c r="V1737" t="s">
        <v>74</v>
      </c>
      <c r="W1737" t="s">
        <v>87</v>
      </c>
      <c r="AE1737" s="2"/>
      <c r="AF1737" s="2"/>
      <c r="AG1737" s="2"/>
      <c r="AH1737" s="2"/>
      <c r="AL1737" s="2">
        <v>752850</v>
      </c>
      <c r="AM1737" s="2">
        <v>0</v>
      </c>
      <c r="AN1737" s="2"/>
      <c r="AO1737" s="2">
        <v>0</v>
      </c>
      <c r="AP1737" s="2">
        <v>752850</v>
      </c>
      <c r="AQ1737" s="2">
        <v>752850</v>
      </c>
      <c r="AR1737" s="2">
        <v>0</v>
      </c>
      <c r="AS1737" s="2">
        <v>0</v>
      </c>
      <c r="AT1737" s="2">
        <v>0</v>
      </c>
      <c r="AU1737" s="2">
        <v>752850</v>
      </c>
      <c r="AV1737" s="2">
        <v>0</v>
      </c>
      <c r="AW1737" s="4"/>
      <c r="AX1737" t="s">
        <v>75</v>
      </c>
      <c r="AZ1737" t="s">
        <v>4330</v>
      </c>
      <c r="BA1737" t="s">
        <v>67</v>
      </c>
      <c r="BB1737" t="s">
        <v>4331</v>
      </c>
      <c r="BC1737" t="s">
        <v>204</v>
      </c>
      <c r="BD1737" t="s">
        <v>79</v>
      </c>
      <c r="BE1737" t="s">
        <v>1231</v>
      </c>
      <c r="BF1737" s="5">
        <v>47239</v>
      </c>
      <c r="BH1737">
        <v>1</v>
      </c>
      <c r="BI1737" s="6">
        <v>1195000</v>
      </c>
      <c r="BJ1737" s="6">
        <v>37</v>
      </c>
      <c r="BK1737" s="6">
        <v>442150</v>
      </c>
      <c r="BL1737" s="6">
        <v>752850</v>
      </c>
      <c r="BM1737" s="2">
        <v>752850</v>
      </c>
      <c r="BN1737">
        <f>InvoiceTable[[#This Row],[Giảm giá]]*InvoiceTable[[#This Row],[Số lượng]]</f>
        <v>442150</v>
      </c>
    </row>
    <row r="1738" spans="1:66" x14ac:dyDescent="0.25">
      <c r="A1738" t="s">
        <v>65</v>
      </c>
      <c r="B1738" t="s">
        <v>4332</v>
      </c>
      <c r="F1738" s="2"/>
      <c r="G1738" s="3">
        <v>45998.552631944447</v>
      </c>
      <c r="H1738" s="3">
        <v>45998.552585798614</v>
      </c>
      <c r="I1738" s="4" t="s">
        <v>3281</v>
      </c>
      <c r="J1738" t="s">
        <v>67</v>
      </c>
      <c r="K1738" t="s">
        <v>67</v>
      </c>
      <c r="L1738" t="s">
        <v>1854</v>
      </c>
      <c r="M1738" t="s">
        <v>1855</v>
      </c>
      <c r="N1738" t="s">
        <v>67</v>
      </c>
      <c r="O1738" t="s">
        <v>1856</v>
      </c>
      <c r="P1738" t="s">
        <v>1857</v>
      </c>
      <c r="Q1738" t="s">
        <v>1858</v>
      </c>
      <c r="R1738" t="s">
        <v>1859</v>
      </c>
      <c r="S1738" s="5"/>
      <c r="T1738" t="s">
        <v>72</v>
      </c>
      <c r="U1738" t="s">
        <v>87</v>
      </c>
      <c r="V1738" t="s">
        <v>74</v>
      </c>
      <c r="W1738" t="s">
        <v>87</v>
      </c>
      <c r="AE1738" s="2"/>
      <c r="AF1738" s="2"/>
      <c r="AG1738" s="2"/>
      <c r="AH1738" s="2"/>
      <c r="AL1738" s="2">
        <v>2030000</v>
      </c>
      <c r="AM1738" s="2">
        <v>0</v>
      </c>
      <c r="AN1738" s="2"/>
      <c r="AO1738" s="2">
        <v>0</v>
      </c>
      <c r="AP1738" s="2">
        <v>2030000</v>
      </c>
      <c r="AQ1738" s="2">
        <v>0</v>
      </c>
      <c r="AR1738" s="2">
        <v>0</v>
      </c>
      <c r="AS1738" s="2">
        <v>0</v>
      </c>
      <c r="AT1738" s="2">
        <v>0</v>
      </c>
      <c r="AU1738" s="2">
        <v>0</v>
      </c>
      <c r="AV1738" s="2">
        <v>0</v>
      </c>
      <c r="AW1738" s="4"/>
      <c r="AX1738" t="s">
        <v>75</v>
      </c>
      <c r="AZ1738" t="s">
        <v>978</v>
      </c>
      <c r="BA1738" t="s">
        <v>67</v>
      </c>
      <c r="BB1738" t="s">
        <v>979</v>
      </c>
      <c r="BC1738" t="s">
        <v>980</v>
      </c>
      <c r="BD1738" t="s">
        <v>79</v>
      </c>
      <c r="BE1738" t="s">
        <v>317</v>
      </c>
      <c r="BF1738" s="5">
        <v>46935</v>
      </c>
      <c r="BH1738">
        <v>1</v>
      </c>
      <c r="BI1738" s="6">
        <v>3500000</v>
      </c>
      <c r="BJ1738" s="6">
        <v>45</v>
      </c>
      <c r="BK1738" s="6">
        <v>1575000</v>
      </c>
      <c r="BL1738" s="6">
        <v>1925000</v>
      </c>
      <c r="BM1738" s="2">
        <v>1925000</v>
      </c>
      <c r="BN1738">
        <f>InvoiceTable[[#This Row],[Giảm giá]]*InvoiceTable[[#This Row],[Số lượng]]</f>
        <v>1575000</v>
      </c>
    </row>
    <row r="1739" spans="1:66" x14ac:dyDescent="0.25">
      <c r="A1739" t="s">
        <v>65</v>
      </c>
      <c r="B1739" t="s">
        <v>4332</v>
      </c>
      <c r="F1739" s="2"/>
      <c r="G1739" s="3">
        <v>45998.552631944447</v>
      </c>
      <c r="H1739" s="3">
        <v>45998.552585798614</v>
      </c>
      <c r="I1739" s="4" t="s">
        <v>3281</v>
      </c>
      <c r="J1739" t="s">
        <v>67</v>
      </c>
      <c r="K1739" t="s">
        <v>67</v>
      </c>
      <c r="L1739" t="s">
        <v>1854</v>
      </c>
      <c r="M1739" t="s">
        <v>1855</v>
      </c>
      <c r="N1739" t="s">
        <v>67</v>
      </c>
      <c r="O1739" t="s">
        <v>1856</v>
      </c>
      <c r="P1739" t="s">
        <v>1857</v>
      </c>
      <c r="Q1739" t="s">
        <v>1858</v>
      </c>
      <c r="R1739" t="s">
        <v>1859</v>
      </c>
      <c r="S1739" s="5"/>
      <c r="T1739" t="s">
        <v>72</v>
      </c>
      <c r="U1739" t="s">
        <v>87</v>
      </c>
      <c r="V1739" t="s">
        <v>74</v>
      </c>
      <c r="W1739" t="s">
        <v>87</v>
      </c>
      <c r="AE1739" s="2"/>
      <c r="AF1739" s="2"/>
      <c r="AG1739" s="2"/>
      <c r="AH1739" s="2"/>
      <c r="AL1739" s="2">
        <v>2030000</v>
      </c>
      <c r="AM1739" s="2">
        <v>0</v>
      </c>
      <c r="AN1739" s="2"/>
      <c r="AO1739" s="2">
        <v>0</v>
      </c>
      <c r="AP1739" s="2">
        <v>2030000</v>
      </c>
      <c r="AQ1739" s="2">
        <v>0</v>
      </c>
      <c r="AR1739" s="2">
        <v>0</v>
      </c>
      <c r="AS1739" s="2">
        <v>0</v>
      </c>
      <c r="AT1739" s="2">
        <v>0</v>
      </c>
      <c r="AU1739" s="2">
        <v>0</v>
      </c>
      <c r="AV1739" s="2">
        <v>0</v>
      </c>
      <c r="AW1739" s="4"/>
      <c r="AX1739" t="s">
        <v>75</v>
      </c>
      <c r="AZ1739" t="s">
        <v>1297</v>
      </c>
      <c r="BA1739" t="s">
        <v>67</v>
      </c>
      <c r="BB1739" t="s">
        <v>1298</v>
      </c>
      <c r="BC1739" t="s">
        <v>1299</v>
      </c>
      <c r="BD1739" t="s">
        <v>79</v>
      </c>
      <c r="BE1739" t="s">
        <v>159</v>
      </c>
      <c r="BF1739" s="5">
        <v>46478</v>
      </c>
      <c r="BH1739">
        <v>1</v>
      </c>
      <c r="BI1739" s="6">
        <v>270000</v>
      </c>
      <c r="BJ1739" s="6">
        <v>0</v>
      </c>
      <c r="BK1739" s="6">
        <v>165000</v>
      </c>
      <c r="BL1739" s="6">
        <v>105000</v>
      </c>
      <c r="BM1739" s="2">
        <v>105000</v>
      </c>
      <c r="BN1739">
        <f>InvoiceTable[[#This Row],[Giảm giá]]*InvoiceTable[[#This Row],[Số lượng]]</f>
        <v>165000</v>
      </c>
    </row>
    <row r="1740" spans="1:66" x14ac:dyDescent="0.25">
      <c r="A1740" t="s">
        <v>65</v>
      </c>
      <c r="B1740" t="s">
        <v>4333</v>
      </c>
      <c r="F1740" s="2"/>
      <c r="G1740" s="3">
        <v>45998.478086655094</v>
      </c>
      <c r="H1740" s="3">
        <v>45998.478086724535</v>
      </c>
      <c r="I1740" s="4" t="s">
        <v>67</v>
      </c>
      <c r="J1740" t="s">
        <v>67</v>
      </c>
      <c r="K1740" t="s">
        <v>67</v>
      </c>
      <c r="L1740" t="s">
        <v>1128</v>
      </c>
      <c r="M1740" t="s">
        <v>1129</v>
      </c>
      <c r="N1740" t="s">
        <v>67</v>
      </c>
      <c r="O1740" t="s">
        <v>1130</v>
      </c>
      <c r="P1740" t="s">
        <v>1131</v>
      </c>
      <c r="S1740" s="5"/>
      <c r="T1740" t="s">
        <v>72</v>
      </c>
      <c r="U1740" t="s">
        <v>87</v>
      </c>
      <c r="V1740" t="s">
        <v>74</v>
      </c>
      <c r="W1740" t="s">
        <v>87</v>
      </c>
      <c r="AE1740" s="2"/>
      <c r="AF1740" s="2"/>
      <c r="AG1740" s="2"/>
      <c r="AH1740" s="2"/>
      <c r="AL1740" s="2">
        <v>462000</v>
      </c>
      <c r="AM1740" s="2">
        <v>0</v>
      </c>
      <c r="AN1740" s="2"/>
      <c r="AO1740" s="2">
        <v>0</v>
      </c>
      <c r="AP1740" s="2">
        <v>462000</v>
      </c>
      <c r="AQ1740" s="2">
        <v>0</v>
      </c>
      <c r="AR1740" s="2">
        <v>0</v>
      </c>
      <c r="AS1740" s="2">
        <v>0</v>
      </c>
      <c r="AT1740" s="2">
        <v>0</v>
      </c>
      <c r="AU1740" s="2">
        <v>0</v>
      </c>
      <c r="AV1740" s="2">
        <v>0</v>
      </c>
      <c r="AW1740" s="4"/>
      <c r="AX1740" t="s">
        <v>75</v>
      </c>
      <c r="AZ1740" t="s">
        <v>355</v>
      </c>
      <c r="BB1740" t="s">
        <v>356</v>
      </c>
      <c r="BC1740" t="s">
        <v>357</v>
      </c>
      <c r="BD1740" t="s">
        <v>79</v>
      </c>
      <c r="BE1740" t="s">
        <v>317</v>
      </c>
      <c r="BF1740" s="5">
        <v>46935</v>
      </c>
      <c r="BG1740" t="s">
        <v>67</v>
      </c>
      <c r="BH1740">
        <v>2</v>
      </c>
      <c r="BI1740" s="6">
        <v>454000</v>
      </c>
      <c r="BJ1740" s="6">
        <v>0</v>
      </c>
      <c r="BK1740" s="6">
        <v>223000</v>
      </c>
      <c r="BL1740" s="6">
        <v>231000</v>
      </c>
      <c r="BM1740" s="2">
        <v>462000</v>
      </c>
      <c r="BN1740">
        <f>InvoiceTable[[#This Row],[Giảm giá]]*InvoiceTable[[#This Row],[Số lượng]]</f>
        <v>446000</v>
      </c>
    </row>
    <row r="1741" spans="1:66" x14ac:dyDescent="0.25">
      <c r="A1741" t="s">
        <v>65</v>
      </c>
      <c r="B1741" t="s">
        <v>4334</v>
      </c>
      <c r="F1741" s="2"/>
      <c r="G1741" s="3">
        <v>45998.47724359954</v>
      </c>
      <c r="H1741" s="3">
        <v>45998.477243865738</v>
      </c>
      <c r="I1741" s="4" t="s">
        <v>67</v>
      </c>
      <c r="J1741" t="s">
        <v>67</v>
      </c>
      <c r="K1741" t="s">
        <v>67</v>
      </c>
      <c r="L1741" t="s">
        <v>1772</v>
      </c>
      <c r="M1741" t="s">
        <v>1773</v>
      </c>
      <c r="N1741" t="s">
        <v>67</v>
      </c>
      <c r="O1741" t="s">
        <v>1774</v>
      </c>
      <c r="P1741" t="s">
        <v>1775</v>
      </c>
      <c r="Q1741" t="s">
        <v>67</v>
      </c>
      <c r="R1741" t="s">
        <v>67</v>
      </c>
      <c r="S1741" s="5"/>
      <c r="T1741" t="s">
        <v>72</v>
      </c>
      <c r="U1741" t="s">
        <v>87</v>
      </c>
      <c r="V1741" t="s">
        <v>74</v>
      </c>
      <c r="W1741" t="s">
        <v>87</v>
      </c>
      <c r="AE1741" s="2"/>
      <c r="AF1741" s="2"/>
      <c r="AG1741" s="2"/>
      <c r="AH1741" s="2"/>
      <c r="AL1741" s="2">
        <v>4720000</v>
      </c>
      <c r="AM1741" s="2">
        <v>0</v>
      </c>
      <c r="AN1741" s="2"/>
      <c r="AO1741" s="2">
        <v>0</v>
      </c>
      <c r="AP1741" s="2">
        <v>4720000</v>
      </c>
      <c r="AQ1741" s="2">
        <v>0</v>
      </c>
      <c r="AR1741" s="2">
        <v>0</v>
      </c>
      <c r="AS1741" s="2">
        <v>0</v>
      </c>
      <c r="AT1741" s="2">
        <v>0</v>
      </c>
      <c r="AU1741" s="2">
        <v>0</v>
      </c>
      <c r="AV1741" s="2">
        <v>0</v>
      </c>
      <c r="AW1741" s="4"/>
      <c r="AX1741" t="s">
        <v>75</v>
      </c>
      <c r="AZ1741" t="s">
        <v>674</v>
      </c>
      <c r="BA1741" t="s">
        <v>67</v>
      </c>
      <c r="BB1741" t="s">
        <v>675</v>
      </c>
      <c r="BC1741" t="s">
        <v>676</v>
      </c>
      <c r="BD1741" t="s">
        <v>79</v>
      </c>
      <c r="BE1741" t="s">
        <v>142</v>
      </c>
      <c r="BF1741" s="5">
        <v>46844</v>
      </c>
      <c r="BH1741">
        <v>2</v>
      </c>
      <c r="BI1741" s="6">
        <v>1690000</v>
      </c>
      <c r="BJ1741" s="6">
        <v>0</v>
      </c>
      <c r="BK1741" s="6">
        <v>510000</v>
      </c>
      <c r="BL1741" s="6">
        <v>1180000</v>
      </c>
      <c r="BM1741" s="2">
        <v>2360000</v>
      </c>
      <c r="BN1741">
        <f>InvoiceTable[[#This Row],[Giảm giá]]*InvoiceTable[[#This Row],[Số lượng]]</f>
        <v>1020000</v>
      </c>
    </row>
    <row r="1742" spans="1:66" x14ac:dyDescent="0.25">
      <c r="A1742" t="s">
        <v>65</v>
      </c>
      <c r="B1742" t="s">
        <v>4334</v>
      </c>
      <c r="F1742" s="2"/>
      <c r="G1742" s="3">
        <v>45998.47724359954</v>
      </c>
      <c r="H1742" s="3">
        <v>45998.477243865738</v>
      </c>
      <c r="I1742" s="4" t="s">
        <v>67</v>
      </c>
      <c r="J1742" t="s">
        <v>67</v>
      </c>
      <c r="K1742" t="s">
        <v>67</v>
      </c>
      <c r="L1742" t="s">
        <v>1772</v>
      </c>
      <c r="M1742" t="s">
        <v>1773</v>
      </c>
      <c r="N1742" t="s">
        <v>67</v>
      </c>
      <c r="O1742" t="s">
        <v>1774</v>
      </c>
      <c r="P1742" t="s">
        <v>1775</v>
      </c>
      <c r="Q1742" t="s">
        <v>67</v>
      </c>
      <c r="R1742" t="s">
        <v>67</v>
      </c>
      <c r="S1742" s="5"/>
      <c r="T1742" t="s">
        <v>72</v>
      </c>
      <c r="U1742" t="s">
        <v>87</v>
      </c>
      <c r="V1742" t="s">
        <v>74</v>
      </c>
      <c r="W1742" t="s">
        <v>87</v>
      </c>
      <c r="AE1742" s="2"/>
      <c r="AF1742" s="2"/>
      <c r="AG1742" s="2"/>
      <c r="AH1742" s="2"/>
      <c r="AL1742" s="2">
        <v>4720000</v>
      </c>
      <c r="AM1742" s="2">
        <v>0</v>
      </c>
      <c r="AN1742" s="2"/>
      <c r="AO1742" s="2">
        <v>0</v>
      </c>
      <c r="AP1742" s="2">
        <v>4720000</v>
      </c>
      <c r="AQ1742" s="2">
        <v>0</v>
      </c>
      <c r="AR1742" s="2">
        <v>0</v>
      </c>
      <c r="AS1742" s="2">
        <v>0</v>
      </c>
      <c r="AT1742" s="2">
        <v>0</v>
      </c>
      <c r="AU1742" s="2">
        <v>0</v>
      </c>
      <c r="AV1742" s="2">
        <v>0</v>
      </c>
      <c r="AW1742" s="4"/>
      <c r="AX1742" t="s">
        <v>75</v>
      </c>
      <c r="AZ1742" t="s">
        <v>1494</v>
      </c>
      <c r="BA1742" t="s">
        <v>67</v>
      </c>
      <c r="BB1742" t="s">
        <v>1495</v>
      </c>
      <c r="BC1742" t="s">
        <v>676</v>
      </c>
      <c r="BD1742" t="s">
        <v>79</v>
      </c>
      <c r="BE1742" t="s">
        <v>117</v>
      </c>
      <c r="BF1742" s="5">
        <v>46569</v>
      </c>
      <c r="BH1742">
        <v>2</v>
      </c>
      <c r="BI1742" s="6">
        <v>1690000</v>
      </c>
      <c r="BJ1742" s="6">
        <v>0</v>
      </c>
      <c r="BK1742" s="6">
        <v>510000</v>
      </c>
      <c r="BL1742" s="6">
        <v>1180000</v>
      </c>
      <c r="BM1742" s="2">
        <v>2360000</v>
      </c>
      <c r="BN1742">
        <f>InvoiceTable[[#This Row],[Giảm giá]]*InvoiceTable[[#This Row],[Số lượng]]</f>
        <v>1020000</v>
      </c>
    </row>
    <row r="1743" spans="1:66" x14ac:dyDescent="0.25">
      <c r="A1743" t="s">
        <v>65</v>
      </c>
      <c r="B1743" t="s">
        <v>4335</v>
      </c>
      <c r="F1743" s="2"/>
      <c r="G1743" s="3">
        <v>45998.475785567127</v>
      </c>
      <c r="H1743" s="3">
        <v>45998.475785682873</v>
      </c>
      <c r="I1743" s="4" t="s">
        <v>67</v>
      </c>
      <c r="J1743" t="s">
        <v>4336</v>
      </c>
      <c r="K1743" t="s">
        <v>67</v>
      </c>
      <c r="L1743" t="s">
        <v>4337</v>
      </c>
      <c r="M1743" t="s">
        <v>4338</v>
      </c>
      <c r="N1743" t="s">
        <v>67</v>
      </c>
      <c r="O1743" t="s">
        <v>67</v>
      </c>
      <c r="Q1743" t="s">
        <v>67</v>
      </c>
      <c r="R1743" t="s">
        <v>67</v>
      </c>
      <c r="S1743" s="5"/>
      <c r="T1743" t="s">
        <v>72</v>
      </c>
      <c r="U1743" t="s">
        <v>87</v>
      </c>
      <c r="V1743" t="s">
        <v>74</v>
      </c>
      <c r="W1743" t="s">
        <v>87</v>
      </c>
      <c r="AE1743" s="2"/>
      <c r="AF1743" s="2"/>
      <c r="AG1743" s="2"/>
      <c r="AH1743" s="2"/>
      <c r="AL1743" s="2">
        <v>1800000</v>
      </c>
      <c r="AM1743" s="2">
        <v>0</v>
      </c>
      <c r="AN1743" s="2"/>
      <c r="AO1743" s="2">
        <v>0</v>
      </c>
      <c r="AP1743" s="2">
        <v>1800000</v>
      </c>
      <c r="AQ1743" s="2">
        <v>1800000</v>
      </c>
      <c r="AR1743" s="2">
        <v>1800000</v>
      </c>
      <c r="AS1743" s="2">
        <v>0</v>
      </c>
      <c r="AT1743" s="2">
        <v>0</v>
      </c>
      <c r="AU1743" s="2">
        <v>0</v>
      </c>
      <c r="AV1743" s="2">
        <v>0</v>
      </c>
      <c r="AW1743" s="4"/>
      <c r="AX1743" t="s">
        <v>75</v>
      </c>
      <c r="AZ1743" t="s">
        <v>2747</v>
      </c>
      <c r="BB1743" t="s">
        <v>2748</v>
      </c>
      <c r="BC1743" t="s">
        <v>2749</v>
      </c>
      <c r="BD1743" t="s">
        <v>79</v>
      </c>
      <c r="BE1743" t="s">
        <v>228</v>
      </c>
      <c r="BF1743" s="5">
        <v>46813</v>
      </c>
      <c r="BH1743">
        <v>2</v>
      </c>
      <c r="BI1743" s="6">
        <v>1500000</v>
      </c>
      <c r="BJ1743" s="6">
        <v>40</v>
      </c>
      <c r="BK1743" s="6">
        <v>600000</v>
      </c>
      <c r="BL1743" s="6">
        <v>900000</v>
      </c>
      <c r="BM1743" s="2">
        <v>1800000</v>
      </c>
      <c r="BN1743">
        <f>InvoiceTable[[#This Row],[Giảm giá]]*InvoiceTable[[#This Row],[Số lượng]]</f>
        <v>1200000</v>
      </c>
    </row>
    <row r="1744" spans="1:66" x14ac:dyDescent="0.25">
      <c r="A1744" t="s">
        <v>65</v>
      </c>
      <c r="B1744" t="s">
        <v>4339</v>
      </c>
      <c r="F1744" s="2"/>
      <c r="G1744" s="3">
        <v>45998.47553758102</v>
      </c>
      <c r="H1744" s="3">
        <v>45998.47553758102</v>
      </c>
      <c r="I1744" s="4" t="s">
        <v>67</v>
      </c>
      <c r="J1744" t="s">
        <v>67</v>
      </c>
      <c r="K1744" t="s">
        <v>67</v>
      </c>
      <c r="L1744" t="s">
        <v>303</v>
      </c>
      <c r="M1744" t="s">
        <v>304</v>
      </c>
      <c r="N1744" t="s">
        <v>67</v>
      </c>
      <c r="O1744" t="s">
        <v>305</v>
      </c>
      <c r="P1744" t="s">
        <v>306</v>
      </c>
      <c r="Q1744" t="s">
        <v>67</v>
      </c>
      <c r="R1744" t="s">
        <v>67</v>
      </c>
      <c r="S1744" s="5"/>
      <c r="T1744" t="s">
        <v>72</v>
      </c>
      <c r="U1744" t="s">
        <v>87</v>
      </c>
      <c r="V1744" t="s">
        <v>74</v>
      </c>
      <c r="W1744" t="s">
        <v>87</v>
      </c>
      <c r="AE1744" s="2"/>
      <c r="AF1744" s="2"/>
      <c r="AG1744" s="2"/>
      <c r="AH1744" s="2"/>
      <c r="AK1744" t="s">
        <v>4340</v>
      </c>
      <c r="AL1744" s="2">
        <v>5180000</v>
      </c>
      <c r="AM1744" s="2">
        <v>0</v>
      </c>
      <c r="AN1744" s="2"/>
      <c r="AO1744" s="2">
        <v>0</v>
      </c>
      <c r="AP1744" s="2">
        <v>5180000</v>
      </c>
      <c r="AQ1744" s="2">
        <v>5180000</v>
      </c>
      <c r="AR1744" s="2">
        <v>0</v>
      </c>
      <c r="AS1744" s="2">
        <v>0</v>
      </c>
      <c r="AT1744" s="2">
        <v>0</v>
      </c>
      <c r="AU1744" s="2">
        <v>5180000</v>
      </c>
      <c r="AV1744" s="2">
        <v>0</v>
      </c>
      <c r="AW1744" s="4"/>
      <c r="AX1744" t="s">
        <v>75</v>
      </c>
      <c r="AZ1744" t="s">
        <v>107</v>
      </c>
      <c r="BA1744" t="s">
        <v>67</v>
      </c>
      <c r="BB1744" t="s">
        <v>108</v>
      </c>
      <c r="BC1744" t="s">
        <v>109</v>
      </c>
      <c r="BD1744" t="s">
        <v>79</v>
      </c>
      <c r="BE1744" t="s">
        <v>94</v>
      </c>
      <c r="BF1744" s="5">
        <v>46692</v>
      </c>
      <c r="BH1744">
        <v>2</v>
      </c>
      <c r="BI1744" s="6">
        <v>4500000</v>
      </c>
      <c r="BJ1744" s="6">
        <v>0</v>
      </c>
      <c r="BK1744" s="6">
        <v>1910000</v>
      </c>
      <c r="BL1744" s="6">
        <v>2590000</v>
      </c>
      <c r="BM1744" s="2">
        <v>5180000</v>
      </c>
      <c r="BN1744">
        <f>InvoiceTable[[#This Row],[Giảm giá]]*InvoiceTable[[#This Row],[Số lượng]]</f>
        <v>3820000</v>
      </c>
    </row>
    <row r="1745" spans="1:66" x14ac:dyDescent="0.25">
      <c r="A1745" t="s">
        <v>65</v>
      </c>
      <c r="B1745" t="s">
        <v>4341</v>
      </c>
      <c r="F1745" s="2"/>
      <c r="G1745" s="3">
        <v>45998.469670798608</v>
      </c>
      <c r="H1745" s="3">
        <v>45998.469670914354</v>
      </c>
      <c r="I1745" s="4" t="s">
        <v>67</v>
      </c>
      <c r="J1745" t="s">
        <v>67</v>
      </c>
      <c r="K1745" t="s">
        <v>67</v>
      </c>
      <c r="L1745" t="s">
        <v>2613</v>
      </c>
      <c r="M1745" t="s">
        <v>2614</v>
      </c>
      <c r="N1745" t="s">
        <v>67</v>
      </c>
      <c r="O1745" t="s">
        <v>2615</v>
      </c>
      <c r="P1745" t="s">
        <v>2616</v>
      </c>
      <c r="S1745" s="5"/>
      <c r="T1745" t="s">
        <v>72</v>
      </c>
      <c r="U1745" t="s">
        <v>87</v>
      </c>
      <c r="V1745" t="s">
        <v>74</v>
      </c>
      <c r="W1745" t="s">
        <v>87</v>
      </c>
      <c r="AE1745" s="2"/>
      <c r="AF1745" s="2"/>
      <c r="AG1745" s="2"/>
      <c r="AH1745" s="2"/>
      <c r="AL1745" s="2">
        <v>2202000</v>
      </c>
      <c r="AM1745" s="2">
        <v>0</v>
      </c>
      <c r="AN1745" s="2"/>
      <c r="AO1745" s="2">
        <v>0</v>
      </c>
      <c r="AP1745" s="2">
        <v>2202000</v>
      </c>
      <c r="AQ1745" s="2">
        <v>2202000</v>
      </c>
      <c r="AR1745" s="2">
        <v>0</v>
      </c>
      <c r="AS1745" s="2">
        <v>0</v>
      </c>
      <c r="AT1745" s="2">
        <v>0</v>
      </c>
      <c r="AU1745" s="2">
        <v>2202000</v>
      </c>
      <c r="AV1745" s="2">
        <v>0</v>
      </c>
      <c r="AW1745" s="4"/>
      <c r="AX1745" t="s">
        <v>75</v>
      </c>
      <c r="AZ1745" t="s">
        <v>340</v>
      </c>
      <c r="BA1745" t="s">
        <v>67</v>
      </c>
      <c r="BB1745" t="s">
        <v>341</v>
      </c>
      <c r="BC1745" t="s">
        <v>204</v>
      </c>
      <c r="BD1745" t="s">
        <v>79</v>
      </c>
      <c r="BE1745" t="s">
        <v>334</v>
      </c>
      <c r="BF1745" s="5">
        <v>47209</v>
      </c>
      <c r="BH1745">
        <v>3</v>
      </c>
      <c r="BI1745" s="6">
        <v>710000</v>
      </c>
      <c r="BJ1745" s="6">
        <v>40</v>
      </c>
      <c r="BK1745" s="6">
        <v>284000</v>
      </c>
      <c r="BL1745" s="6">
        <v>426000</v>
      </c>
      <c r="BM1745" s="2">
        <v>1278000</v>
      </c>
      <c r="BN1745">
        <f>InvoiceTable[[#This Row],[Giảm giá]]*InvoiceTable[[#This Row],[Số lượng]]</f>
        <v>852000</v>
      </c>
    </row>
    <row r="1746" spans="1:66" x14ac:dyDescent="0.25">
      <c r="A1746" t="s">
        <v>65</v>
      </c>
      <c r="B1746" t="s">
        <v>4341</v>
      </c>
      <c r="F1746" s="2"/>
      <c r="G1746" s="3">
        <v>45998.469670798608</v>
      </c>
      <c r="H1746" s="3">
        <v>45998.469670914354</v>
      </c>
      <c r="I1746" s="4" t="s">
        <v>67</v>
      </c>
      <c r="J1746" t="s">
        <v>67</v>
      </c>
      <c r="K1746" t="s">
        <v>67</v>
      </c>
      <c r="L1746" t="s">
        <v>2613</v>
      </c>
      <c r="M1746" t="s">
        <v>2614</v>
      </c>
      <c r="N1746" t="s">
        <v>67</v>
      </c>
      <c r="O1746" t="s">
        <v>2615</v>
      </c>
      <c r="P1746" t="s">
        <v>2616</v>
      </c>
      <c r="S1746" s="5"/>
      <c r="T1746" t="s">
        <v>72</v>
      </c>
      <c r="U1746" t="s">
        <v>87</v>
      </c>
      <c r="V1746" t="s">
        <v>74</v>
      </c>
      <c r="W1746" t="s">
        <v>87</v>
      </c>
      <c r="AE1746" s="2"/>
      <c r="AF1746" s="2"/>
      <c r="AG1746" s="2"/>
      <c r="AH1746" s="2"/>
      <c r="AL1746" s="2">
        <v>2202000</v>
      </c>
      <c r="AM1746" s="2">
        <v>0</v>
      </c>
      <c r="AN1746" s="2"/>
      <c r="AO1746" s="2">
        <v>0</v>
      </c>
      <c r="AP1746" s="2">
        <v>2202000</v>
      </c>
      <c r="AQ1746" s="2">
        <v>2202000</v>
      </c>
      <c r="AR1746" s="2">
        <v>0</v>
      </c>
      <c r="AS1746" s="2">
        <v>0</v>
      </c>
      <c r="AT1746" s="2">
        <v>0</v>
      </c>
      <c r="AU1746" s="2">
        <v>2202000</v>
      </c>
      <c r="AV1746" s="2">
        <v>0</v>
      </c>
      <c r="AW1746" s="4"/>
      <c r="AX1746" t="s">
        <v>75</v>
      </c>
      <c r="AZ1746" t="s">
        <v>4342</v>
      </c>
      <c r="BA1746" t="s">
        <v>67</v>
      </c>
      <c r="BB1746" t="s">
        <v>4343</v>
      </c>
      <c r="BC1746" t="s">
        <v>2582</v>
      </c>
      <c r="BD1746" t="s">
        <v>79</v>
      </c>
      <c r="BE1746" t="s">
        <v>106</v>
      </c>
      <c r="BF1746" s="5">
        <v>46327</v>
      </c>
      <c r="BG1746" t="s">
        <v>67</v>
      </c>
      <c r="BH1746">
        <v>1</v>
      </c>
      <c r="BI1746" s="6">
        <v>1680000</v>
      </c>
      <c r="BJ1746" s="6">
        <v>45</v>
      </c>
      <c r="BK1746" s="6">
        <v>756000</v>
      </c>
      <c r="BL1746" s="6">
        <v>924000</v>
      </c>
      <c r="BM1746" s="2">
        <v>924000</v>
      </c>
      <c r="BN1746">
        <f>InvoiceTable[[#This Row],[Giảm giá]]*InvoiceTable[[#This Row],[Số lượng]]</f>
        <v>756000</v>
      </c>
    </row>
    <row r="1747" spans="1:66" x14ac:dyDescent="0.25">
      <c r="A1747" t="s">
        <v>65</v>
      </c>
      <c r="B1747" t="s">
        <v>4344</v>
      </c>
      <c r="F1747" s="2"/>
      <c r="G1747" s="3">
        <v>45998.440554976849</v>
      </c>
      <c r="H1747" s="3">
        <v>45998.440555092595</v>
      </c>
      <c r="I1747" s="4" t="s">
        <v>67</v>
      </c>
      <c r="J1747" t="s">
        <v>4345</v>
      </c>
      <c r="K1747" t="s">
        <v>67</v>
      </c>
      <c r="L1747" t="s">
        <v>4346</v>
      </c>
      <c r="M1747" t="s">
        <v>4347</v>
      </c>
      <c r="N1747" t="s">
        <v>67</v>
      </c>
      <c r="O1747" t="s">
        <v>4348</v>
      </c>
      <c r="P1747" t="s">
        <v>4349</v>
      </c>
      <c r="S1747" s="5"/>
      <c r="T1747" t="s">
        <v>72</v>
      </c>
      <c r="U1747" t="s">
        <v>87</v>
      </c>
      <c r="V1747" t="s">
        <v>74</v>
      </c>
      <c r="W1747" t="s">
        <v>87</v>
      </c>
      <c r="AE1747" s="2"/>
      <c r="AF1747" s="2"/>
      <c r="AG1747" s="2"/>
      <c r="AH1747" s="2"/>
      <c r="AK1747" t="s">
        <v>67</v>
      </c>
      <c r="AL1747" s="2">
        <v>10377000</v>
      </c>
      <c r="AM1747" s="2">
        <v>0</v>
      </c>
      <c r="AN1747" s="2"/>
      <c r="AO1747" s="2">
        <v>0</v>
      </c>
      <c r="AP1747" s="2">
        <v>10377000</v>
      </c>
      <c r="AQ1747" s="2">
        <v>0</v>
      </c>
      <c r="AR1747" s="2">
        <v>0</v>
      </c>
      <c r="AS1747" s="2">
        <v>0</v>
      </c>
      <c r="AT1747" s="2">
        <v>0</v>
      </c>
      <c r="AU1747" s="2">
        <v>0</v>
      </c>
      <c r="AV1747" s="2">
        <v>0</v>
      </c>
      <c r="AW1747" s="4"/>
      <c r="AX1747" t="s">
        <v>75</v>
      </c>
      <c r="AZ1747" t="s">
        <v>4350</v>
      </c>
      <c r="BA1747" t="s">
        <v>67</v>
      </c>
      <c r="BB1747" t="s">
        <v>4351</v>
      </c>
      <c r="BD1747" t="s">
        <v>79</v>
      </c>
      <c r="BE1747" t="s">
        <v>348</v>
      </c>
      <c r="BF1747" s="5">
        <v>47484</v>
      </c>
      <c r="BG1747" t="s">
        <v>67</v>
      </c>
      <c r="BH1747">
        <v>1</v>
      </c>
      <c r="BI1747" s="6">
        <v>35000</v>
      </c>
      <c r="BJ1747" s="6">
        <v>0</v>
      </c>
      <c r="BK1747" s="6">
        <v>0</v>
      </c>
      <c r="BL1747" s="6">
        <v>35000</v>
      </c>
      <c r="BM1747" s="2">
        <v>35000</v>
      </c>
      <c r="BN1747">
        <f>InvoiceTable[[#This Row],[Giảm giá]]*InvoiceTable[[#This Row],[Số lượng]]</f>
        <v>0</v>
      </c>
    </row>
    <row r="1748" spans="1:66" x14ac:dyDescent="0.25">
      <c r="A1748" t="s">
        <v>65</v>
      </c>
      <c r="B1748" t="s">
        <v>4344</v>
      </c>
      <c r="F1748" s="2"/>
      <c r="G1748" s="3">
        <v>45998.440554976849</v>
      </c>
      <c r="H1748" s="3">
        <v>45998.440555092595</v>
      </c>
      <c r="I1748" s="4" t="s">
        <v>67</v>
      </c>
      <c r="J1748" t="s">
        <v>4345</v>
      </c>
      <c r="K1748" t="s">
        <v>67</v>
      </c>
      <c r="L1748" t="s">
        <v>4346</v>
      </c>
      <c r="M1748" t="s">
        <v>4347</v>
      </c>
      <c r="N1748" t="s">
        <v>67</v>
      </c>
      <c r="O1748" t="s">
        <v>4348</v>
      </c>
      <c r="P1748" t="s">
        <v>4349</v>
      </c>
      <c r="S1748" s="5"/>
      <c r="T1748" t="s">
        <v>72</v>
      </c>
      <c r="U1748" t="s">
        <v>87</v>
      </c>
      <c r="V1748" t="s">
        <v>74</v>
      </c>
      <c r="W1748" t="s">
        <v>87</v>
      </c>
      <c r="AE1748" s="2"/>
      <c r="AF1748" s="2"/>
      <c r="AG1748" s="2"/>
      <c r="AH1748" s="2"/>
      <c r="AK1748" t="s">
        <v>67</v>
      </c>
      <c r="AL1748" s="2">
        <v>10377000</v>
      </c>
      <c r="AM1748" s="2">
        <v>0</v>
      </c>
      <c r="AN1748" s="2"/>
      <c r="AO1748" s="2">
        <v>0</v>
      </c>
      <c r="AP1748" s="2">
        <v>10377000</v>
      </c>
      <c r="AQ1748" s="2">
        <v>0</v>
      </c>
      <c r="AR1748" s="2">
        <v>0</v>
      </c>
      <c r="AS1748" s="2">
        <v>0</v>
      </c>
      <c r="AT1748" s="2">
        <v>0</v>
      </c>
      <c r="AU1748" s="2">
        <v>0</v>
      </c>
      <c r="AV1748" s="2">
        <v>0</v>
      </c>
      <c r="AW1748" s="4"/>
      <c r="AX1748" t="s">
        <v>75</v>
      </c>
      <c r="AZ1748" t="s">
        <v>1539</v>
      </c>
      <c r="BA1748" t="s">
        <v>67</v>
      </c>
      <c r="BB1748" t="s">
        <v>1540</v>
      </c>
      <c r="BC1748" t="s">
        <v>485</v>
      </c>
      <c r="BD1748" t="s">
        <v>79</v>
      </c>
      <c r="BE1748" t="s">
        <v>145</v>
      </c>
      <c r="BF1748" s="5">
        <v>46508</v>
      </c>
      <c r="BG1748" t="s">
        <v>67</v>
      </c>
      <c r="BH1748">
        <v>20</v>
      </c>
      <c r="BI1748" s="6">
        <v>600000</v>
      </c>
      <c r="BJ1748" s="6">
        <v>43</v>
      </c>
      <c r="BK1748" s="6">
        <v>258000</v>
      </c>
      <c r="BL1748" s="6">
        <v>342000</v>
      </c>
      <c r="BM1748" s="2">
        <v>6840000</v>
      </c>
      <c r="BN1748">
        <f>InvoiceTable[[#This Row],[Giảm giá]]*InvoiceTable[[#This Row],[Số lượng]]</f>
        <v>5160000</v>
      </c>
    </row>
    <row r="1749" spans="1:66" x14ac:dyDescent="0.25">
      <c r="A1749" t="s">
        <v>65</v>
      </c>
      <c r="B1749" t="s">
        <v>4344</v>
      </c>
      <c r="F1749" s="2"/>
      <c r="G1749" s="3">
        <v>45998.440554976849</v>
      </c>
      <c r="H1749" s="3">
        <v>45998.440555092595</v>
      </c>
      <c r="I1749" s="4" t="s">
        <v>67</v>
      </c>
      <c r="J1749" t="s">
        <v>4345</v>
      </c>
      <c r="K1749" t="s">
        <v>67</v>
      </c>
      <c r="L1749" t="s">
        <v>4346</v>
      </c>
      <c r="M1749" t="s">
        <v>4347</v>
      </c>
      <c r="N1749" t="s">
        <v>67</v>
      </c>
      <c r="O1749" t="s">
        <v>4348</v>
      </c>
      <c r="P1749" t="s">
        <v>4349</v>
      </c>
      <c r="S1749" s="5"/>
      <c r="T1749" t="s">
        <v>72</v>
      </c>
      <c r="U1749" t="s">
        <v>87</v>
      </c>
      <c r="V1749" t="s">
        <v>74</v>
      </c>
      <c r="W1749" t="s">
        <v>87</v>
      </c>
      <c r="AE1749" s="2"/>
      <c r="AF1749" s="2"/>
      <c r="AG1749" s="2"/>
      <c r="AH1749" s="2"/>
      <c r="AK1749" t="s">
        <v>67</v>
      </c>
      <c r="AL1749" s="2">
        <v>10377000</v>
      </c>
      <c r="AM1749" s="2">
        <v>0</v>
      </c>
      <c r="AN1749" s="2"/>
      <c r="AO1749" s="2">
        <v>0</v>
      </c>
      <c r="AP1749" s="2">
        <v>10377000</v>
      </c>
      <c r="AQ1749" s="2">
        <v>0</v>
      </c>
      <c r="AR1749" s="2">
        <v>0</v>
      </c>
      <c r="AS1749" s="2">
        <v>0</v>
      </c>
      <c r="AT1749" s="2">
        <v>0</v>
      </c>
      <c r="AU1749" s="2">
        <v>0</v>
      </c>
      <c r="AV1749" s="2">
        <v>0</v>
      </c>
      <c r="AW1749" s="4"/>
      <c r="AX1749" t="s">
        <v>75</v>
      </c>
      <c r="AZ1749" t="s">
        <v>486</v>
      </c>
      <c r="BA1749" t="s">
        <v>67</v>
      </c>
      <c r="BB1749" t="s">
        <v>487</v>
      </c>
      <c r="BC1749" t="s">
        <v>485</v>
      </c>
      <c r="BD1749" t="s">
        <v>79</v>
      </c>
      <c r="BE1749" t="s">
        <v>155</v>
      </c>
      <c r="BF1749" s="5">
        <v>46600</v>
      </c>
      <c r="BG1749" t="s">
        <v>67</v>
      </c>
      <c r="BH1749">
        <v>5</v>
      </c>
      <c r="BI1749" s="6">
        <v>600000</v>
      </c>
      <c r="BJ1749" s="6">
        <v>43</v>
      </c>
      <c r="BK1749" s="6">
        <v>258000</v>
      </c>
      <c r="BL1749" s="6">
        <v>342000</v>
      </c>
      <c r="BM1749" s="2">
        <v>1710000</v>
      </c>
      <c r="BN1749">
        <f>InvoiceTable[[#This Row],[Giảm giá]]*InvoiceTable[[#This Row],[Số lượng]]</f>
        <v>1290000</v>
      </c>
    </row>
    <row r="1750" spans="1:66" x14ac:dyDescent="0.25">
      <c r="A1750" t="s">
        <v>65</v>
      </c>
      <c r="B1750" t="s">
        <v>4344</v>
      </c>
      <c r="F1750" s="2"/>
      <c r="G1750" s="3">
        <v>45998.440554976849</v>
      </c>
      <c r="H1750" s="3">
        <v>45998.440555092595</v>
      </c>
      <c r="I1750" s="4" t="s">
        <v>67</v>
      </c>
      <c r="J1750" t="s">
        <v>4345</v>
      </c>
      <c r="K1750" t="s">
        <v>67</v>
      </c>
      <c r="L1750" t="s">
        <v>4346</v>
      </c>
      <c r="M1750" t="s">
        <v>4347</v>
      </c>
      <c r="N1750" t="s">
        <v>67</v>
      </c>
      <c r="O1750" t="s">
        <v>4348</v>
      </c>
      <c r="P1750" t="s">
        <v>4349</v>
      </c>
      <c r="S1750" s="5"/>
      <c r="T1750" t="s">
        <v>72</v>
      </c>
      <c r="U1750" t="s">
        <v>87</v>
      </c>
      <c r="V1750" t="s">
        <v>74</v>
      </c>
      <c r="W1750" t="s">
        <v>87</v>
      </c>
      <c r="AE1750" s="2"/>
      <c r="AF1750" s="2"/>
      <c r="AG1750" s="2"/>
      <c r="AH1750" s="2"/>
      <c r="AK1750" t="s">
        <v>67</v>
      </c>
      <c r="AL1750" s="2">
        <v>10377000</v>
      </c>
      <c r="AM1750" s="2">
        <v>0</v>
      </c>
      <c r="AN1750" s="2"/>
      <c r="AO1750" s="2">
        <v>0</v>
      </c>
      <c r="AP1750" s="2">
        <v>10377000</v>
      </c>
      <c r="AQ1750" s="2">
        <v>0</v>
      </c>
      <c r="AR1750" s="2">
        <v>0</v>
      </c>
      <c r="AS1750" s="2">
        <v>0</v>
      </c>
      <c r="AT1750" s="2">
        <v>0</v>
      </c>
      <c r="AU1750" s="2">
        <v>0</v>
      </c>
      <c r="AV1750" s="2">
        <v>0</v>
      </c>
      <c r="AW1750" s="4"/>
      <c r="AX1750" t="s">
        <v>75</v>
      </c>
      <c r="AZ1750" t="s">
        <v>4352</v>
      </c>
      <c r="BA1750" t="s">
        <v>67</v>
      </c>
      <c r="BB1750" t="s">
        <v>4353</v>
      </c>
      <c r="BC1750" t="s">
        <v>344</v>
      </c>
      <c r="BD1750" t="s">
        <v>79</v>
      </c>
      <c r="BE1750" t="s">
        <v>293</v>
      </c>
      <c r="BF1750" s="5">
        <v>46722</v>
      </c>
      <c r="BG1750" t="s">
        <v>67</v>
      </c>
      <c r="BH1750">
        <v>1</v>
      </c>
      <c r="BI1750" s="6">
        <v>3200000</v>
      </c>
      <c r="BJ1750" s="6">
        <v>44</v>
      </c>
      <c r="BK1750" s="6">
        <v>1408000</v>
      </c>
      <c r="BL1750" s="6">
        <v>1792000</v>
      </c>
      <c r="BM1750" s="2">
        <v>1792000</v>
      </c>
      <c r="BN1750">
        <f>InvoiceTable[[#This Row],[Giảm giá]]*InvoiceTable[[#This Row],[Số lượng]]</f>
        <v>1408000</v>
      </c>
    </row>
    <row r="1751" spans="1:66" x14ac:dyDescent="0.25">
      <c r="A1751" t="s">
        <v>65</v>
      </c>
      <c r="B1751" t="s">
        <v>4354</v>
      </c>
      <c r="F1751" s="2"/>
      <c r="G1751" s="3">
        <v>45998.440300844908</v>
      </c>
      <c r="H1751" s="3">
        <v>45998.440301041664</v>
      </c>
      <c r="I1751" s="4" t="s">
        <v>67</v>
      </c>
      <c r="J1751" t="s">
        <v>4355</v>
      </c>
      <c r="K1751" t="s">
        <v>67</v>
      </c>
      <c r="L1751" t="s">
        <v>4356</v>
      </c>
      <c r="M1751" t="s">
        <v>4357</v>
      </c>
      <c r="N1751" t="s">
        <v>67</v>
      </c>
      <c r="O1751" t="s">
        <v>4358</v>
      </c>
      <c r="Q1751" t="s">
        <v>67</v>
      </c>
      <c r="R1751" t="s">
        <v>67</v>
      </c>
      <c r="S1751" s="5"/>
      <c r="T1751" t="s">
        <v>72</v>
      </c>
      <c r="U1751" t="s">
        <v>102</v>
      </c>
      <c r="V1751" t="s">
        <v>74</v>
      </c>
      <c r="W1751" t="s">
        <v>87</v>
      </c>
      <c r="AE1751" s="2"/>
      <c r="AF1751" s="2"/>
      <c r="AG1751" s="2"/>
      <c r="AH1751" s="2"/>
      <c r="AK1751" t="s">
        <v>4359</v>
      </c>
      <c r="AL1751" s="2">
        <v>6041540</v>
      </c>
      <c r="AM1751" s="2">
        <v>0</v>
      </c>
      <c r="AN1751" s="2"/>
      <c r="AO1751" s="2">
        <v>0</v>
      </c>
      <c r="AP1751" s="2">
        <v>6041540</v>
      </c>
      <c r="AQ1751" s="2">
        <v>6041540</v>
      </c>
      <c r="AR1751" s="2">
        <v>0</v>
      </c>
      <c r="AS1751" s="2">
        <v>0</v>
      </c>
      <c r="AT1751" s="2">
        <v>0</v>
      </c>
      <c r="AU1751" s="2">
        <v>6041540</v>
      </c>
      <c r="AV1751" s="2">
        <v>0</v>
      </c>
      <c r="AW1751" s="4"/>
      <c r="AX1751" t="s">
        <v>75</v>
      </c>
      <c r="AZ1751" t="s">
        <v>370</v>
      </c>
      <c r="BA1751" t="s">
        <v>67</v>
      </c>
      <c r="BB1751" t="s">
        <v>371</v>
      </c>
      <c r="BC1751" t="s">
        <v>372</v>
      </c>
      <c r="BD1751" t="s">
        <v>79</v>
      </c>
      <c r="BE1751" t="s">
        <v>168</v>
      </c>
      <c r="BF1751" s="5">
        <v>46388</v>
      </c>
      <c r="BG1751" t="s">
        <v>67</v>
      </c>
      <c r="BH1751">
        <v>15</v>
      </c>
      <c r="BI1751" s="6">
        <v>30000</v>
      </c>
      <c r="BJ1751" s="6">
        <v>0</v>
      </c>
      <c r="BK1751" s="6">
        <v>12000</v>
      </c>
      <c r="BL1751" s="6">
        <v>18000</v>
      </c>
      <c r="BM1751" s="2">
        <v>270000</v>
      </c>
      <c r="BN1751">
        <f>InvoiceTable[[#This Row],[Giảm giá]]*InvoiceTable[[#This Row],[Số lượng]]</f>
        <v>180000</v>
      </c>
    </row>
    <row r="1752" spans="1:66" x14ac:dyDescent="0.25">
      <c r="A1752" t="s">
        <v>65</v>
      </c>
      <c r="B1752" t="s">
        <v>4354</v>
      </c>
      <c r="F1752" s="2"/>
      <c r="G1752" s="3">
        <v>45998.440300844908</v>
      </c>
      <c r="H1752" s="3">
        <v>45998.440301041664</v>
      </c>
      <c r="I1752" s="4" t="s">
        <v>67</v>
      </c>
      <c r="J1752" t="s">
        <v>4355</v>
      </c>
      <c r="K1752" t="s">
        <v>67</v>
      </c>
      <c r="L1752" t="s">
        <v>4356</v>
      </c>
      <c r="M1752" t="s">
        <v>4357</v>
      </c>
      <c r="N1752" t="s">
        <v>67</v>
      </c>
      <c r="O1752" t="s">
        <v>4358</v>
      </c>
      <c r="Q1752" t="s">
        <v>67</v>
      </c>
      <c r="R1752" t="s">
        <v>67</v>
      </c>
      <c r="S1752" s="5"/>
      <c r="T1752" t="s">
        <v>72</v>
      </c>
      <c r="U1752" t="s">
        <v>102</v>
      </c>
      <c r="V1752" t="s">
        <v>74</v>
      </c>
      <c r="W1752" t="s">
        <v>87</v>
      </c>
      <c r="AE1752" s="2"/>
      <c r="AF1752" s="2"/>
      <c r="AG1752" s="2"/>
      <c r="AH1752" s="2"/>
      <c r="AK1752" t="s">
        <v>4359</v>
      </c>
      <c r="AL1752" s="2">
        <v>6041540</v>
      </c>
      <c r="AM1752" s="2">
        <v>0</v>
      </c>
      <c r="AN1752" s="2"/>
      <c r="AO1752" s="2">
        <v>0</v>
      </c>
      <c r="AP1752" s="2">
        <v>6041540</v>
      </c>
      <c r="AQ1752" s="2">
        <v>6041540</v>
      </c>
      <c r="AR1752" s="2">
        <v>0</v>
      </c>
      <c r="AS1752" s="2">
        <v>0</v>
      </c>
      <c r="AT1752" s="2">
        <v>0</v>
      </c>
      <c r="AU1752" s="2">
        <v>6041540</v>
      </c>
      <c r="AV1752" s="2">
        <v>0</v>
      </c>
      <c r="AW1752" s="4"/>
      <c r="AX1752" t="s">
        <v>75</v>
      </c>
      <c r="AZ1752" t="s">
        <v>4360</v>
      </c>
      <c r="BA1752" t="s">
        <v>67</v>
      </c>
      <c r="BB1752" t="s">
        <v>4361</v>
      </c>
      <c r="BC1752" t="s">
        <v>822</v>
      </c>
      <c r="BD1752" t="s">
        <v>79</v>
      </c>
      <c r="BE1752" t="s">
        <v>348</v>
      </c>
      <c r="BF1752" s="5">
        <v>47484</v>
      </c>
      <c r="BG1752" t="s">
        <v>67</v>
      </c>
      <c r="BH1752">
        <v>1</v>
      </c>
      <c r="BI1752" s="6">
        <v>6641018</v>
      </c>
      <c r="BJ1752" s="6">
        <v>47</v>
      </c>
      <c r="BK1752" s="6">
        <v>3121278.46</v>
      </c>
      <c r="BL1752" s="6">
        <v>3519739.54</v>
      </c>
      <c r="BM1752" s="2">
        <v>3519740</v>
      </c>
      <c r="BN1752">
        <f>InvoiceTable[[#This Row],[Giảm giá]]*InvoiceTable[[#This Row],[Số lượng]]</f>
        <v>3121278.46</v>
      </c>
    </row>
    <row r="1753" spans="1:66" x14ac:dyDescent="0.25">
      <c r="A1753" t="s">
        <v>65</v>
      </c>
      <c r="B1753" t="s">
        <v>4354</v>
      </c>
      <c r="F1753" s="2"/>
      <c r="G1753" s="3">
        <v>45998.440300844908</v>
      </c>
      <c r="H1753" s="3">
        <v>45998.440301041664</v>
      </c>
      <c r="I1753" s="4" t="s">
        <v>67</v>
      </c>
      <c r="J1753" t="s">
        <v>4355</v>
      </c>
      <c r="K1753" t="s">
        <v>67</v>
      </c>
      <c r="L1753" t="s">
        <v>4356</v>
      </c>
      <c r="M1753" t="s">
        <v>4357</v>
      </c>
      <c r="N1753" t="s">
        <v>67</v>
      </c>
      <c r="O1753" t="s">
        <v>4358</v>
      </c>
      <c r="Q1753" t="s">
        <v>67</v>
      </c>
      <c r="R1753" t="s">
        <v>67</v>
      </c>
      <c r="S1753" s="5"/>
      <c r="T1753" t="s">
        <v>72</v>
      </c>
      <c r="U1753" t="s">
        <v>102</v>
      </c>
      <c r="V1753" t="s">
        <v>74</v>
      </c>
      <c r="W1753" t="s">
        <v>87</v>
      </c>
      <c r="AE1753" s="2"/>
      <c r="AF1753" s="2"/>
      <c r="AG1753" s="2"/>
      <c r="AH1753" s="2"/>
      <c r="AK1753" t="s">
        <v>4359</v>
      </c>
      <c r="AL1753" s="2">
        <v>6041540</v>
      </c>
      <c r="AM1753" s="2">
        <v>0</v>
      </c>
      <c r="AN1753" s="2"/>
      <c r="AO1753" s="2">
        <v>0</v>
      </c>
      <c r="AP1753" s="2">
        <v>6041540</v>
      </c>
      <c r="AQ1753" s="2">
        <v>6041540</v>
      </c>
      <c r="AR1753" s="2">
        <v>0</v>
      </c>
      <c r="AS1753" s="2">
        <v>0</v>
      </c>
      <c r="AT1753" s="2">
        <v>0</v>
      </c>
      <c r="AU1753" s="2">
        <v>6041540</v>
      </c>
      <c r="AV1753" s="2">
        <v>0</v>
      </c>
      <c r="AW1753" s="4"/>
      <c r="AX1753" t="s">
        <v>75</v>
      </c>
      <c r="AZ1753" t="s">
        <v>1320</v>
      </c>
      <c r="BB1753" t="s">
        <v>1321</v>
      </c>
      <c r="BC1753" t="s">
        <v>173</v>
      </c>
      <c r="BD1753" t="s">
        <v>79</v>
      </c>
      <c r="BE1753" t="s">
        <v>80</v>
      </c>
      <c r="BF1753" s="5">
        <v>47300</v>
      </c>
      <c r="BG1753" t="s">
        <v>67</v>
      </c>
      <c r="BH1753">
        <v>3</v>
      </c>
      <c r="BI1753" s="6">
        <v>1390000</v>
      </c>
      <c r="BJ1753" s="6">
        <v>46</v>
      </c>
      <c r="BK1753" s="6">
        <v>639400</v>
      </c>
      <c r="BL1753" s="6">
        <v>750600</v>
      </c>
      <c r="BM1753" s="2">
        <v>2251800</v>
      </c>
      <c r="BN1753">
        <f>InvoiceTable[[#This Row],[Giảm giá]]*InvoiceTable[[#This Row],[Số lượng]]</f>
        <v>1918200</v>
      </c>
    </row>
    <row r="1754" spans="1:66" x14ac:dyDescent="0.25">
      <c r="A1754" t="s">
        <v>65</v>
      </c>
      <c r="B1754" t="s">
        <v>4362</v>
      </c>
      <c r="F1754" s="2"/>
      <c r="G1754" s="3">
        <v>45997.686420717589</v>
      </c>
      <c r="H1754" s="3">
        <v>45997.686420833335</v>
      </c>
      <c r="I1754" s="4" t="s">
        <v>67</v>
      </c>
      <c r="J1754" t="s">
        <v>4363</v>
      </c>
      <c r="K1754" t="s">
        <v>67</v>
      </c>
      <c r="L1754" t="s">
        <v>3644</v>
      </c>
      <c r="M1754" t="s">
        <v>3645</v>
      </c>
      <c r="N1754" t="s">
        <v>3646</v>
      </c>
      <c r="O1754" t="s">
        <v>3647</v>
      </c>
      <c r="P1754" t="s">
        <v>3648</v>
      </c>
      <c r="S1754" s="5"/>
      <c r="T1754" t="s">
        <v>72</v>
      </c>
      <c r="U1754" t="s">
        <v>73</v>
      </c>
      <c r="V1754" t="s">
        <v>74</v>
      </c>
      <c r="W1754" t="s">
        <v>87</v>
      </c>
      <c r="AE1754" s="2"/>
      <c r="AF1754" s="2"/>
      <c r="AG1754" s="2"/>
      <c r="AH1754" s="2"/>
      <c r="AK1754" t="s">
        <v>4364</v>
      </c>
      <c r="AL1754" s="2">
        <v>390000</v>
      </c>
      <c r="AM1754" s="2">
        <v>0</v>
      </c>
      <c r="AN1754" s="2"/>
      <c r="AO1754" s="2">
        <v>0</v>
      </c>
      <c r="AP1754" s="2">
        <v>390000</v>
      </c>
      <c r="AQ1754" s="2">
        <v>390000</v>
      </c>
      <c r="AR1754" s="2">
        <v>390000</v>
      </c>
      <c r="AS1754" s="2">
        <v>0</v>
      </c>
      <c r="AT1754" s="2">
        <v>0</v>
      </c>
      <c r="AU1754" s="2">
        <v>0</v>
      </c>
      <c r="AV1754" s="2">
        <v>0</v>
      </c>
      <c r="AW1754" s="4"/>
      <c r="AX1754" t="s">
        <v>75</v>
      </c>
      <c r="AZ1754" t="s">
        <v>486</v>
      </c>
      <c r="BA1754" t="s">
        <v>67</v>
      </c>
      <c r="BB1754" t="s">
        <v>487</v>
      </c>
      <c r="BC1754" t="s">
        <v>485</v>
      </c>
      <c r="BD1754" t="s">
        <v>79</v>
      </c>
      <c r="BE1754" t="s">
        <v>155</v>
      </c>
      <c r="BF1754" s="5">
        <v>46600</v>
      </c>
      <c r="BH1754">
        <v>1</v>
      </c>
      <c r="BI1754" s="6">
        <v>600000</v>
      </c>
      <c r="BJ1754" s="6">
        <v>35</v>
      </c>
      <c r="BK1754" s="6">
        <v>210000</v>
      </c>
      <c r="BL1754" s="6">
        <v>390000</v>
      </c>
      <c r="BM1754" s="2">
        <v>390000</v>
      </c>
      <c r="BN1754">
        <f>InvoiceTable[[#This Row],[Giảm giá]]*InvoiceTable[[#This Row],[Số lượng]]</f>
        <v>210000</v>
      </c>
    </row>
    <row r="1755" spans="1:66" x14ac:dyDescent="0.25">
      <c r="A1755" t="s">
        <v>65</v>
      </c>
      <c r="B1755" t="s">
        <v>4365</v>
      </c>
      <c r="F1755" s="2"/>
      <c r="G1755" s="3">
        <v>45997.683624224534</v>
      </c>
      <c r="H1755" s="3">
        <v>45997.683624305559</v>
      </c>
      <c r="I1755" s="4" t="s">
        <v>67</v>
      </c>
      <c r="J1755" t="s">
        <v>67</v>
      </c>
      <c r="K1755" t="s">
        <v>67</v>
      </c>
      <c r="M1755" t="s">
        <v>641</v>
      </c>
      <c r="N1755" t="s">
        <v>67</v>
      </c>
      <c r="S1755" s="5"/>
      <c r="T1755" t="s">
        <v>72</v>
      </c>
      <c r="U1755" t="s">
        <v>87</v>
      </c>
      <c r="V1755" t="s">
        <v>74</v>
      </c>
      <c r="W1755" t="s">
        <v>87</v>
      </c>
      <c r="AE1755" s="2"/>
      <c r="AF1755" s="2"/>
      <c r="AG1755" s="2"/>
      <c r="AH1755" s="2"/>
      <c r="AL1755" s="2">
        <v>1040000</v>
      </c>
      <c r="AM1755" s="2">
        <v>0</v>
      </c>
      <c r="AN1755" s="2"/>
      <c r="AO1755" s="2">
        <v>0</v>
      </c>
      <c r="AP1755" s="2">
        <v>1040000</v>
      </c>
      <c r="AQ1755" s="2">
        <v>1040000</v>
      </c>
      <c r="AR1755" s="2">
        <v>1040000</v>
      </c>
      <c r="AS1755" s="2">
        <v>0</v>
      </c>
      <c r="AT1755" s="2">
        <v>0</v>
      </c>
      <c r="AU1755" s="2">
        <v>0</v>
      </c>
      <c r="AV1755" s="2">
        <v>0</v>
      </c>
      <c r="AW1755" s="4"/>
      <c r="AX1755" t="s">
        <v>75</v>
      </c>
      <c r="AZ1755" t="s">
        <v>748</v>
      </c>
      <c r="BA1755" t="s">
        <v>67</v>
      </c>
      <c r="BB1755" t="s">
        <v>749</v>
      </c>
      <c r="BC1755" t="s">
        <v>750</v>
      </c>
      <c r="BD1755" t="s">
        <v>79</v>
      </c>
      <c r="BE1755" t="s">
        <v>117</v>
      </c>
      <c r="BF1755" s="5">
        <v>46569</v>
      </c>
      <c r="BH1755">
        <v>1</v>
      </c>
      <c r="BI1755" s="6">
        <v>1500000</v>
      </c>
      <c r="BJ1755" s="6">
        <v>0</v>
      </c>
      <c r="BK1755" s="6">
        <v>460000</v>
      </c>
      <c r="BL1755" s="6">
        <v>1040000</v>
      </c>
      <c r="BM1755" s="2">
        <v>1040000</v>
      </c>
      <c r="BN1755">
        <f>InvoiceTable[[#This Row],[Giảm giá]]*InvoiceTable[[#This Row],[Số lượng]]</f>
        <v>460000</v>
      </c>
    </row>
    <row r="1756" spans="1:66" x14ac:dyDescent="0.25">
      <c r="A1756" t="s">
        <v>65</v>
      </c>
      <c r="B1756" t="s">
        <v>4366</v>
      </c>
      <c r="F1756" s="2"/>
      <c r="G1756" s="3">
        <v>45997.681455983795</v>
      </c>
      <c r="H1756" s="3">
        <v>45997.681456134262</v>
      </c>
      <c r="I1756" s="4" t="s">
        <v>67</v>
      </c>
      <c r="J1756" t="s">
        <v>4367</v>
      </c>
      <c r="K1756" t="s">
        <v>67</v>
      </c>
      <c r="L1756" t="s">
        <v>1772</v>
      </c>
      <c r="M1756" t="s">
        <v>1773</v>
      </c>
      <c r="N1756" t="s">
        <v>67</v>
      </c>
      <c r="O1756" t="s">
        <v>1774</v>
      </c>
      <c r="P1756" t="s">
        <v>1775</v>
      </c>
      <c r="Q1756" t="s">
        <v>67</v>
      </c>
      <c r="R1756" t="s">
        <v>67</v>
      </c>
      <c r="S1756" s="5"/>
      <c r="T1756" t="s">
        <v>72</v>
      </c>
      <c r="U1756" t="s">
        <v>87</v>
      </c>
      <c r="V1756" t="s">
        <v>74</v>
      </c>
      <c r="W1756" t="s">
        <v>87</v>
      </c>
      <c r="AE1756" s="2"/>
      <c r="AF1756" s="2"/>
      <c r="AG1756" s="2"/>
      <c r="AH1756" s="2"/>
      <c r="AL1756" s="2">
        <v>1302000</v>
      </c>
      <c r="AM1756" s="2">
        <v>0</v>
      </c>
      <c r="AN1756" s="2"/>
      <c r="AO1756" s="2">
        <v>0</v>
      </c>
      <c r="AP1756" s="2">
        <v>1302000</v>
      </c>
      <c r="AQ1756" s="2">
        <v>1301550</v>
      </c>
      <c r="AR1756" s="2">
        <v>0</v>
      </c>
      <c r="AS1756" s="2">
        <v>0</v>
      </c>
      <c r="AT1756" s="2">
        <v>0</v>
      </c>
      <c r="AU1756" s="2">
        <v>1301550</v>
      </c>
      <c r="AV1756" s="2">
        <v>0</v>
      </c>
      <c r="AW1756" s="4"/>
      <c r="AX1756" t="s">
        <v>75</v>
      </c>
      <c r="AZ1756" t="s">
        <v>3232</v>
      </c>
      <c r="BA1756" t="s">
        <v>67</v>
      </c>
      <c r="BB1756" t="s">
        <v>3233</v>
      </c>
      <c r="BC1756" t="s">
        <v>2169</v>
      </c>
      <c r="BD1756" t="s">
        <v>79</v>
      </c>
      <c r="BE1756" t="s">
        <v>117</v>
      </c>
      <c r="BF1756" s="5">
        <v>46569</v>
      </c>
      <c r="BH1756">
        <v>1</v>
      </c>
      <c r="BI1756" s="6">
        <v>950000</v>
      </c>
      <c r="BJ1756" s="6">
        <v>42</v>
      </c>
      <c r="BK1756" s="6">
        <v>399000</v>
      </c>
      <c r="BL1756" s="6">
        <v>551000</v>
      </c>
      <c r="BM1756" s="2">
        <v>551000</v>
      </c>
      <c r="BN1756">
        <f>InvoiceTable[[#This Row],[Giảm giá]]*InvoiceTable[[#This Row],[Số lượng]]</f>
        <v>399000</v>
      </c>
    </row>
    <row r="1757" spans="1:66" x14ac:dyDescent="0.25">
      <c r="A1757" t="s">
        <v>65</v>
      </c>
      <c r="B1757" t="s">
        <v>4366</v>
      </c>
      <c r="F1757" s="2"/>
      <c r="G1757" s="3">
        <v>45997.681455983795</v>
      </c>
      <c r="H1757" s="3">
        <v>45997.681456134262</v>
      </c>
      <c r="I1757" s="4" t="s">
        <v>67</v>
      </c>
      <c r="J1757" t="s">
        <v>4367</v>
      </c>
      <c r="K1757" t="s">
        <v>67</v>
      </c>
      <c r="L1757" t="s">
        <v>1772</v>
      </c>
      <c r="M1757" t="s">
        <v>1773</v>
      </c>
      <c r="N1757" t="s">
        <v>67</v>
      </c>
      <c r="O1757" t="s">
        <v>1774</v>
      </c>
      <c r="P1757" t="s">
        <v>1775</v>
      </c>
      <c r="Q1757" t="s">
        <v>67</v>
      </c>
      <c r="R1757" t="s">
        <v>67</v>
      </c>
      <c r="S1757" s="5"/>
      <c r="T1757" t="s">
        <v>72</v>
      </c>
      <c r="U1757" t="s">
        <v>87</v>
      </c>
      <c r="V1757" t="s">
        <v>74</v>
      </c>
      <c r="W1757" t="s">
        <v>87</v>
      </c>
      <c r="AE1757" s="2"/>
      <c r="AF1757" s="2"/>
      <c r="AG1757" s="2"/>
      <c r="AH1757" s="2"/>
      <c r="AL1757" s="2">
        <v>1302000</v>
      </c>
      <c r="AM1757" s="2">
        <v>0</v>
      </c>
      <c r="AN1757" s="2"/>
      <c r="AO1757" s="2">
        <v>0</v>
      </c>
      <c r="AP1757" s="2">
        <v>1302000</v>
      </c>
      <c r="AQ1757" s="2">
        <v>1301550</v>
      </c>
      <c r="AR1757" s="2">
        <v>0</v>
      </c>
      <c r="AS1757" s="2">
        <v>0</v>
      </c>
      <c r="AT1757" s="2">
        <v>0</v>
      </c>
      <c r="AU1757" s="2">
        <v>1301550</v>
      </c>
      <c r="AV1757" s="2">
        <v>0</v>
      </c>
      <c r="AW1757" s="4"/>
      <c r="AX1757" t="s">
        <v>75</v>
      </c>
      <c r="AZ1757" t="s">
        <v>3234</v>
      </c>
      <c r="BA1757" t="s">
        <v>67</v>
      </c>
      <c r="BB1757" t="s">
        <v>3235</v>
      </c>
      <c r="BC1757" t="s">
        <v>2169</v>
      </c>
      <c r="BD1757" t="s">
        <v>79</v>
      </c>
      <c r="BE1757" t="s">
        <v>131</v>
      </c>
      <c r="BF1757" s="5">
        <v>46874</v>
      </c>
      <c r="BH1757">
        <v>1</v>
      </c>
      <c r="BI1757" s="6">
        <v>950000</v>
      </c>
      <c r="BJ1757" s="6">
        <v>42</v>
      </c>
      <c r="BK1757" s="6">
        <v>399000</v>
      </c>
      <c r="BL1757" s="6">
        <v>551000</v>
      </c>
      <c r="BM1757" s="2">
        <v>551000</v>
      </c>
      <c r="BN1757">
        <f>InvoiceTable[[#This Row],[Giảm giá]]*InvoiceTable[[#This Row],[Số lượng]]</f>
        <v>399000</v>
      </c>
    </row>
    <row r="1758" spans="1:66" x14ac:dyDescent="0.25">
      <c r="A1758" t="s">
        <v>65</v>
      </c>
      <c r="B1758" t="s">
        <v>4366</v>
      </c>
      <c r="F1758" s="2"/>
      <c r="G1758" s="3">
        <v>45997.681455983795</v>
      </c>
      <c r="H1758" s="3">
        <v>45997.681456134262</v>
      </c>
      <c r="I1758" s="4" t="s">
        <v>67</v>
      </c>
      <c r="J1758" t="s">
        <v>4367</v>
      </c>
      <c r="K1758" t="s">
        <v>67</v>
      </c>
      <c r="L1758" t="s">
        <v>1772</v>
      </c>
      <c r="M1758" t="s">
        <v>1773</v>
      </c>
      <c r="N1758" t="s">
        <v>67</v>
      </c>
      <c r="O1758" t="s">
        <v>1774</v>
      </c>
      <c r="P1758" t="s">
        <v>1775</v>
      </c>
      <c r="Q1758" t="s">
        <v>67</v>
      </c>
      <c r="R1758" t="s">
        <v>67</v>
      </c>
      <c r="S1758" s="5"/>
      <c r="T1758" t="s">
        <v>72</v>
      </c>
      <c r="U1758" t="s">
        <v>87</v>
      </c>
      <c r="V1758" t="s">
        <v>74</v>
      </c>
      <c r="W1758" t="s">
        <v>87</v>
      </c>
      <c r="AE1758" s="2"/>
      <c r="AF1758" s="2"/>
      <c r="AG1758" s="2"/>
      <c r="AH1758" s="2"/>
      <c r="AL1758" s="2">
        <v>1302000</v>
      </c>
      <c r="AM1758" s="2">
        <v>0</v>
      </c>
      <c r="AN1758" s="2"/>
      <c r="AO1758" s="2">
        <v>0</v>
      </c>
      <c r="AP1758" s="2">
        <v>1302000</v>
      </c>
      <c r="AQ1758" s="2">
        <v>1301550</v>
      </c>
      <c r="AR1758" s="2">
        <v>0</v>
      </c>
      <c r="AS1758" s="2">
        <v>0</v>
      </c>
      <c r="AT1758" s="2">
        <v>0</v>
      </c>
      <c r="AU1758" s="2">
        <v>1301550</v>
      </c>
      <c r="AV1758" s="2">
        <v>0</v>
      </c>
      <c r="AW1758" s="4"/>
      <c r="AX1758" t="s">
        <v>75</v>
      </c>
      <c r="AZ1758" t="s">
        <v>4368</v>
      </c>
      <c r="BA1758" t="s">
        <v>67</v>
      </c>
      <c r="BB1758" t="s">
        <v>4369</v>
      </c>
      <c r="BC1758" t="s">
        <v>126</v>
      </c>
      <c r="BD1758" t="s">
        <v>79</v>
      </c>
      <c r="BE1758" t="s">
        <v>434</v>
      </c>
      <c r="BF1758" s="5">
        <v>46661</v>
      </c>
      <c r="BH1758">
        <v>1</v>
      </c>
      <c r="BI1758" s="6">
        <v>350000</v>
      </c>
      <c r="BJ1758" s="6">
        <v>0</v>
      </c>
      <c r="BK1758" s="6">
        <v>150000</v>
      </c>
      <c r="BL1758" s="6">
        <v>200000</v>
      </c>
      <c r="BM1758" s="2">
        <v>200000</v>
      </c>
      <c r="BN1758">
        <f>InvoiceTable[[#This Row],[Giảm giá]]*InvoiceTable[[#This Row],[Số lượng]]</f>
        <v>150000</v>
      </c>
    </row>
    <row r="1759" spans="1:66" x14ac:dyDescent="0.25">
      <c r="A1759" t="s">
        <v>65</v>
      </c>
      <c r="B1759" t="s">
        <v>4370</v>
      </c>
      <c r="F1759" s="2"/>
      <c r="G1759" s="3">
        <v>45997.681176469909</v>
      </c>
      <c r="H1759" s="3">
        <v>45997.681176585647</v>
      </c>
      <c r="I1759" s="4" t="s">
        <v>67</v>
      </c>
      <c r="J1759" t="s">
        <v>4371</v>
      </c>
      <c r="K1759" t="s">
        <v>67</v>
      </c>
      <c r="L1759" t="s">
        <v>3644</v>
      </c>
      <c r="M1759" t="s">
        <v>3645</v>
      </c>
      <c r="N1759" t="s">
        <v>3646</v>
      </c>
      <c r="O1759" t="s">
        <v>3647</v>
      </c>
      <c r="P1759" t="s">
        <v>3648</v>
      </c>
      <c r="S1759" s="5"/>
      <c r="T1759" t="s">
        <v>72</v>
      </c>
      <c r="U1759" t="s">
        <v>73</v>
      </c>
      <c r="V1759" t="s">
        <v>74</v>
      </c>
      <c r="W1759" t="s">
        <v>87</v>
      </c>
      <c r="AE1759" s="2"/>
      <c r="AF1759" s="2"/>
      <c r="AG1759" s="2"/>
      <c r="AH1759" s="2"/>
      <c r="AK1759" t="s">
        <v>4364</v>
      </c>
      <c r="AL1759" s="2">
        <v>1170000</v>
      </c>
      <c r="AM1759" s="2">
        <v>0</v>
      </c>
      <c r="AN1759" s="2"/>
      <c r="AO1759" s="2">
        <v>0</v>
      </c>
      <c r="AP1759" s="2">
        <v>1170000</v>
      </c>
      <c r="AQ1759" s="2">
        <v>1170000</v>
      </c>
      <c r="AR1759" s="2">
        <v>1170000</v>
      </c>
      <c r="AS1759" s="2">
        <v>0</v>
      </c>
      <c r="AT1759" s="2">
        <v>0</v>
      </c>
      <c r="AU1759" s="2">
        <v>0</v>
      </c>
      <c r="AV1759" s="2">
        <v>0</v>
      </c>
      <c r="AW1759" s="4"/>
      <c r="AX1759" t="s">
        <v>75</v>
      </c>
      <c r="AZ1759" t="s">
        <v>1539</v>
      </c>
      <c r="BA1759" t="s">
        <v>67</v>
      </c>
      <c r="BB1759" t="s">
        <v>1540</v>
      </c>
      <c r="BC1759" t="s">
        <v>485</v>
      </c>
      <c r="BD1759" t="s">
        <v>79</v>
      </c>
      <c r="BE1759" t="s">
        <v>145</v>
      </c>
      <c r="BF1759" s="5">
        <v>46508</v>
      </c>
      <c r="BH1759">
        <v>2</v>
      </c>
      <c r="BI1759" s="6">
        <v>600000</v>
      </c>
      <c r="BJ1759" s="6">
        <v>35</v>
      </c>
      <c r="BK1759" s="6">
        <v>210000</v>
      </c>
      <c r="BL1759" s="6">
        <v>390000</v>
      </c>
      <c r="BM1759" s="2">
        <v>780000</v>
      </c>
      <c r="BN1759">
        <f>InvoiceTable[[#This Row],[Giảm giá]]*InvoiceTable[[#This Row],[Số lượng]]</f>
        <v>420000</v>
      </c>
    </row>
    <row r="1760" spans="1:66" x14ac:dyDescent="0.25">
      <c r="A1760" t="s">
        <v>65</v>
      </c>
      <c r="B1760" t="s">
        <v>4370</v>
      </c>
      <c r="F1760" s="2"/>
      <c r="G1760" s="3">
        <v>45997.681176469909</v>
      </c>
      <c r="H1760" s="3">
        <v>45997.681176585647</v>
      </c>
      <c r="I1760" s="4" t="s">
        <v>67</v>
      </c>
      <c r="J1760" t="s">
        <v>4371</v>
      </c>
      <c r="K1760" t="s">
        <v>67</v>
      </c>
      <c r="L1760" t="s">
        <v>3644</v>
      </c>
      <c r="M1760" t="s">
        <v>3645</v>
      </c>
      <c r="N1760" t="s">
        <v>3646</v>
      </c>
      <c r="O1760" t="s">
        <v>3647</v>
      </c>
      <c r="P1760" t="s">
        <v>3648</v>
      </c>
      <c r="S1760" s="5"/>
      <c r="T1760" t="s">
        <v>72</v>
      </c>
      <c r="U1760" t="s">
        <v>73</v>
      </c>
      <c r="V1760" t="s">
        <v>74</v>
      </c>
      <c r="W1760" t="s">
        <v>87</v>
      </c>
      <c r="AE1760" s="2"/>
      <c r="AF1760" s="2"/>
      <c r="AG1760" s="2"/>
      <c r="AH1760" s="2"/>
      <c r="AK1760" t="s">
        <v>4364</v>
      </c>
      <c r="AL1760" s="2">
        <v>1170000</v>
      </c>
      <c r="AM1760" s="2">
        <v>0</v>
      </c>
      <c r="AN1760" s="2"/>
      <c r="AO1760" s="2">
        <v>0</v>
      </c>
      <c r="AP1760" s="2">
        <v>1170000</v>
      </c>
      <c r="AQ1760" s="2">
        <v>1170000</v>
      </c>
      <c r="AR1760" s="2">
        <v>1170000</v>
      </c>
      <c r="AS1760" s="2">
        <v>0</v>
      </c>
      <c r="AT1760" s="2">
        <v>0</v>
      </c>
      <c r="AU1760" s="2">
        <v>0</v>
      </c>
      <c r="AV1760" s="2">
        <v>0</v>
      </c>
      <c r="AW1760" s="4"/>
      <c r="AX1760" t="s">
        <v>75</v>
      </c>
      <c r="AZ1760" t="s">
        <v>486</v>
      </c>
      <c r="BA1760" t="s">
        <v>67</v>
      </c>
      <c r="BB1760" t="s">
        <v>487</v>
      </c>
      <c r="BC1760" t="s">
        <v>485</v>
      </c>
      <c r="BD1760" t="s">
        <v>79</v>
      </c>
      <c r="BE1760" t="s">
        <v>155</v>
      </c>
      <c r="BF1760" s="5">
        <v>46600</v>
      </c>
      <c r="BH1760">
        <v>1</v>
      </c>
      <c r="BI1760" s="6">
        <v>600000</v>
      </c>
      <c r="BJ1760" s="6">
        <v>35</v>
      </c>
      <c r="BK1760" s="6">
        <v>210000</v>
      </c>
      <c r="BL1760" s="6">
        <v>390000</v>
      </c>
      <c r="BM1760" s="2">
        <v>390000</v>
      </c>
      <c r="BN1760">
        <f>InvoiceTable[[#This Row],[Giảm giá]]*InvoiceTable[[#This Row],[Số lượng]]</f>
        <v>210000</v>
      </c>
    </row>
    <row r="1761" spans="1:66" x14ac:dyDescent="0.25">
      <c r="A1761" t="s">
        <v>65</v>
      </c>
      <c r="B1761" t="s">
        <v>4372</v>
      </c>
      <c r="F1761" s="2"/>
      <c r="G1761" s="3">
        <v>45997.677050428239</v>
      </c>
      <c r="H1761" s="3">
        <v>45997.677050497688</v>
      </c>
      <c r="I1761" s="4" t="s">
        <v>67</v>
      </c>
      <c r="J1761" t="s">
        <v>67</v>
      </c>
      <c r="K1761" t="s">
        <v>67</v>
      </c>
      <c r="L1761" t="s">
        <v>3845</v>
      </c>
      <c r="M1761" t="s">
        <v>3846</v>
      </c>
      <c r="N1761" t="s">
        <v>67</v>
      </c>
      <c r="O1761" t="s">
        <v>3847</v>
      </c>
      <c r="P1761" t="s">
        <v>3848</v>
      </c>
      <c r="S1761" s="5"/>
      <c r="T1761" t="s">
        <v>72</v>
      </c>
      <c r="U1761" t="s">
        <v>87</v>
      </c>
      <c r="V1761" t="s">
        <v>74</v>
      </c>
      <c r="W1761" t="s">
        <v>87</v>
      </c>
      <c r="AE1761" s="2"/>
      <c r="AF1761" s="2"/>
      <c r="AG1761" s="2"/>
      <c r="AH1761" s="2"/>
      <c r="AL1761" s="2">
        <v>3153000</v>
      </c>
      <c r="AM1761" s="2">
        <v>1418850</v>
      </c>
      <c r="AN1761" s="2"/>
      <c r="AO1761" s="2">
        <v>0</v>
      </c>
      <c r="AP1761" s="2">
        <v>1734150</v>
      </c>
      <c r="AQ1761" s="2">
        <v>0</v>
      </c>
      <c r="AR1761" s="2">
        <v>0</v>
      </c>
      <c r="AS1761" s="2">
        <v>0</v>
      </c>
      <c r="AT1761" s="2">
        <v>0</v>
      </c>
      <c r="AU1761" s="2">
        <v>0</v>
      </c>
      <c r="AV1761" s="2">
        <v>0</v>
      </c>
      <c r="AW1761" s="4"/>
      <c r="AX1761" t="s">
        <v>75</v>
      </c>
      <c r="AZ1761" t="s">
        <v>3537</v>
      </c>
      <c r="BA1761" t="s">
        <v>67</v>
      </c>
      <c r="BB1761" t="s">
        <v>3538</v>
      </c>
      <c r="BC1761" t="s">
        <v>770</v>
      </c>
      <c r="BD1761" t="s">
        <v>79</v>
      </c>
      <c r="BE1761" t="s">
        <v>198</v>
      </c>
      <c r="BF1761" s="5">
        <v>46753</v>
      </c>
      <c r="BH1761">
        <v>3</v>
      </c>
      <c r="BI1761" s="6">
        <v>785000</v>
      </c>
      <c r="BJ1761" s="6">
        <v>0</v>
      </c>
      <c r="BK1761" s="6">
        <v>0</v>
      </c>
      <c r="BL1761" s="6">
        <v>785000</v>
      </c>
      <c r="BM1761" s="2">
        <v>2355000</v>
      </c>
      <c r="BN1761">
        <f>InvoiceTable[[#This Row],[Giảm giá]]*InvoiceTable[[#This Row],[Số lượng]]</f>
        <v>0</v>
      </c>
    </row>
    <row r="1762" spans="1:66" x14ac:dyDescent="0.25">
      <c r="A1762" t="s">
        <v>65</v>
      </c>
      <c r="B1762" t="s">
        <v>4372</v>
      </c>
      <c r="F1762" s="2"/>
      <c r="G1762" s="3">
        <v>45997.677050428239</v>
      </c>
      <c r="H1762" s="3">
        <v>45997.677050497688</v>
      </c>
      <c r="I1762" s="4" t="s">
        <v>67</v>
      </c>
      <c r="J1762" t="s">
        <v>67</v>
      </c>
      <c r="K1762" t="s">
        <v>67</v>
      </c>
      <c r="L1762" t="s">
        <v>3845</v>
      </c>
      <c r="M1762" t="s">
        <v>3846</v>
      </c>
      <c r="N1762" t="s">
        <v>67</v>
      </c>
      <c r="O1762" t="s">
        <v>3847</v>
      </c>
      <c r="P1762" t="s">
        <v>3848</v>
      </c>
      <c r="S1762" s="5"/>
      <c r="T1762" t="s">
        <v>72</v>
      </c>
      <c r="U1762" t="s">
        <v>87</v>
      </c>
      <c r="V1762" t="s">
        <v>74</v>
      </c>
      <c r="W1762" t="s">
        <v>87</v>
      </c>
      <c r="AE1762" s="2"/>
      <c r="AF1762" s="2"/>
      <c r="AG1762" s="2"/>
      <c r="AH1762" s="2"/>
      <c r="AL1762" s="2">
        <v>3153000</v>
      </c>
      <c r="AM1762" s="2">
        <v>1418850</v>
      </c>
      <c r="AN1762" s="2"/>
      <c r="AO1762" s="2">
        <v>0</v>
      </c>
      <c r="AP1762" s="2">
        <v>1734150</v>
      </c>
      <c r="AQ1762" s="2">
        <v>0</v>
      </c>
      <c r="AR1762" s="2">
        <v>0</v>
      </c>
      <c r="AS1762" s="2">
        <v>0</v>
      </c>
      <c r="AT1762" s="2">
        <v>0</v>
      </c>
      <c r="AU1762" s="2">
        <v>0</v>
      </c>
      <c r="AV1762" s="2">
        <v>0</v>
      </c>
      <c r="AW1762" s="4"/>
      <c r="AX1762" t="s">
        <v>75</v>
      </c>
      <c r="AZ1762" t="s">
        <v>771</v>
      </c>
      <c r="BA1762" t="s">
        <v>67</v>
      </c>
      <c r="BB1762" t="s">
        <v>772</v>
      </c>
      <c r="BC1762" t="s">
        <v>770</v>
      </c>
      <c r="BD1762" t="s">
        <v>79</v>
      </c>
      <c r="BE1762" t="s">
        <v>201</v>
      </c>
      <c r="BF1762" s="5">
        <v>46966</v>
      </c>
      <c r="BH1762">
        <v>2</v>
      </c>
      <c r="BI1762" s="6">
        <v>399000</v>
      </c>
      <c r="BJ1762" s="6">
        <v>0</v>
      </c>
      <c r="BK1762" s="6">
        <v>0</v>
      </c>
      <c r="BL1762" s="6">
        <v>399000</v>
      </c>
      <c r="BM1762" s="2">
        <v>798000</v>
      </c>
      <c r="BN1762">
        <f>InvoiceTable[[#This Row],[Giảm giá]]*InvoiceTable[[#This Row],[Số lượng]]</f>
        <v>0</v>
      </c>
    </row>
    <row r="1763" spans="1:66" x14ac:dyDescent="0.25">
      <c r="A1763" t="s">
        <v>65</v>
      </c>
      <c r="B1763" t="s">
        <v>4373</v>
      </c>
      <c r="F1763" s="2"/>
      <c r="G1763" s="3">
        <v>45997.675577083333</v>
      </c>
      <c r="H1763" s="3">
        <v>45997.675577164351</v>
      </c>
      <c r="I1763" s="4" t="s">
        <v>67</v>
      </c>
      <c r="J1763" t="s">
        <v>67</v>
      </c>
      <c r="K1763" t="s">
        <v>67</v>
      </c>
      <c r="L1763" t="s">
        <v>3133</v>
      </c>
      <c r="M1763" t="s">
        <v>3134</v>
      </c>
      <c r="N1763" t="s">
        <v>67</v>
      </c>
      <c r="O1763" t="s">
        <v>3135</v>
      </c>
      <c r="P1763" t="s">
        <v>3136</v>
      </c>
      <c r="Q1763" t="s">
        <v>67</v>
      </c>
      <c r="R1763" t="s">
        <v>67</v>
      </c>
      <c r="S1763" s="5"/>
      <c r="T1763" t="s">
        <v>72</v>
      </c>
      <c r="U1763" t="s">
        <v>87</v>
      </c>
      <c r="V1763" t="s">
        <v>74</v>
      </c>
      <c r="W1763" t="s">
        <v>87</v>
      </c>
      <c r="AE1763" s="2"/>
      <c r="AF1763" s="2"/>
      <c r="AG1763" s="2"/>
      <c r="AH1763" s="2"/>
      <c r="AL1763" s="2">
        <v>33000</v>
      </c>
      <c r="AM1763" s="2">
        <v>0</v>
      </c>
      <c r="AN1763" s="2"/>
      <c r="AO1763" s="2">
        <v>0</v>
      </c>
      <c r="AP1763" s="2">
        <v>33000</v>
      </c>
      <c r="AQ1763" s="2">
        <v>33000</v>
      </c>
      <c r="AR1763" s="2">
        <v>0</v>
      </c>
      <c r="AS1763" s="2">
        <v>0</v>
      </c>
      <c r="AT1763" s="2">
        <v>0</v>
      </c>
      <c r="AU1763" s="2">
        <v>33000</v>
      </c>
      <c r="AV1763" s="2">
        <v>0</v>
      </c>
      <c r="AW1763" s="4"/>
      <c r="AX1763" t="s">
        <v>75</v>
      </c>
      <c r="AZ1763" t="s">
        <v>4350</v>
      </c>
      <c r="BA1763" t="s">
        <v>67</v>
      </c>
      <c r="BB1763" t="s">
        <v>4351</v>
      </c>
      <c r="BD1763" t="s">
        <v>79</v>
      </c>
      <c r="BE1763" t="s">
        <v>348</v>
      </c>
      <c r="BF1763" s="5">
        <v>47484</v>
      </c>
      <c r="BH1763">
        <v>1</v>
      </c>
      <c r="BI1763" s="6">
        <v>33000</v>
      </c>
      <c r="BJ1763" s="6">
        <v>0</v>
      </c>
      <c r="BK1763" s="6">
        <v>0</v>
      </c>
      <c r="BL1763" s="6">
        <v>33000</v>
      </c>
      <c r="BM1763" s="2">
        <v>33000</v>
      </c>
      <c r="BN1763">
        <f>InvoiceTable[[#This Row],[Giảm giá]]*InvoiceTable[[#This Row],[Số lượng]]</f>
        <v>0</v>
      </c>
    </row>
    <row r="1764" spans="1:66" x14ac:dyDescent="0.25">
      <c r="A1764" t="s">
        <v>65</v>
      </c>
      <c r="B1764" t="s">
        <v>4374</v>
      </c>
      <c r="F1764" s="2"/>
      <c r="G1764" s="3">
        <v>45997.675152002317</v>
      </c>
      <c r="H1764" s="3">
        <v>45997.675153587959</v>
      </c>
      <c r="I1764" s="4" t="s">
        <v>67</v>
      </c>
      <c r="J1764" t="s">
        <v>67</v>
      </c>
      <c r="K1764" t="s">
        <v>67</v>
      </c>
      <c r="L1764" t="s">
        <v>3133</v>
      </c>
      <c r="M1764" t="s">
        <v>3134</v>
      </c>
      <c r="N1764" t="s">
        <v>67</v>
      </c>
      <c r="O1764" t="s">
        <v>3135</v>
      </c>
      <c r="P1764" t="s">
        <v>3136</v>
      </c>
      <c r="Q1764" t="s">
        <v>67</v>
      </c>
      <c r="R1764" t="s">
        <v>67</v>
      </c>
      <c r="S1764" s="5"/>
      <c r="T1764" t="s">
        <v>72</v>
      </c>
      <c r="U1764" t="s">
        <v>87</v>
      </c>
      <c r="V1764" t="s">
        <v>74</v>
      </c>
      <c r="W1764" t="s">
        <v>87</v>
      </c>
      <c r="AE1764" s="2"/>
      <c r="AF1764" s="2"/>
      <c r="AG1764" s="2"/>
      <c r="AH1764" s="2"/>
      <c r="AL1764" s="2">
        <v>2900000</v>
      </c>
      <c r="AM1764" s="2">
        <v>1305000</v>
      </c>
      <c r="AN1764" s="2"/>
      <c r="AO1764" s="2">
        <v>0</v>
      </c>
      <c r="AP1764" s="2">
        <v>1595000</v>
      </c>
      <c r="AQ1764" s="2">
        <v>1595000</v>
      </c>
      <c r="AR1764" s="2">
        <v>0</v>
      </c>
      <c r="AS1764" s="2">
        <v>0</v>
      </c>
      <c r="AT1764" s="2">
        <v>0</v>
      </c>
      <c r="AU1764" s="2">
        <v>1595000</v>
      </c>
      <c r="AV1764" s="2">
        <v>0</v>
      </c>
      <c r="AW1764" s="4"/>
      <c r="AX1764" t="s">
        <v>75</v>
      </c>
      <c r="AZ1764" t="s">
        <v>3138</v>
      </c>
      <c r="BA1764" t="s">
        <v>67</v>
      </c>
      <c r="BB1764" t="s">
        <v>3139</v>
      </c>
      <c r="BC1764" t="s">
        <v>285</v>
      </c>
      <c r="BD1764" t="s">
        <v>79</v>
      </c>
      <c r="BE1764" t="s">
        <v>117</v>
      </c>
      <c r="BF1764" s="5">
        <v>46569</v>
      </c>
      <c r="BH1764">
        <v>2</v>
      </c>
      <c r="BI1764" s="6">
        <v>860000</v>
      </c>
      <c r="BJ1764" s="6">
        <v>0</v>
      </c>
      <c r="BK1764" s="6">
        <v>0</v>
      </c>
      <c r="BL1764" s="6">
        <v>860000</v>
      </c>
      <c r="BM1764" s="2">
        <v>1720000</v>
      </c>
      <c r="BN1764">
        <f>InvoiceTable[[#This Row],[Giảm giá]]*InvoiceTable[[#This Row],[Số lượng]]</f>
        <v>0</v>
      </c>
    </row>
    <row r="1765" spans="1:66" x14ac:dyDescent="0.25">
      <c r="A1765" t="s">
        <v>65</v>
      </c>
      <c r="B1765" t="s">
        <v>4374</v>
      </c>
      <c r="F1765" s="2"/>
      <c r="G1765" s="3">
        <v>45997.675152002317</v>
      </c>
      <c r="H1765" s="3">
        <v>45997.675153587959</v>
      </c>
      <c r="I1765" s="4" t="s">
        <v>67</v>
      </c>
      <c r="J1765" t="s">
        <v>67</v>
      </c>
      <c r="K1765" t="s">
        <v>67</v>
      </c>
      <c r="L1765" t="s">
        <v>3133</v>
      </c>
      <c r="M1765" t="s">
        <v>3134</v>
      </c>
      <c r="N1765" t="s">
        <v>67</v>
      </c>
      <c r="O1765" t="s">
        <v>3135</v>
      </c>
      <c r="P1765" t="s">
        <v>3136</v>
      </c>
      <c r="Q1765" t="s">
        <v>67</v>
      </c>
      <c r="R1765" t="s">
        <v>67</v>
      </c>
      <c r="S1765" s="5"/>
      <c r="T1765" t="s">
        <v>72</v>
      </c>
      <c r="U1765" t="s">
        <v>87</v>
      </c>
      <c r="V1765" t="s">
        <v>74</v>
      </c>
      <c r="W1765" t="s">
        <v>87</v>
      </c>
      <c r="AE1765" s="2"/>
      <c r="AF1765" s="2"/>
      <c r="AG1765" s="2"/>
      <c r="AH1765" s="2"/>
      <c r="AL1765" s="2">
        <v>2900000</v>
      </c>
      <c r="AM1765" s="2">
        <v>1305000</v>
      </c>
      <c r="AN1765" s="2"/>
      <c r="AO1765" s="2">
        <v>0</v>
      </c>
      <c r="AP1765" s="2">
        <v>1595000</v>
      </c>
      <c r="AQ1765" s="2">
        <v>1595000</v>
      </c>
      <c r="AR1765" s="2">
        <v>0</v>
      </c>
      <c r="AS1765" s="2">
        <v>0</v>
      </c>
      <c r="AT1765" s="2">
        <v>0</v>
      </c>
      <c r="AU1765" s="2">
        <v>1595000</v>
      </c>
      <c r="AV1765" s="2">
        <v>0</v>
      </c>
      <c r="AW1765" s="4"/>
      <c r="AX1765" t="s">
        <v>75</v>
      </c>
      <c r="AZ1765" t="s">
        <v>667</v>
      </c>
      <c r="BA1765" t="s">
        <v>67</v>
      </c>
      <c r="BB1765" t="s">
        <v>668</v>
      </c>
      <c r="BC1765" t="s">
        <v>285</v>
      </c>
      <c r="BD1765" t="s">
        <v>79</v>
      </c>
      <c r="BE1765" t="s">
        <v>117</v>
      </c>
      <c r="BF1765" s="5">
        <v>46569</v>
      </c>
      <c r="BH1765">
        <v>1</v>
      </c>
      <c r="BI1765" s="6">
        <v>1180000</v>
      </c>
      <c r="BJ1765" s="6">
        <v>0</v>
      </c>
      <c r="BK1765" s="6">
        <v>0</v>
      </c>
      <c r="BL1765" s="6">
        <v>1180000</v>
      </c>
      <c r="BM1765" s="2">
        <v>1180000</v>
      </c>
      <c r="BN1765">
        <f>InvoiceTable[[#This Row],[Giảm giá]]*InvoiceTable[[#This Row],[Số lượng]]</f>
        <v>0</v>
      </c>
    </row>
    <row r="1766" spans="1:66" x14ac:dyDescent="0.25">
      <c r="A1766" t="s">
        <v>65</v>
      </c>
      <c r="B1766" t="s">
        <v>4375</v>
      </c>
      <c r="F1766" s="2"/>
      <c r="G1766" s="3">
        <v>45997.613427233795</v>
      </c>
      <c r="H1766" s="3">
        <v>45997.613427511576</v>
      </c>
      <c r="I1766" s="4" t="s">
        <v>67</v>
      </c>
      <c r="J1766" t="s">
        <v>67</v>
      </c>
      <c r="K1766" t="s">
        <v>67</v>
      </c>
      <c r="L1766" t="s">
        <v>3133</v>
      </c>
      <c r="M1766" t="s">
        <v>3134</v>
      </c>
      <c r="N1766" t="s">
        <v>67</v>
      </c>
      <c r="O1766" t="s">
        <v>3135</v>
      </c>
      <c r="P1766" t="s">
        <v>3136</v>
      </c>
      <c r="Q1766" t="s">
        <v>67</v>
      </c>
      <c r="R1766" t="s">
        <v>67</v>
      </c>
      <c r="S1766" s="5"/>
      <c r="T1766" t="s">
        <v>72</v>
      </c>
      <c r="U1766" t="s">
        <v>87</v>
      </c>
      <c r="V1766" t="s">
        <v>74</v>
      </c>
      <c r="W1766" t="s">
        <v>87</v>
      </c>
      <c r="AE1766" s="2"/>
      <c r="AF1766" s="2"/>
      <c r="AG1766" s="2"/>
      <c r="AH1766" s="2"/>
      <c r="AL1766" s="2">
        <v>650000</v>
      </c>
      <c r="AM1766" s="2">
        <v>0</v>
      </c>
      <c r="AN1766" s="2"/>
      <c r="AO1766" s="2">
        <v>0</v>
      </c>
      <c r="AP1766" s="2">
        <v>650000</v>
      </c>
      <c r="AQ1766" s="2">
        <v>650000</v>
      </c>
      <c r="AR1766" s="2">
        <v>0</v>
      </c>
      <c r="AS1766" s="2">
        <v>0</v>
      </c>
      <c r="AT1766" s="2">
        <v>0</v>
      </c>
      <c r="AU1766" s="2">
        <v>650000</v>
      </c>
      <c r="AV1766" s="2">
        <v>0</v>
      </c>
      <c r="AW1766" s="4"/>
      <c r="AX1766" t="s">
        <v>75</v>
      </c>
      <c r="AZ1766" t="s">
        <v>124</v>
      </c>
      <c r="BA1766" t="s">
        <v>67</v>
      </c>
      <c r="BB1766" t="s">
        <v>125</v>
      </c>
      <c r="BC1766" t="s">
        <v>126</v>
      </c>
      <c r="BD1766" t="s">
        <v>79</v>
      </c>
      <c r="BE1766" t="s">
        <v>3255</v>
      </c>
      <c r="BF1766" s="5">
        <v>46722</v>
      </c>
      <c r="BH1766">
        <v>1</v>
      </c>
      <c r="BI1766" s="6">
        <v>1200000</v>
      </c>
      <c r="BJ1766" s="6">
        <v>0</v>
      </c>
      <c r="BK1766" s="6">
        <v>550000</v>
      </c>
      <c r="BL1766" s="6">
        <v>650000</v>
      </c>
      <c r="BM1766" s="2">
        <v>650000</v>
      </c>
      <c r="BN1766">
        <f>InvoiceTable[[#This Row],[Giảm giá]]*InvoiceTable[[#This Row],[Số lượng]]</f>
        <v>550000</v>
      </c>
    </row>
    <row r="1767" spans="1:66" x14ac:dyDescent="0.25">
      <c r="A1767" t="s">
        <v>65</v>
      </c>
      <c r="B1767" t="s">
        <v>4376</v>
      </c>
      <c r="F1767" s="2"/>
      <c r="G1767" s="3">
        <v>45997.607028703707</v>
      </c>
      <c r="H1767" s="3">
        <v>45997.607028854167</v>
      </c>
      <c r="I1767" s="4" t="s">
        <v>67</v>
      </c>
      <c r="J1767" t="s">
        <v>67</v>
      </c>
      <c r="K1767" t="s">
        <v>67</v>
      </c>
      <c r="L1767" t="s">
        <v>303</v>
      </c>
      <c r="M1767" t="s">
        <v>304</v>
      </c>
      <c r="N1767" t="s">
        <v>67</v>
      </c>
      <c r="O1767" t="s">
        <v>305</v>
      </c>
      <c r="P1767" t="s">
        <v>306</v>
      </c>
      <c r="Q1767" t="s">
        <v>67</v>
      </c>
      <c r="R1767" t="s">
        <v>67</v>
      </c>
      <c r="S1767" s="5"/>
      <c r="T1767" t="s">
        <v>72</v>
      </c>
      <c r="U1767" t="s">
        <v>87</v>
      </c>
      <c r="V1767" t="s">
        <v>74</v>
      </c>
      <c r="W1767" t="s">
        <v>87</v>
      </c>
      <c r="AE1767" s="2"/>
      <c r="AF1767" s="2"/>
      <c r="AG1767" s="2"/>
      <c r="AH1767" s="2"/>
      <c r="AL1767" s="2">
        <v>116400000</v>
      </c>
      <c r="AM1767" s="2">
        <v>0</v>
      </c>
      <c r="AN1767" s="2"/>
      <c r="AO1767" s="2">
        <v>0</v>
      </c>
      <c r="AP1767" s="2">
        <v>116400000</v>
      </c>
      <c r="AQ1767" s="2">
        <v>116400000</v>
      </c>
      <c r="AR1767" s="2">
        <v>0</v>
      </c>
      <c r="AS1767" s="2">
        <v>0</v>
      </c>
      <c r="AT1767" s="2">
        <v>0</v>
      </c>
      <c r="AU1767" s="2">
        <v>116400000</v>
      </c>
      <c r="AV1767" s="2">
        <v>0</v>
      </c>
      <c r="AW1767" s="4"/>
      <c r="AX1767" t="s">
        <v>75</v>
      </c>
      <c r="AZ1767" t="s">
        <v>103</v>
      </c>
      <c r="BB1767" t="s">
        <v>104</v>
      </c>
      <c r="BC1767" t="s">
        <v>105</v>
      </c>
      <c r="BD1767" t="s">
        <v>79</v>
      </c>
      <c r="BE1767" t="s">
        <v>106</v>
      </c>
      <c r="BF1767" s="5">
        <v>46327</v>
      </c>
      <c r="BH1767">
        <v>30</v>
      </c>
      <c r="BI1767" s="6">
        <v>6930000</v>
      </c>
      <c r="BJ1767" s="6">
        <v>0</v>
      </c>
      <c r="BK1767" s="6">
        <v>3050000</v>
      </c>
      <c r="BL1767" s="6">
        <v>3880000</v>
      </c>
      <c r="BM1767" s="2">
        <v>116400000</v>
      </c>
      <c r="BN1767">
        <f>InvoiceTable[[#This Row],[Giảm giá]]*InvoiceTable[[#This Row],[Số lượng]]</f>
        <v>91500000</v>
      </c>
    </row>
    <row r="1768" spans="1:66" x14ac:dyDescent="0.25">
      <c r="A1768" t="s">
        <v>65</v>
      </c>
      <c r="B1768" t="s">
        <v>4377</v>
      </c>
      <c r="F1768" s="2"/>
      <c r="G1768" s="3">
        <v>45997.605553622685</v>
      </c>
      <c r="H1768" s="3">
        <v>45997.605553784721</v>
      </c>
      <c r="I1768" s="4" t="s">
        <v>67</v>
      </c>
      <c r="J1768" t="s">
        <v>4378</v>
      </c>
      <c r="K1768" t="s">
        <v>67</v>
      </c>
      <c r="L1768" t="s">
        <v>4379</v>
      </c>
      <c r="M1768" t="s">
        <v>4380</v>
      </c>
      <c r="N1768" t="s">
        <v>67</v>
      </c>
      <c r="O1768" t="s">
        <v>4381</v>
      </c>
      <c r="P1768" t="s">
        <v>4382</v>
      </c>
      <c r="Q1768" t="s">
        <v>67</v>
      </c>
      <c r="R1768" t="s">
        <v>67</v>
      </c>
      <c r="S1768" s="5"/>
      <c r="T1768" t="s">
        <v>72</v>
      </c>
      <c r="U1768" t="s">
        <v>73</v>
      </c>
      <c r="V1768" t="s">
        <v>74</v>
      </c>
      <c r="W1768" t="s">
        <v>87</v>
      </c>
      <c r="AE1768" s="2"/>
      <c r="AF1768" s="2"/>
      <c r="AG1768" s="2"/>
      <c r="AH1768" s="2"/>
      <c r="AK1768" t="s">
        <v>613</v>
      </c>
      <c r="AL1768" s="2">
        <v>2050000</v>
      </c>
      <c r="AM1768" s="2">
        <v>0</v>
      </c>
      <c r="AN1768" s="2"/>
      <c r="AO1768" s="2">
        <v>0</v>
      </c>
      <c r="AP1768" s="2">
        <v>2050000</v>
      </c>
      <c r="AQ1768" s="2">
        <v>2050000</v>
      </c>
      <c r="AR1768" s="2">
        <v>2050000</v>
      </c>
      <c r="AS1768" s="2">
        <v>0</v>
      </c>
      <c r="AT1768" s="2">
        <v>0</v>
      </c>
      <c r="AU1768" s="2">
        <v>0</v>
      </c>
      <c r="AV1768" s="2">
        <v>0</v>
      </c>
      <c r="AW1768" s="4"/>
      <c r="AX1768" t="s">
        <v>75</v>
      </c>
      <c r="AZ1768" t="s">
        <v>581</v>
      </c>
      <c r="BA1768" t="s">
        <v>67</v>
      </c>
      <c r="BB1768" t="s">
        <v>582</v>
      </c>
      <c r="BC1768" t="s">
        <v>583</v>
      </c>
      <c r="BD1768" t="s">
        <v>79</v>
      </c>
      <c r="BE1768" t="s">
        <v>155</v>
      </c>
      <c r="BF1768" s="5">
        <v>46600</v>
      </c>
      <c r="BG1768" t="s">
        <v>67</v>
      </c>
      <c r="BH1768">
        <v>1</v>
      </c>
      <c r="BI1768" s="6">
        <v>2600000</v>
      </c>
      <c r="BJ1768" s="6">
        <v>0</v>
      </c>
      <c r="BK1768" s="6">
        <v>550000</v>
      </c>
      <c r="BL1768" s="6">
        <v>2050000</v>
      </c>
      <c r="BM1768" s="2">
        <v>2050000</v>
      </c>
      <c r="BN1768">
        <f>InvoiceTable[[#This Row],[Giảm giá]]*InvoiceTable[[#This Row],[Số lượng]]</f>
        <v>550000</v>
      </c>
    </row>
    <row r="1769" spans="1:66" x14ac:dyDescent="0.25">
      <c r="A1769" t="s">
        <v>65</v>
      </c>
      <c r="B1769" t="s">
        <v>4383</v>
      </c>
      <c r="F1769" s="2"/>
      <c r="G1769" s="3">
        <v>45997.605378506945</v>
      </c>
      <c r="H1769" s="3">
        <v>45997.605378935186</v>
      </c>
      <c r="I1769" s="4" t="s">
        <v>67</v>
      </c>
      <c r="J1769" t="s">
        <v>4384</v>
      </c>
      <c r="K1769" t="s">
        <v>67</v>
      </c>
      <c r="L1769" t="s">
        <v>2262</v>
      </c>
      <c r="M1769" t="s">
        <v>2263</v>
      </c>
      <c r="N1769" t="s">
        <v>2264</v>
      </c>
      <c r="O1769" t="s">
        <v>2265</v>
      </c>
      <c r="P1769" t="s">
        <v>2266</v>
      </c>
      <c r="S1769" s="5"/>
      <c r="T1769" t="s">
        <v>72</v>
      </c>
      <c r="U1769" t="s">
        <v>73</v>
      </c>
      <c r="V1769" t="s">
        <v>74</v>
      </c>
      <c r="W1769" t="s">
        <v>87</v>
      </c>
      <c r="AE1769" s="2"/>
      <c r="AF1769" s="2"/>
      <c r="AG1769" s="2"/>
      <c r="AH1769" s="2"/>
      <c r="AK1769" t="s">
        <v>258</v>
      </c>
      <c r="AL1769" s="2">
        <v>1650000</v>
      </c>
      <c r="AM1769" s="2">
        <v>0</v>
      </c>
      <c r="AN1769" s="2"/>
      <c r="AO1769" s="2">
        <v>0</v>
      </c>
      <c r="AP1769" s="2">
        <v>1650000</v>
      </c>
      <c r="AQ1769" s="2">
        <v>1650000</v>
      </c>
      <c r="AR1769" s="2">
        <v>1650000</v>
      </c>
      <c r="AS1769" s="2">
        <v>0</v>
      </c>
      <c r="AT1769" s="2">
        <v>0</v>
      </c>
      <c r="AU1769" s="2">
        <v>0</v>
      </c>
      <c r="AV1769" s="2">
        <v>0</v>
      </c>
      <c r="AW1769" s="4"/>
      <c r="AX1769" t="s">
        <v>75</v>
      </c>
      <c r="AZ1769" t="s">
        <v>604</v>
      </c>
      <c r="BA1769" t="s">
        <v>67</v>
      </c>
      <c r="BB1769" t="s">
        <v>605</v>
      </c>
      <c r="BC1769" t="s">
        <v>606</v>
      </c>
      <c r="BD1769" t="s">
        <v>79</v>
      </c>
      <c r="BE1769" t="s">
        <v>168</v>
      </c>
      <c r="BF1769" s="5">
        <v>46388</v>
      </c>
      <c r="BH1769">
        <v>3</v>
      </c>
      <c r="BI1769" s="6">
        <v>1100000</v>
      </c>
      <c r="BJ1769" s="6">
        <v>50</v>
      </c>
      <c r="BK1769" s="6">
        <v>550000</v>
      </c>
      <c r="BL1769" s="6">
        <v>550000</v>
      </c>
      <c r="BM1769" s="2">
        <v>1650000</v>
      </c>
      <c r="BN1769">
        <f>InvoiceTable[[#This Row],[Giảm giá]]*InvoiceTable[[#This Row],[Số lượng]]</f>
        <v>1650000</v>
      </c>
    </row>
    <row r="1770" spans="1:66" x14ac:dyDescent="0.25">
      <c r="A1770" t="s">
        <v>65</v>
      </c>
      <c r="B1770" t="s">
        <v>4385</v>
      </c>
      <c r="F1770" s="2"/>
      <c r="G1770" s="3">
        <v>45997.602699803239</v>
      </c>
      <c r="H1770" s="3">
        <v>45997.622176157405</v>
      </c>
      <c r="I1770" s="4" t="s">
        <v>67</v>
      </c>
      <c r="J1770" t="s">
        <v>67</v>
      </c>
      <c r="K1770" t="s">
        <v>67</v>
      </c>
      <c r="L1770" t="s">
        <v>1203</v>
      </c>
      <c r="M1770" t="s">
        <v>1204</v>
      </c>
      <c r="N1770" t="s">
        <v>1205</v>
      </c>
      <c r="O1770" t="s">
        <v>1206</v>
      </c>
      <c r="P1770" t="s">
        <v>1207</v>
      </c>
      <c r="S1770" s="5"/>
      <c r="T1770" t="s">
        <v>72</v>
      </c>
      <c r="U1770" t="s">
        <v>87</v>
      </c>
      <c r="V1770" t="s">
        <v>74</v>
      </c>
      <c r="W1770" t="s">
        <v>87</v>
      </c>
      <c r="AE1770" s="2"/>
      <c r="AF1770" s="2"/>
      <c r="AG1770" s="2"/>
      <c r="AH1770" s="2"/>
      <c r="AK1770" t="s">
        <v>4386</v>
      </c>
      <c r="AL1770" s="2">
        <v>1408601</v>
      </c>
      <c r="AM1770" s="2">
        <v>0</v>
      </c>
      <c r="AN1770" s="2"/>
      <c r="AO1770" s="2">
        <v>0</v>
      </c>
      <c r="AP1770" s="2">
        <v>1408601</v>
      </c>
      <c r="AQ1770" s="2">
        <v>1408601</v>
      </c>
      <c r="AR1770" s="2">
        <v>0</v>
      </c>
      <c r="AS1770" s="2">
        <v>0</v>
      </c>
      <c r="AT1770" s="2">
        <v>0</v>
      </c>
      <c r="AU1770" s="2">
        <v>1408601</v>
      </c>
      <c r="AV1770" s="2">
        <v>0</v>
      </c>
      <c r="AW1770" s="4"/>
      <c r="AX1770" t="s">
        <v>75</v>
      </c>
      <c r="AZ1770" t="s">
        <v>1284</v>
      </c>
      <c r="BA1770" t="s">
        <v>67</v>
      </c>
      <c r="BB1770" t="s">
        <v>1285</v>
      </c>
      <c r="BC1770" t="s">
        <v>1219</v>
      </c>
      <c r="BD1770" t="s">
        <v>79</v>
      </c>
      <c r="BE1770" t="s">
        <v>317</v>
      </c>
      <c r="BF1770" s="5">
        <v>46935</v>
      </c>
      <c r="BH1770">
        <v>1</v>
      </c>
      <c r="BI1770" s="6">
        <v>480000</v>
      </c>
      <c r="BJ1770" s="6">
        <v>42</v>
      </c>
      <c r="BK1770" s="6">
        <v>201600</v>
      </c>
      <c r="BL1770" s="6">
        <v>278400</v>
      </c>
      <c r="BM1770" s="2">
        <v>278400</v>
      </c>
      <c r="BN1770">
        <f>InvoiceTable[[#This Row],[Giảm giá]]*InvoiceTable[[#This Row],[Số lượng]]</f>
        <v>201600</v>
      </c>
    </row>
    <row r="1771" spans="1:66" x14ac:dyDescent="0.25">
      <c r="A1771" t="s">
        <v>65</v>
      </c>
      <c r="B1771" t="s">
        <v>4385</v>
      </c>
      <c r="F1771" s="2"/>
      <c r="G1771" s="3">
        <v>45997.602699803239</v>
      </c>
      <c r="H1771" s="3">
        <v>45997.622176157405</v>
      </c>
      <c r="I1771" s="4" t="s">
        <v>67</v>
      </c>
      <c r="J1771" t="s">
        <v>67</v>
      </c>
      <c r="K1771" t="s">
        <v>67</v>
      </c>
      <c r="L1771" t="s">
        <v>1203</v>
      </c>
      <c r="M1771" t="s">
        <v>1204</v>
      </c>
      <c r="N1771" t="s">
        <v>1205</v>
      </c>
      <c r="O1771" t="s">
        <v>1206</v>
      </c>
      <c r="P1771" t="s">
        <v>1207</v>
      </c>
      <c r="S1771" s="5"/>
      <c r="T1771" t="s">
        <v>72</v>
      </c>
      <c r="U1771" t="s">
        <v>87</v>
      </c>
      <c r="V1771" t="s">
        <v>74</v>
      </c>
      <c r="W1771" t="s">
        <v>87</v>
      </c>
      <c r="AE1771" s="2"/>
      <c r="AF1771" s="2"/>
      <c r="AG1771" s="2"/>
      <c r="AH1771" s="2"/>
      <c r="AK1771" t="s">
        <v>4386</v>
      </c>
      <c r="AL1771" s="2">
        <v>1408601</v>
      </c>
      <c r="AM1771" s="2">
        <v>0</v>
      </c>
      <c r="AN1771" s="2"/>
      <c r="AO1771" s="2">
        <v>0</v>
      </c>
      <c r="AP1771" s="2">
        <v>1408601</v>
      </c>
      <c r="AQ1771" s="2">
        <v>1408601</v>
      </c>
      <c r="AR1771" s="2">
        <v>0</v>
      </c>
      <c r="AS1771" s="2">
        <v>0</v>
      </c>
      <c r="AT1771" s="2">
        <v>0</v>
      </c>
      <c r="AU1771" s="2">
        <v>1408601</v>
      </c>
      <c r="AV1771" s="2">
        <v>0</v>
      </c>
      <c r="AW1771" s="4"/>
      <c r="AX1771" t="s">
        <v>75</v>
      </c>
      <c r="AZ1771" t="s">
        <v>1297</v>
      </c>
      <c r="BA1771" t="s">
        <v>67</v>
      </c>
      <c r="BB1771" t="s">
        <v>1298</v>
      </c>
      <c r="BC1771" t="s">
        <v>1299</v>
      </c>
      <c r="BD1771" t="s">
        <v>79</v>
      </c>
      <c r="BE1771" t="s">
        <v>159</v>
      </c>
      <c r="BF1771" s="5">
        <v>46478</v>
      </c>
      <c r="BH1771">
        <v>2</v>
      </c>
      <c r="BI1771" s="6">
        <v>270000</v>
      </c>
      <c r="BJ1771" s="6">
        <v>0</v>
      </c>
      <c r="BK1771" s="6">
        <v>165000</v>
      </c>
      <c r="BL1771" s="6">
        <v>105000</v>
      </c>
      <c r="BM1771" s="2">
        <v>210000</v>
      </c>
      <c r="BN1771">
        <f>InvoiceTable[[#This Row],[Giảm giá]]*InvoiceTable[[#This Row],[Số lượng]]</f>
        <v>330000</v>
      </c>
    </row>
    <row r="1772" spans="1:66" x14ac:dyDescent="0.25">
      <c r="A1772" t="s">
        <v>65</v>
      </c>
      <c r="B1772" t="s">
        <v>4385</v>
      </c>
      <c r="F1772" s="2"/>
      <c r="G1772" s="3">
        <v>45997.602699803239</v>
      </c>
      <c r="H1772" s="3">
        <v>45997.622176157405</v>
      </c>
      <c r="I1772" s="4" t="s">
        <v>67</v>
      </c>
      <c r="J1772" t="s">
        <v>67</v>
      </c>
      <c r="K1772" t="s">
        <v>67</v>
      </c>
      <c r="L1772" t="s">
        <v>1203</v>
      </c>
      <c r="M1772" t="s">
        <v>1204</v>
      </c>
      <c r="N1772" t="s">
        <v>1205</v>
      </c>
      <c r="O1772" t="s">
        <v>1206</v>
      </c>
      <c r="P1772" t="s">
        <v>1207</v>
      </c>
      <c r="S1772" s="5"/>
      <c r="T1772" t="s">
        <v>72</v>
      </c>
      <c r="U1772" t="s">
        <v>87</v>
      </c>
      <c r="V1772" t="s">
        <v>74</v>
      </c>
      <c r="W1772" t="s">
        <v>87</v>
      </c>
      <c r="AE1772" s="2"/>
      <c r="AF1772" s="2"/>
      <c r="AG1772" s="2"/>
      <c r="AH1772" s="2"/>
      <c r="AK1772" t="s">
        <v>4386</v>
      </c>
      <c r="AL1772" s="2">
        <v>1408601</v>
      </c>
      <c r="AM1772" s="2">
        <v>0</v>
      </c>
      <c r="AN1772" s="2"/>
      <c r="AO1772" s="2">
        <v>0</v>
      </c>
      <c r="AP1772" s="2">
        <v>1408601</v>
      </c>
      <c r="AQ1772" s="2">
        <v>1408601</v>
      </c>
      <c r="AR1772" s="2">
        <v>0</v>
      </c>
      <c r="AS1772" s="2">
        <v>0</v>
      </c>
      <c r="AT1772" s="2">
        <v>0</v>
      </c>
      <c r="AU1772" s="2">
        <v>1408601</v>
      </c>
      <c r="AV1772" s="2">
        <v>0</v>
      </c>
      <c r="AW1772" s="4"/>
      <c r="AX1772" t="s">
        <v>75</v>
      </c>
      <c r="AZ1772" t="s">
        <v>2193</v>
      </c>
      <c r="BA1772" t="s">
        <v>67</v>
      </c>
      <c r="BB1772" t="s">
        <v>2194</v>
      </c>
      <c r="BC1772" t="s">
        <v>191</v>
      </c>
      <c r="BD1772" t="s">
        <v>79</v>
      </c>
      <c r="BE1772" t="s">
        <v>823</v>
      </c>
      <c r="BF1772" s="5">
        <v>47574</v>
      </c>
      <c r="BH1772">
        <v>2</v>
      </c>
      <c r="BI1772" s="6">
        <v>584182</v>
      </c>
      <c r="BJ1772" s="6">
        <v>42</v>
      </c>
      <c r="BK1772" s="6">
        <v>245356.44</v>
      </c>
      <c r="BL1772" s="6">
        <v>338825.56</v>
      </c>
      <c r="BM1772" s="2">
        <v>677651</v>
      </c>
      <c r="BN1772">
        <f>InvoiceTable[[#This Row],[Giảm giá]]*InvoiceTable[[#This Row],[Số lượng]]</f>
        <v>490712.88</v>
      </c>
    </row>
    <row r="1773" spans="1:66" x14ac:dyDescent="0.25">
      <c r="A1773" t="s">
        <v>65</v>
      </c>
      <c r="B1773" t="s">
        <v>4385</v>
      </c>
      <c r="F1773" s="2"/>
      <c r="G1773" s="3">
        <v>45997.602699803239</v>
      </c>
      <c r="H1773" s="3">
        <v>45997.622176157405</v>
      </c>
      <c r="I1773" s="4" t="s">
        <v>67</v>
      </c>
      <c r="J1773" t="s">
        <v>67</v>
      </c>
      <c r="K1773" t="s">
        <v>67</v>
      </c>
      <c r="L1773" t="s">
        <v>1203</v>
      </c>
      <c r="M1773" t="s">
        <v>1204</v>
      </c>
      <c r="N1773" t="s">
        <v>1205</v>
      </c>
      <c r="O1773" t="s">
        <v>1206</v>
      </c>
      <c r="P1773" t="s">
        <v>1207</v>
      </c>
      <c r="S1773" s="5"/>
      <c r="T1773" t="s">
        <v>72</v>
      </c>
      <c r="U1773" t="s">
        <v>87</v>
      </c>
      <c r="V1773" t="s">
        <v>74</v>
      </c>
      <c r="W1773" t="s">
        <v>87</v>
      </c>
      <c r="AE1773" s="2"/>
      <c r="AF1773" s="2"/>
      <c r="AG1773" s="2"/>
      <c r="AH1773" s="2"/>
      <c r="AK1773" t="s">
        <v>4386</v>
      </c>
      <c r="AL1773" s="2">
        <v>1408601</v>
      </c>
      <c r="AM1773" s="2">
        <v>0</v>
      </c>
      <c r="AN1773" s="2"/>
      <c r="AO1773" s="2">
        <v>0</v>
      </c>
      <c r="AP1773" s="2">
        <v>1408601</v>
      </c>
      <c r="AQ1773" s="2">
        <v>1408601</v>
      </c>
      <c r="AR1773" s="2">
        <v>0</v>
      </c>
      <c r="AS1773" s="2">
        <v>0</v>
      </c>
      <c r="AT1773" s="2">
        <v>0</v>
      </c>
      <c r="AU1773" s="2">
        <v>1408601</v>
      </c>
      <c r="AV1773" s="2">
        <v>0</v>
      </c>
      <c r="AW1773" s="4"/>
      <c r="AX1773" t="s">
        <v>75</v>
      </c>
      <c r="AZ1773" t="s">
        <v>2818</v>
      </c>
      <c r="BA1773" t="s">
        <v>67</v>
      </c>
      <c r="BB1773" t="s">
        <v>2819</v>
      </c>
      <c r="BC1773" t="s">
        <v>204</v>
      </c>
      <c r="BD1773" t="s">
        <v>79</v>
      </c>
      <c r="BE1773" t="s">
        <v>205</v>
      </c>
      <c r="BF1773" s="5">
        <v>47453</v>
      </c>
      <c r="BH1773">
        <v>1</v>
      </c>
      <c r="BI1773" s="6">
        <v>385000</v>
      </c>
      <c r="BJ1773" s="6">
        <v>37</v>
      </c>
      <c r="BK1773" s="6">
        <v>142450</v>
      </c>
      <c r="BL1773" s="6">
        <v>242550</v>
      </c>
      <c r="BM1773" s="2">
        <v>242550</v>
      </c>
      <c r="BN1773">
        <f>InvoiceTable[[#This Row],[Giảm giá]]*InvoiceTable[[#This Row],[Số lượng]]</f>
        <v>142450</v>
      </c>
    </row>
    <row r="1774" spans="1:66" x14ac:dyDescent="0.25">
      <c r="A1774" t="s">
        <v>65</v>
      </c>
      <c r="B1774" t="s">
        <v>4387</v>
      </c>
      <c r="F1774" s="2"/>
      <c r="G1774" s="3">
        <v>45997.599808946761</v>
      </c>
      <c r="H1774" s="3">
        <v>45997.599658645835</v>
      </c>
      <c r="I1774" s="4" t="s">
        <v>1465</v>
      </c>
      <c r="J1774" t="s">
        <v>67</v>
      </c>
      <c r="K1774" t="s">
        <v>67</v>
      </c>
      <c r="L1774" t="s">
        <v>2108</v>
      </c>
      <c r="M1774" t="s">
        <v>2109</v>
      </c>
      <c r="N1774" t="s">
        <v>2110</v>
      </c>
      <c r="O1774" t="s">
        <v>2111</v>
      </c>
      <c r="S1774" s="5"/>
      <c r="T1774" t="s">
        <v>72</v>
      </c>
      <c r="U1774" t="s">
        <v>87</v>
      </c>
      <c r="V1774" t="s">
        <v>74</v>
      </c>
      <c r="W1774" t="s">
        <v>87</v>
      </c>
      <c r="AE1774" s="2"/>
      <c r="AF1774" s="2"/>
      <c r="AG1774" s="2"/>
      <c r="AH1774" s="2"/>
      <c r="AL1774" s="2">
        <v>1842150</v>
      </c>
      <c r="AM1774" s="2">
        <v>0</v>
      </c>
      <c r="AN1774" s="2"/>
      <c r="AO1774" s="2">
        <v>0</v>
      </c>
      <c r="AP1774" s="2">
        <v>1842150</v>
      </c>
      <c r="AQ1774" s="2">
        <v>0</v>
      </c>
      <c r="AR1774" s="2">
        <v>0</v>
      </c>
      <c r="AS1774" s="2">
        <v>0</v>
      </c>
      <c r="AT1774" s="2">
        <v>0</v>
      </c>
      <c r="AU1774" s="2">
        <v>0</v>
      </c>
      <c r="AV1774" s="2">
        <v>0</v>
      </c>
      <c r="AW1774" s="4"/>
      <c r="AX1774" t="s">
        <v>75</v>
      </c>
      <c r="AZ1774" t="s">
        <v>4350</v>
      </c>
      <c r="BA1774" t="s">
        <v>67</v>
      </c>
      <c r="BB1774" t="s">
        <v>4351</v>
      </c>
      <c r="BD1774" t="s">
        <v>79</v>
      </c>
      <c r="BE1774" t="s">
        <v>348</v>
      </c>
      <c r="BF1774" s="5">
        <v>47484</v>
      </c>
      <c r="BH1774">
        <v>1</v>
      </c>
      <c r="BI1774" s="6">
        <v>29000</v>
      </c>
      <c r="BJ1774" s="6">
        <v>0</v>
      </c>
      <c r="BK1774" s="6">
        <v>0</v>
      </c>
      <c r="BL1774" s="6">
        <v>29000</v>
      </c>
      <c r="BM1774" s="2">
        <v>29000</v>
      </c>
      <c r="BN1774">
        <f>InvoiceTable[[#This Row],[Giảm giá]]*InvoiceTable[[#This Row],[Số lượng]]</f>
        <v>0</v>
      </c>
    </row>
    <row r="1775" spans="1:66" x14ac:dyDescent="0.25">
      <c r="A1775" t="s">
        <v>65</v>
      </c>
      <c r="B1775" t="s">
        <v>4387</v>
      </c>
      <c r="F1775" s="2"/>
      <c r="G1775" s="3">
        <v>45997.599808946761</v>
      </c>
      <c r="H1775" s="3">
        <v>45997.599658645835</v>
      </c>
      <c r="I1775" s="4" t="s">
        <v>1465</v>
      </c>
      <c r="J1775" t="s">
        <v>67</v>
      </c>
      <c r="K1775" t="s">
        <v>67</v>
      </c>
      <c r="L1775" t="s">
        <v>2108</v>
      </c>
      <c r="M1775" t="s">
        <v>2109</v>
      </c>
      <c r="N1775" t="s">
        <v>2110</v>
      </c>
      <c r="O1775" t="s">
        <v>2111</v>
      </c>
      <c r="S1775" s="5"/>
      <c r="T1775" t="s">
        <v>72</v>
      </c>
      <c r="U1775" t="s">
        <v>87</v>
      </c>
      <c r="V1775" t="s">
        <v>74</v>
      </c>
      <c r="W1775" t="s">
        <v>87</v>
      </c>
      <c r="AE1775" s="2"/>
      <c r="AF1775" s="2"/>
      <c r="AG1775" s="2"/>
      <c r="AH1775" s="2"/>
      <c r="AL1775" s="2">
        <v>1842150</v>
      </c>
      <c r="AM1775" s="2">
        <v>0</v>
      </c>
      <c r="AN1775" s="2"/>
      <c r="AO1775" s="2">
        <v>0</v>
      </c>
      <c r="AP1775" s="2">
        <v>1842150</v>
      </c>
      <c r="AQ1775" s="2">
        <v>0</v>
      </c>
      <c r="AR1775" s="2">
        <v>0</v>
      </c>
      <c r="AS1775" s="2">
        <v>0</v>
      </c>
      <c r="AT1775" s="2">
        <v>0</v>
      </c>
      <c r="AU1775" s="2">
        <v>0</v>
      </c>
      <c r="AV1775" s="2">
        <v>0</v>
      </c>
      <c r="AW1775" s="4"/>
      <c r="AX1775" t="s">
        <v>75</v>
      </c>
      <c r="AZ1775" t="s">
        <v>4388</v>
      </c>
      <c r="BA1775" t="s">
        <v>67</v>
      </c>
      <c r="BB1775" t="s">
        <v>4389</v>
      </c>
      <c r="BC1775" t="s">
        <v>1292</v>
      </c>
      <c r="BD1775" t="s">
        <v>79</v>
      </c>
      <c r="BE1775" t="s">
        <v>131</v>
      </c>
      <c r="BF1775" s="5">
        <v>46874</v>
      </c>
      <c r="BH1775">
        <v>1</v>
      </c>
      <c r="BI1775" s="6">
        <v>975000</v>
      </c>
      <c r="BJ1775" s="6">
        <v>40</v>
      </c>
      <c r="BK1775" s="6">
        <v>390000</v>
      </c>
      <c r="BL1775" s="6">
        <v>585000</v>
      </c>
      <c r="BM1775" s="2">
        <v>585000</v>
      </c>
      <c r="BN1775">
        <f>InvoiceTable[[#This Row],[Giảm giá]]*InvoiceTable[[#This Row],[Số lượng]]</f>
        <v>390000</v>
      </c>
    </row>
    <row r="1776" spans="1:66" x14ac:dyDescent="0.25">
      <c r="A1776" t="s">
        <v>65</v>
      </c>
      <c r="B1776" t="s">
        <v>4387</v>
      </c>
      <c r="F1776" s="2"/>
      <c r="G1776" s="3">
        <v>45997.599808946761</v>
      </c>
      <c r="H1776" s="3">
        <v>45997.599658645835</v>
      </c>
      <c r="I1776" s="4" t="s">
        <v>1465</v>
      </c>
      <c r="J1776" t="s">
        <v>67</v>
      </c>
      <c r="K1776" t="s">
        <v>67</v>
      </c>
      <c r="L1776" t="s">
        <v>2108</v>
      </c>
      <c r="M1776" t="s">
        <v>2109</v>
      </c>
      <c r="N1776" t="s">
        <v>2110</v>
      </c>
      <c r="O1776" t="s">
        <v>2111</v>
      </c>
      <c r="S1776" s="5"/>
      <c r="T1776" t="s">
        <v>72</v>
      </c>
      <c r="U1776" t="s">
        <v>87</v>
      </c>
      <c r="V1776" t="s">
        <v>74</v>
      </c>
      <c r="W1776" t="s">
        <v>87</v>
      </c>
      <c r="AE1776" s="2"/>
      <c r="AF1776" s="2"/>
      <c r="AG1776" s="2"/>
      <c r="AH1776" s="2"/>
      <c r="AL1776" s="2">
        <v>1842150</v>
      </c>
      <c r="AM1776" s="2">
        <v>0</v>
      </c>
      <c r="AN1776" s="2"/>
      <c r="AO1776" s="2">
        <v>0</v>
      </c>
      <c r="AP1776" s="2">
        <v>1842150</v>
      </c>
      <c r="AQ1776" s="2">
        <v>0</v>
      </c>
      <c r="AR1776" s="2">
        <v>0</v>
      </c>
      <c r="AS1776" s="2">
        <v>0</v>
      </c>
      <c r="AT1776" s="2">
        <v>0</v>
      </c>
      <c r="AU1776" s="2">
        <v>0</v>
      </c>
      <c r="AV1776" s="2">
        <v>0</v>
      </c>
      <c r="AW1776" s="4"/>
      <c r="AX1776" t="s">
        <v>75</v>
      </c>
      <c r="AZ1776" t="s">
        <v>166</v>
      </c>
      <c r="BA1776" t="s">
        <v>67</v>
      </c>
      <c r="BB1776" t="s">
        <v>167</v>
      </c>
      <c r="BC1776" t="s">
        <v>90</v>
      </c>
      <c r="BD1776" t="s">
        <v>79</v>
      </c>
      <c r="BE1776" t="s">
        <v>168</v>
      </c>
      <c r="BF1776" s="5">
        <v>46388</v>
      </c>
      <c r="BH1776">
        <v>1</v>
      </c>
      <c r="BI1776" s="6">
        <v>180000</v>
      </c>
      <c r="BJ1776" s="6">
        <v>0</v>
      </c>
      <c r="BK1776" s="6">
        <v>125000</v>
      </c>
      <c r="BL1776" s="6">
        <v>55000</v>
      </c>
      <c r="BM1776" s="2">
        <v>55000</v>
      </c>
      <c r="BN1776">
        <f>InvoiceTable[[#This Row],[Giảm giá]]*InvoiceTable[[#This Row],[Số lượng]]</f>
        <v>125000</v>
      </c>
    </row>
    <row r="1777" spans="1:66" x14ac:dyDescent="0.25">
      <c r="A1777" t="s">
        <v>65</v>
      </c>
      <c r="B1777" t="s">
        <v>4387</v>
      </c>
      <c r="F1777" s="2"/>
      <c r="G1777" s="3">
        <v>45997.599808946761</v>
      </c>
      <c r="H1777" s="3">
        <v>45997.599658645835</v>
      </c>
      <c r="I1777" s="4" t="s">
        <v>1465</v>
      </c>
      <c r="J1777" t="s">
        <v>67</v>
      </c>
      <c r="K1777" t="s">
        <v>67</v>
      </c>
      <c r="L1777" t="s">
        <v>2108</v>
      </c>
      <c r="M1777" t="s">
        <v>2109</v>
      </c>
      <c r="N1777" t="s">
        <v>2110</v>
      </c>
      <c r="O1777" t="s">
        <v>2111</v>
      </c>
      <c r="S1777" s="5"/>
      <c r="T1777" t="s">
        <v>72</v>
      </c>
      <c r="U1777" t="s">
        <v>87</v>
      </c>
      <c r="V1777" t="s">
        <v>74</v>
      </c>
      <c r="W1777" t="s">
        <v>87</v>
      </c>
      <c r="AE1777" s="2"/>
      <c r="AF1777" s="2"/>
      <c r="AG1777" s="2"/>
      <c r="AH1777" s="2"/>
      <c r="AL1777" s="2">
        <v>1842150</v>
      </c>
      <c r="AM1777" s="2">
        <v>0</v>
      </c>
      <c r="AN1777" s="2"/>
      <c r="AO1777" s="2">
        <v>0</v>
      </c>
      <c r="AP1777" s="2">
        <v>1842150</v>
      </c>
      <c r="AQ1777" s="2">
        <v>0</v>
      </c>
      <c r="AR1777" s="2">
        <v>0</v>
      </c>
      <c r="AS1777" s="2">
        <v>0</v>
      </c>
      <c r="AT1777" s="2">
        <v>0</v>
      </c>
      <c r="AU1777" s="2">
        <v>0</v>
      </c>
      <c r="AV1777" s="2">
        <v>0</v>
      </c>
      <c r="AW1777" s="4"/>
      <c r="AX1777" t="s">
        <v>75</v>
      </c>
      <c r="AZ1777" t="s">
        <v>771</v>
      </c>
      <c r="BA1777" t="s">
        <v>67</v>
      </c>
      <c r="BB1777" t="s">
        <v>772</v>
      </c>
      <c r="BC1777" t="s">
        <v>770</v>
      </c>
      <c r="BD1777" t="s">
        <v>79</v>
      </c>
      <c r="BE1777" t="s">
        <v>201</v>
      </c>
      <c r="BF1777" s="5">
        <v>46966</v>
      </c>
      <c r="BH1777">
        <v>1</v>
      </c>
      <c r="BI1777" s="6">
        <v>399000</v>
      </c>
      <c r="BJ1777" s="6">
        <v>45</v>
      </c>
      <c r="BK1777" s="6">
        <v>179550</v>
      </c>
      <c r="BL1777" s="6">
        <v>219450</v>
      </c>
      <c r="BM1777" s="2">
        <v>219450</v>
      </c>
      <c r="BN1777">
        <f>InvoiceTable[[#This Row],[Giảm giá]]*InvoiceTable[[#This Row],[Số lượng]]</f>
        <v>179550</v>
      </c>
    </row>
    <row r="1778" spans="1:66" x14ac:dyDescent="0.25">
      <c r="A1778" t="s">
        <v>65</v>
      </c>
      <c r="B1778" t="s">
        <v>4387</v>
      </c>
      <c r="F1778" s="2"/>
      <c r="G1778" s="3">
        <v>45997.599808946761</v>
      </c>
      <c r="H1778" s="3">
        <v>45997.599658645835</v>
      </c>
      <c r="I1778" s="4" t="s">
        <v>1465</v>
      </c>
      <c r="J1778" t="s">
        <v>67</v>
      </c>
      <c r="K1778" t="s">
        <v>67</v>
      </c>
      <c r="L1778" t="s">
        <v>2108</v>
      </c>
      <c r="M1778" t="s">
        <v>2109</v>
      </c>
      <c r="N1778" t="s">
        <v>2110</v>
      </c>
      <c r="O1778" t="s">
        <v>2111</v>
      </c>
      <c r="S1778" s="5"/>
      <c r="T1778" t="s">
        <v>72</v>
      </c>
      <c r="U1778" t="s">
        <v>87</v>
      </c>
      <c r="V1778" t="s">
        <v>74</v>
      </c>
      <c r="W1778" t="s">
        <v>87</v>
      </c>
      <c r="AE1778" s="2"/>
      <c r="AF1778" s="2"/>
      <c r="AG1778" s="2"/>
      <c r="AH1778" s="2"/>
      <c r="AL1778" s="2">
        <v>1842150</v>
      </c>
      <c r="AM1778" s="2">
        <v>0</v>
      </c>
      <c r="AN1778" s="2"/>
      <c r="AO1778" s="2">
        <v>0</v>
      </c>
      <c r="AP1778" s="2">
        <v>1842150</v>
      </c>
      <c r="AQ1778" s="2">
        <v>0</v>
      </c>
      <c r="AR1778" s="2">
        <v>0</v>
      </c>
      <c r="AS1778" s="2">
        <v>0</v>
      </c>
      <c r="AT1778" s="2">
        <v>0</v>
      </c>
      <c r="AU1778" s="2">
        <v>0</v>
      </c>
      <c r="AV1778" s="2">
        <v>0</v>
      </c>
      <c r="AW1778" s="4"/>
      <c r="AX1778" t="s">
        <v>75</v>
      </c>
      <c r="AZ1778" t="s">
        <v>1268</v>
      </c>
      <c r="BA1778" t="s">
        <v>67</v>
      </c>
      <c r="BB1778" t="s">
        <v>1269</v>
      </c>
      <c r="BC1778" t="s">
        <v>770</v>
      </c>
      <c r="BD1778" t="s">
        <v>79</v>
      </c>
      <c r="BE1778" t="s">
        <v>715</v>
      </c>
      <c r="BF1778" s="5">
        <v>46631</v>
      </c>
      <c r="BH1778">
        <v>1</v>
      </c>
      <c r="BI1778" s="6">
        <v>690000</v>
      </c>
      <c r="BJ1778" s="6">
        <v>45</v>
      </c>
      <c r="BK1778" s="6">
        <v>310500</v>
      </c>
      <c r="BL1778" s="6">
        <v>379500</v>
      </c>
      <c r="BM1778" s="2">
        <v>379500</v>
      </c>
      <c r="BN1778">
        <f>InvoiceTable[[#This Row],[Giảm giá]]*InvoiceTable[[#This Row],[Số lượng]]</f>
        <v>310500</v>
      </c>
    </row>
    <row r="1779" spans="1:66" x14ac:dyDescent="0.25">
      <c r="A1779" t="s">
        <v>65</v>
      </c>
      <c r="B1779" t="s">
        <v>4387</v>
      </c>
      <c r="F1779" s="2"/>
      <c r="G1779" s="3">
        <v>45997.599808946761</v>
      </c>
      <c r="H1779" s="3">
        <v>45997.599658645835</v>
      </c>
      <c r="I1779" s="4" t="s">
        <v>1465</v>
      </c>
      <c r="J1779" t="s">
        <v>67</v>
      </c>
      <c r="K1779" t="s">
        <v>67</v>
      </c>
      <c r="L1779" t="s">
        <v>2108</v>
      </c>
      <c r="M1779" t="s">
        <v>2109</v>
      </c>
      <c r="N1779" t="s">
        <v>2110</v>
      </c>
      <c r="O1779" t="s">
        <v>2111</v>
      </c>
      <c r="S1779" s="5"/>
      <c r="T1779" t="s">
        <v>72</v>
      </c>
      <c r="U1779" t="s">
        <v>87</v>
      </c>
      <c r="V1779" t="s">
        <v>74</v>
      </c>
      <c r="W1779" t="s">
        <v>87</v>
      </c>
      <c r="AE1779" s="2"/>
      <c r="AF1779" s="2"/>
      <c r="AG1779" s="2"/>
      <c r="AH1779" s="2"/>
      <c r="AL1779" s="2">
        <v>1842150</v>
      </c>
      <c r="AM1779" s="2">
        <v>0</v>
      </c>
      <c r="AN1779" s="2"/>
      <c r="AO1779" s="2">
        <v>0</v>
      </c>
      <c r="AP1779" s="2">
        <v>1842150</v>
      </c>
      <c r="AQ1779" s="2">
        <v>0</v>
      </c>
      <c r="AR1779" s="2">
        <v>0</v>
      </c>
      <c r="AS1779" s="2">
        <v>0</v>
      </c>
      <c r="AT1779" s="2">
        <v>0</v>
      </c>
      <c r="AU1779" s="2">
        <v>0</v>
      </c>
      <c r="AV1779" s="2">
        <v>0</v>
      </c>
      <c r="AW1779" s="4"/>
      <c r="AX1779" t="s">
        <v>75</v>
      </c>
      <c r="AZ1779" t="s">
        <v>3328</v>
      </c>
      <c r="BA1779" t="s">
        <v>67</v>
      </c>
      <c r="BB1779" t="s">
        <v>3329</v>
      </c>
      <c r="BC1779" t="s">
        <v>2169</v>
      </c>
      <c r="BD1779" t="s">
        <v>79</v>
      </c>
      <c r="BE1779" t="s">
        <v>159</v>
      </c>
      <c r="BF1779" s="5">
        <v>46478</v>
      </c>
      <c r="BH1779">
        <v>1</v>
      </c>
      <c r="BI1779" s="6">
        <v>990000</v>
      </c>
      <c r="BJ1779" s="6">
        <v>42</v>
      </c>
      <c r="BK1779" s="6">
        <v>415800</v>
      </c>
      <c r="BL1779" s="6">
        <v>574200</v>
      </c>
      <c r="BM1779" s="2">
        <v>574200</v>
      </c>
      <c r="BN1779">
        <f>InvoiceTable[[#This Row],[Giảm giá]]*InvoiceTable[[#This Row],[Số lượng]]</f>
        <v>415800</v>
      </c>
    </row>
    <row r="1780" spans="1:66" x14ac:dyDescent="0.25">
      <c r="A1780" t="s">
        <v>65</v>
      </c>
      <c r="B1780" t="s">
        <v>4390</v>
      </c>
      <c r="F1780" s="2"/>
      <c r="G1780" s="3">
        <v>45997.598565428241</v>
      </c>
      <c r="H1780" s="3">
        <v>45997.598565590277</v>
      </c>
      <c r="I1780" s="4" t="s">
        <v>67</v>
      </c>
      <c r="J1780" t="s">
        <v>67</v>
      </c>
      <c r="K1780" t="s">
        <v>67</v>
      </c>
      <c r="L1780" t="s">
        <v>4391</v>
      </c>
      <c r="M1780" t="s">
        <v>4392</v>
      </c>
      <c r="N1780" t="s">
        <v>67</v>
      </c>
      <c r="O1780" t="s">
        <v>4393</v>
      </c>
      <c r="P1780" t="s">
        <v>4394</v>
      </c>
      <c r="S1780" s="5"/>
      <c r="T1780" t="s">
        <v>72</v>
      </c>
      <c r="U1780" t="s">
        <v>87</v>
      </c>
      <c r="V1780" t="s">
        <v>74</v>
      </c>
      <c r="W1780" t="s">
        <v>87</v>
      </c>
      <c r="AE1780" s="2"/>
      <c r="AF1780" s="2"/>
      <c r="AG1780" s="2"/>
      <c r="AH1780" s="2"/>
      <c r="AL1780" s="2">
        <v>1100000</v>
      </c>
      <c r="AM1780" s="2">
        <v>0</v>
      </c>
      <c r="AN1780" s="2"/>
      <c r="AO1780" s="2">
        <v>0</v>
      </c>
      <c r="AP1780" s="2">
        <v>1100000</v>
      </c>
      <c r="AQ1780" s="2">
        <v>0</v>
      </c>
      <c r="AR1780" s="2">
        <v>0</v>
      </c>
      <c r="AS1780" s="2">
        <v>0</v>
      </c>
      <c r="AT1780" s="2">
        <v>0</v>
      </c>
      <c r="AU1780" s="2">
        <v>0</v>
      </c>
      <c r="AV1780" s="2">
        <v>0</v>
      </c>
      <c r="AW1780" s="4"/>
      <c r="AX1780" t="s">
        <v>75</v>
      </c>
      <c r="AZ1780" t="s">
        <v>748</v>
      </c>
      <c r="BA1780" t="s">
        <v>67</v>
      </c>
      <c r="BB1780" t="s">
        <v>749</v>
      </c>
      <c r="BC1780" t="s">
        <v>750</v>
      </c>
      <c r="BD1780" t="s">
        <v>79</v>
      </c>
      <c r="BE1780" t="s">
        <v>117</v>
      </c>
      <c r="BF1780" s="5">
        <v>46569</v>
      </c>
      <c r="BH1780">
        <v>1</v>
      </c>
      <c r="BI1780" s="6">
        <v>1500000</v>
      </c>
      <c r="BJ1780" s="6">
        <v>0</v>
      </c>
      <c r="BK1780" s="6">
        <v>400000</v>
      </c>
      <c r="BL1780" s="6">
        <v>1100000</v>
      </c>
      <c r="BM1780" s="2">
        <v>1100000</v>
      </c>
      <c r="BN1780">
        <f>InvoiceTable[[#This Row],[Giảm giá]]*InvoiceTable[[#This Row],[Số lượng]]</f>
        <v>400000</v>
      </c>
    </row>
    <row r="1781" spans="1:66" x14ac:dyDescent="0.25">
      <c r="A1781" t="s">
        <v>65</v>
      </c>
      <c r="B1781" t="s">
        <v>4395</v>
      </c>
      <c r="F1781" s="2"/>
      <c r="G1781" s="3">
        <v>45997.570413194444</v>
      </c>
      <c r="H1781" s="3">
        <v>45997.570413310183</v>
      </c>
      <c r="I1781" s="4" t="s">
        <v>67</v>
      </c>
      <c r="J1781" t="s">
        <v>67</v>
      </c>
      <c r="K1781" t="s">
        <v>67</v>
      </c>
      <c r="L1781" t="s">
        <v>766</v>
      </c>
      <c r="M1781" t="s">
        <v>767</v>
      </c>
      <c r="N1781" t="s">
        <v>67</v>
      </c>
      <c r="Q1781" t="s">
        <v>67</v>
      </c>
      <c r="R1781" t="s">
        <v>67</v>
      </c>
      <c r="S1781" s="5"/>
      <c r="T1781" t="s">
        <v>72</v>
      </c>
      <c r="U1781" t="s">
        <v>87</v>
      </c>
      <c r="V1781" t="s">
        <v>74</v>
      </c>
      <c r="W1781" t="s">
        <v>87</v>
      </c>
      <c r="AE1781" s="2"/>
      <c r="AF1781" s="2"/>
      <c r="AG1781" s="2"/>
      <c r="AH1781" s="2"/>
      <c r="AL1781" s="2">
        <v>20300000</v>
      </c>
      <c r="AM1781" s="2">
        <v>0</v>
      </c>
      <c r="AN1781" s="2"/>
      <c r="AO1781" s="2">
        <v>0</v>
      </c>
      <c r="AP1781" s="2">
        <v>20300000</v>
      </c>
      <c r="AQ1781" s="2">
        <v>20300000</v>
      </c>
      <c r="AR1781" s="2">
        <v>0</v>
      </c>
      <c r="AS1781" s="2">
        <v>0</v>
      </c>
      <c r="AT1781" s="2">
        <v>0</v>
      </c>
      <c r="AU1781" s="2">
        <v>20300000</v>
      </c>
      <c r="AV1781" s="2">
        <v>0</v>
      </c>
      <c r="AW1781" s="4"/>
      <c r="AX1781" t="s">
        <v>75</v>
      </c>
      <c r="AZ1781" t="s">
        <v>107</v>
      </c>
      <c r="BA1781" t="s">
        <v>67</v>
      </c>
      <c r="BB1781" t="s">
        <v>108</v>
      </c>
      <c r="BC1781" t="s">
        <v>109</v>
      </c>
      <c r="BD1781" t="s">
        <v>79</v>
      </c>
      <c r="BE1781" t="s">
        <v>94</v>
      </c>
      <c r="BF1781" s="5">
        <v>46692</v>
      </c>
      <c r="BH1781">
        <v>5</v>
      </c>
      <c r="BI1781" s="6">
        <v>4500000</v>
      </c>
      <c r="BJ1781" s="6">
        <v>0</v>
      </c>
      <c r="BK1781" s="6">
        <v>2020000</v>
      </c>
      <c r="BL1781" s="6">
        <v>2480000</v>
      </c>
      <c r="BM1781" s="2">
        <v>12400000</v>
      </c>
      <c r="BN1781">
        <f>InvoiceTable[[#This Row],[Giảm giá]]*InvoiceTable[[#This Row],[Số lượng]]</f>
        <v>10100000</v>
      </c>
    </row>
    <row r="1782" spans="1:66" x14ac:dyDescent="0.25">
      <c r="A1782" t="s">
        <v>65</v>
      </c>
      <c r="B1782" t="s">
        <v>4395</v>
      </c>
      <c r="F1782" s="2"/>
      <c r="G1782" s="3">
        <v>45997.570413194444</v>
      </c>
      <c r="H1782" s="3">
        <v>45997.570413310183</v>
      </c>
      <c r="I1782" s="4" t="s">
        <v>67</v>
      </c>
      <c r="J1782" t="s">
        <v>67</v>
      </c>
      <c r="K1782" t="s">
        <v>67</v>
      </c>
      <c r="L1782" t="s">
        <v>766</v>
      </c>
      <c r="M1782" t="s">
        <v>767</v>
      </c>
      <c r="N1782" t="s">
        <v>67</v>
      </c>
      <c r="Q1782" t="s">
        <v>67</v>
      </c>
      <c r="R1782" t="s">
        <v>67</v>
      </c>
      <c r="S1782" s="5"/>
      <c r="T1782" t="s">
        <v>72</v>
      </c>
      <c r="U1782" t="s">
        <v>87</v>
      </c>
      <c r="V1782" t="s">
        <v>74</v>
      </c>
      <c r="W1782" t="s">
        <v>87</v>
      </c>
      <c r="AE1782" s="2"/>
      <c r="AF1782" s="2"/>
      <c r="AG1782" s="2"/>
      <c r="AH1782" s="2"/>
      <c r="AL1782" s="2">
        <v>20300000</v>
      </c>
      <c r="AM1782" s="2">
        <v>0</v>
      </c>
      <c r="AN1782" s="2"/>
      <c r="AO1782" s="2">
        <v>0</v>
      </c>
      <c r="AP1782" s="2">
        <v>20300000</v>
      </c>
      <c r="AQ1782" s="2">
        <v>20300000</v>
      </c>
      <c r="AR1782" s="2">
        <v>0</v>
      </c>
      <c r="AS1782" s="2">
        <v>0</v>
      </c>
      <c r="AT1782" s="2">
        <v>0</v>
      </c>
      <c r="AU1782" s="2">
        <v>20300000</v>
      </c>
      <c r="AV1782" s="2">
        <v>0</v>
      </c>
      <c r="AW1782" s="4"/>
      <c r="AX1782" t="s">
        <v>75</v>
      </c>
      <c r="AZ1782" t="s">
        <v>435</v>
      </c>
      <c r="BA1782" t="s">
        <v>67</v>
      </c>
      <c r="BB1782" t="s">
        <v>436</v>
      </c>
      <c r="BC1782" t="s">
        <v>437</v>
      </c>
      <c r="BD1782" t="s">
        <v>79</v>
      </c>
      <c r="BE1782" t="s">
        <v>142</v>
      </c>
      <c r="BF1782" s="5">
        <v>46844</v>
      </c>
      <c r="BH1782">
        <v>2</v>
      </c>
      <c r="BI1782" s="6">
        <v>1200000</v>
      </c>
      <c r="BJ1782" s="6">
        <v>0</v>
      </c>
      <c r="BK1782" s="6">
        <v>550000</v>
      </c>
      <c r="BL1782" s="6">
        <v>650000</v>
      </c>
      <c r="BM1782" s="2">
        <v>1300000</v>
      </c>
      <c r="BN1782">
        <f>InvoiceTable[[#This Row],[Giảm giá]]*InvoiceTable[[#This Row],[Số lượng]]</f>
        <v>1100000</v>
      </c>
    </row>
    <row r="1783" spans="1:66" x14ac:dyDescent="0.25">
      <c r="A1783" t="s">
        <v>65</v>
      </c>
      <c r="B1783" t="s">
        <v>4395</v>
      </c>
      <c r="F1783" s="2"/>
      <c r="G1783" s="3">
        <v>45997.570413194444</v>
      </c>
      <c r="H1783" s="3">
        <v>45997.570413310183</v>
      </c>
      <c r="I1783" s="4" t="s">
        <v>67</v>
      </c>
      <c r="J1783" t="s">
        <v>67</v>
      </c>
      <c r="K1783" t="s">
        <v>67</v>
      </c>
      <c r="L1783" t="s">
        <v>766</v>
      </c>
      <c r="M1783" t="s">
        <v>767</v>
      </c>
      <c r="N1783" t="s">
        <v>67</v>
      </c>
      <c r="Q1783" t="s">
        <v>67</v>
      </c>
      <c r="R1783" t="s">
        <v>67</v>
      </c>
      <c r="S1783" s="5"/>
      <c r="T1783" t="s">
        <v>72</v>
      </c>
      <c r="U1783" t="s">
        <v>87</v>
      </c>
      <c r="V1783" t="s">
        <v>74</v>
      </c>
      <c r="W1783" t="s">
        <v>87</v>
      </c>
      <c r="AE1783" s="2"/>
      <c r="AF1783" s="2"/>
      <c r="AG1783" s="2"/>
      <c r="AH1783" s="2"/>
      <c r="AL1783" s="2">
        <v>20300000</v>
      </c>
      <c r="AM1783" s="2">
        <v>0</v>
      </c>
      <c r="AN1783" s="2"/>
      <c r="AO1783" s="2">
        <v>0</v>
      </c>
      <c r="AP1783" s="2">
        <v>20300000</v>
      </c>
      <c r="AQ1783" s="2">
        <v>20300000</v>
      </c>
      <c r="AR1783" s="2">
        <v>0</v>
      </c>
      <c r="AS1783" s="2">
        <v>0</v>
      </c>
      <c r="AT1783" s="2">
        <v>0</v>
      </c>
      <c r="AU1783" s="2">
        <v>20300000</v>
      </c>
      <c r="AV1783" s="2">
        <v>0</v>
      </c>
      <c r="AW1783" s="4"/>
      <c r="AX1783" t="s">
        <v>75</v>
      </c>
      <c r="AZ1783" t="s">
        <v>1019</v>
      </c>
      <c r="BA1783" t="s">
        <v>67</v>
      </c>
      <c r="BB1783" t="s">
        <v>1020</v>
      </c>
      <c r="BC1783" t="s">
        <v>676</v>
      </c>
      <c r="BD1783" t="s">
        <v>79</v>
      </c>
      <c r="BE1783" t="s">
        <v>131</v>
      </c>
      <c r="BF1783" s="5">
        <v>46874</v>
      </c>
      <c r="BH1783">
        <v>1</v>
      </c>
      <c r="BI1783" s="6">
        <v>1690000</v>
      </c>
      <c r="BJ1783" s="6">
        <v>0</v>
      </c>
      <c r="BK1783" s="6">
        <v>590000</v>
      </c>
      <c r="BL1783" s="6">
        <v>1100000</v>
      </c>
      <c r="BM1783" s="2">
        <v>1100000</v>
      </c>
      <c r="BN1783">
        <f>InvoiceTable[[#This Row],[Giảm giá]]*InvoiceTable[[#This Row],[Số lượng]]</f>
        <v>590000</v>
      </c>
    </row>
    <row r="1784" spans="1:66" x14ac:dyDescent="0.25">
      <c r="A1784" t="s">
        <v>65</v>
      </c>
      <c r="B1784" t="s">
        <v>4395</v>
      </c>
      <c r="F1784" s="2"/>
      <c r="G1784" s="3">
        <v>45997.570413194444</v>
      </c>
      <c r="H1784" s="3">
        <v>45997.570413310183</v>
      </c>
      <c r="I1784" s="4" t="s">
        <v>67</v>
      </c>
      <c r="J1784" t="s">
        <v>67</v>
      </c>
      <c r="K1784" t="s">
        <v>67</v>
      </c>
      <c r="L1784" t="s">
        <v>766</v>
      </c>
      <c r="M1784" t="s">
        <v>767</v>
      </c>
      <c r="N1784" t="s">
        <v>67</v>
      </c>
      <c r="Q1784" t="s">
        <v>67</v>
      </c>
      <c r="R1784" t="s">
        <v>67</v>
      </c>
      <c r="S1784" s="5"/>
      <c r="T1784" t="s">
        <v>72</v>
      </c>
      <c r="U1784" t="s">
        <v>87</v>
      </c>
      <c r="V1784" t="s">
        <v>74</v>
      </c>
      <c r="W1784" t="s">
        <v>87</v>
      </c>
      <c r="AE1784" s="2"/>
      <c r="AF1784" s="2"/>
      <c r="AG1784" s="2"/>
      <c r="AH1784" s="2"/>
      <c r="AL1784" s="2">
        <v>20300000</v>
      </c>
      <c r="AM1784" s="2">
        <v>0</v>
      </c>
      <c r="AN1784" s="2"/>
      <c r="AO1784" s="2">
        <v>0</v>
      </c>
      <c r="AP1784" s="2">
        <v>20300000</v>
      </c>
      <c r="AQ1784" s="2">
        <v>20300000</v>
      </c>
      <c r="AR1784" s="2">
        <v>0</v>
      </c>
      <c r="AS1784" s="2">
        <v>0</v>
      </c>
      <c r="AT1784" s="2">
        <v>0</v>
      </c>
      <c r="AU1784" s="2">
        <v>20300000</v>
      </c>
      <c r="AV1784" s="2">
        <v>0</v>
      </c>
      <c r="AW1784" s="4"/>
      <c r="AX1784" t="s">
        <v>75</v>
      </c>
      <c r="AZ1784" t="s">
        <v>674</v>
      </c>
      <c r="BA1784" t="s">
        <v>67</v>
      </c>
      <c r="BB1784" t="s">
        <v>675</v>
      </c>
      <c r="BC1784" t="s">
        <v>676</v>
      </c>
      <c r="BD1784" t="s">
        <v>79</v>
      </c>
      <c r="BE1784" t="s">
        <v>142</v>
      </c>
      <c r="BF1784" s="5">
        <v>46844</v>
      </c>
      <c r="BH1784">
        <v>2</v>
      </c>
      <c r="BI1784" s="6">
        <v>1690000</v>
      </c>
      <c r="BJ1784" s="6">
        <v>0</v>
      </c>
      <c r="BK1784" s="6">
        <v>590000</v>
      </c>
      <c r="BL1784" s="6">
        <v>1100000</v>
      </c>
      <c r="BM1784" s="2">
        <v>2200000</v>
      </c>
      <c r="BN1784">
        <f>InvoiceTable[[#This Row],[Giảm giá]]*InvoiceTable[[#This Row],[Số lượng]]</f>
        <v>1180000</v>
      </c>
    </row>
    <row r="1785" spans="1:66" x14ac:dyDescent="0.25">
      <c r="A1785" t="s">
        <v>65</v>
      </c>
      <c r="B1785" t="s">
        <v>4395</v>
      </c>
      <c r="F1785" s="2"/>
      <c r="G1785" s="3">
        <v>45997.570413194444</v>
      </c>
      <c r="H1785" s="3">
        <v>45997.570413310183</v>
      </c>
      <c r="I1785" s="4" t="s">
        <v>67</v>
      </c>
      <c r="J1785" t="s">
        <v>67</v>
      </c>
      <c r="K1785" t="s">
        <v>67</v>
      </c>
      <c r="L1785" t="s">
        <v>766</v>
      </c>
      <c r="M1785" t="s">
        <v>767</v>
      </c>
      <c r="N1785" t="s">
        <v>67</v>
      </c>
      <c r="Q1785" t="s">
        <v>67</v>
      </c>
      <c r="R1785" t="s">
        <v>67</v>
      </c>
      <c r="S1785" s="5"/>
      <c r="T1785" t="s">
        <v>72</v>
      </c>
      <c r="U1785" t="s">
        <v>87</v>
      </c>
      <c r="V1785" t="s">
        <v>74</v>
      </c>
      <c r="W1785" t="s">
        <v>87</v>
      </c>
      <c r="AE1785" s="2"/>
      <c r="AF1785" s="2"/>
      <c r="AG1785" s="2"/>
      <c r="AH1785" s="2"/>
      <c r="AL1785" s="2">
        <v>20300000</v>
      </c>
      <c r="AM1785" s="2">
        <v>0</v>
      </c>
      <c r="AN1785" s="2"/>
      <c r="AO1785" s="2">
        <v>0</v>
      </c>
      <c r="AP1785" s="2">
        <v>20300000</v>
      </c>
      <c r="AQ1785" s="2">
        <v>20300000</v>
      </c>
      <c r="AR1785" s="2">
        <v>0</v>
      </c>
      <c r="AS1785" s="2">
        <v>0</v>
      </c>
      <c r="AT1785" s="2">
        <v>0</v>
      </c>
      <c r="AU1785" s="2">
        <v>20300000</v>
      </c>
      <c r="AV1785" s="2">
        <v>0</v>
      </c>
      <c r="AW1785" s="4"/>
      <c r="AX1785" t="s">
        <v>75</v>
      </c>
      <c r="AZ1785" t="s">
        <v>1494</v>
      </c>
      <c r="BA1785" t="s">
        <v>67</v>
      </c>
      <c r="BB1785" t="s">
        <v>1495</v>
      </c>
      <c r="BC1785" t="s">
        <v>676</v>
      </c>
      <c r="BD1785" t="s">
        <v>79</v>
      </c>
      <c r="BE1785" t="s">
        <v>117</v>
      </c>
      <c r="BF1785" s="5">
        <v>46569</v>
      </c>
      <c r="BH1785">
        <v>3</v>
      </c>
      <c r="BI1785" s="6">
        <v>1690000</v>
      </c>
      <c r="BJ1785" s="6">
        <v>0</v>
      </c>
      <c r="BK1785" s="6">
        <v>590000</v>
      </c>
      <c r="BL1785" s="6">
        <v>1100000</v>
      </c>
      <c r="BM1785" s="2">
        <v>3300000</v>
      </c>
      <c r="BN1785">
        <f>InvoiceTable[[#This Row],[Giảm giá]]*InvoiceTable[[#This Row],[Số lượng]]</f>
        <v>1770000</v>
      </c>
    </row>
    <row r="1786" spans="1:66" x14ac:dyDescent="0.25">
      <c r="A1786" t="s">
        <v>65</v>
      </c>
      <c r="B1786" t="s">
        <v>4396</v>
      </c>
      <c r="F1786" s="2"/>
      <c r="G1786" s="3">
        <v>45997.561857326386</v>
      </c>
      <c r="H1786" s="3">
        <v>45997.561857442131</v>
      </c>
      <c r="I1786" s="4" t="s">
        <v>67</v>
      </c>
      <c r="J1786" t="s">
        <v>4397</v>
      </c>
      <c r="K1786" t="s">
        <v>67</v>
      </c>
      <c r="L1786" t="s">
        <v>1045</v>
      </c>
      <c r="M1786" t="s">
        <v>1046</v>
      </c>
      <c r="N1786" t="s">
        <v>67</v>
      </c>
      <c r="Q1786" t="s">
        <v>67</v>
      </c>
      <c r="R1786" t="s">
        <v>67</v>
      </c>
      <c r="S1786" s="5"/>
      <c r="T1786" t="s">
        <v>72</v>
      </c>
      <c r="U1786" t="s">
        <v>87</v>
      </c>
      <c r="V1786" t="s">
        <v>74</v>
      </c>
      <c r="W1786" t="s">
        <v>87</v>
      </c>
      <c r="AE1786" s="2"/>
      <c r="AF1786" s="2"/>
      <c r="AG1786" s="2"/>
      <c r="AH1786" s="2"/>
      <c r="AL1786" s="2">
        <v>5337500</v>
      </c>
      <c r="AM1786" s="2">
        <v>0</v>
      </c>
      <c r="AN1786" s="2"/>
      <c r="AO1786" s="2">
        <v>0</v>
      </c>
      <c r="AP1786" s="2">
        <v>5337500</v>
      </c>
      <c r="AQ1786" s="2">
        <v>0</v>
      </c>
      <c r="AR1786" s="2">
        <v>0</v>
      </c>
      <c r="AS1786" s="2">
        <v>0</v>
      </c>
      <c r="AT1786" s="2">
        <v>0</v>
      </c>
      <c r="AU1786" s="2">
        <v>0</v>
      </c>
      <c r="AV1786" s="2">
        <v>0</v>
      </c>
      <c r="AW1786" s="4"/>
      <c r="AX1786" t="s">
        <v>75</v>
      </c>
      <c r="AZ1786" t="s">
        <v>1508</v>
      </c>
      <c r="BA1786" t="s">
        <v>67</v>
      </c>
      <c r="BB1786" t="s">
        <v>1509</v>
      </c>
      <c r="BC1786" t="s">
        <v>223</v>
      </c>
      <c r="BD1786" t="s">
        <v>79</v>
      </c>
      <c r="BE1786" t="s">
        <v>201</v>
      </c>
      <c r="BF1786" s="5">
        <v>46966</v>
      </c>
      <c r="BH1786">
        <v>1</v>
      </c>
      <c r="BI1786" s="6">
        <v>2950000</v>
      </c>
      <c r="BJ1786" s="6">
        <v>42.75</v>
      </c>
      <c r="BK1786" s="6">
        <v>1261000</v>
      </c>
      <c r="BL1786" s="6">
        <v>1689000</v>
      </c>
      <c r="BM1786" s="2">
        <v>1689000</v>
      </c>
      <c r="BN1786">
        <f>InvoiceTable[[#This Row],[Giảm giá]]*InvoiceTable[[#This Row],[Số lượng]]</f>
        <v>1261000</v>
      </c>
    </row>
    <row r="1787" spans="1:66" x14ac:dyDescent="0.25">
      <c r="A1787" t="s">
        <v>65</v>
      </c>
      <c r="B1787" t="s">
        <v>4396</v>
      </c>
      <c r="F1787" s="2"/>
      <c r="G1787" s="3">
        <v>45997.561857326386</v>
      </c>
      <c r="H1787" s="3">
        <v>45997.561857442131</v>
      </c>
      <c r="I1787" s="4" t="s">
        <v>67</v>
      </c>
      <c r="J1787" t="s">
        <v>4397</v>
      </c>
      <c r="K1787" t="s">
        <v>67</v>
      </c>
      <c r="L1787" t="s">
        <v>1045</v>
      </c>
      <c r="M1787" t="s">
        <v>1046</v>
      </c>
      <c r="N1787" t="s">
        <v>67</v>
      </c>
      <c r="Q1787" t="s">
        <v>67</v>
      </c>
      <c r="R1787" t="s">
        <v>67</v>
      </c>
      <c r="S1787" s="5"/>
      <c r="T1787" t="s">
        <v>72</v>
      </c>
      <c r="U1787" t="s">
        <v>87</v>
      </c>
      <c r="V1787" t="s">
        <v>74</v>
      </c>
      <c r="W1787" t="s">
        <v>87</v>
      </c>
      <c r="AE1787" s="2"/>
      <c r="AF1787" s="2"/>
      <c r="AG1787" s="2"/>
      <c r="AH1787" s="2"/>
      <c r="AL1787" s="2">
        <v>5337500</v>
      </c>
      <c r="AM1787" s="2">
        <v>0</v>
      </c>
      <c r="AN1787" s="2"/>
      <c r="AO1787" s="2">
        <v>0</v>
      </c>
      <c r="AP1787" s="2">
        <v>5337500</v>
      </c>
      <c r="AQ1787" s="2">
        <v>0</v>
      </c>
      <c r="AR1787" s="2">
        <v>0</v>
      </c>
      <c r="AS1787" s="2">
        <v>0</v>
      </c>
      <c r="AT1787" s="2">
        <v>0</v>
      </c>
      <c r="AU1787" s="2">
        <v>0</v>
      </c>
      <c r="AV1787" s="2">
        <v>0</v>
      </c>
      <c r="AW1787" s="4"/>
      <c r="AX1787" t="s">
        <v>75</v>
      </c>
      <c r="AZ1787" t="s">
        <v>4398</v>
      </c>
      <c r="BA1787" t="s">
        <v>67</v>
      </c>
      <c r="BB1787" t="s">
        <v>4399</v>
      </c>
      <c r="BC1787" t="s">
        <v>223</v>
      </c>
      <c r="BD1787" t="s">
        <v>79</v>
      </c>
      <c r="BE1787" t="s">
        <v>715</v>
      </c>
      <c r="BF1787" s="5">
        <v>46631</v>
      </c>
      <c r="BH1787">
        <v>1</v>
      </c>
      <c r="BI1787" s="6">
        <v>2750000</v>
      </c>
      <c r="BJ1787" s="6">
        <v>55</v>
      </c>
      <c r="BK1787" s="6">
        <v>1512500</v>
      </c>
      <c r="BL1787" s="6">
        <v>1237500</v>
      </c>
      <c r="BM1787" s="2">
        <v>1237500</v>
      </c>
      <c r="BN1787">
        <f>InvoiceTable[[#This Row],[Giảm giá]]*InvoiceTable[[#This Row],[Số lượng]]</f>
        <v>1512500</v>
      </c>
    </row>
    <row r="1788" spans="1:66" x14ac:dyDescent="0.25">
      <c r="A1788" t="s">
        <v>65</v>
      </c>
      <c r="B1788" t="s">
        <v>4396</v>
      </c>
      <c r="F1788" s="2"/>
      <c r="G1788" s="3">
        <v>45997.561857326386</v>
      </c>
      <c r="H1788" s="3">
        <v>45997.561857442131</v>
      </c>
      <c r="I1788" s="4" t="s">
        <v>67</v>
      </c>
      <c r="J1788" t="s">
        <v>4397</v>
      </c>
      <c r="K1788" t="s">
        <v>67</v>
      </c>
      <c r="L1788" t="s">
        <v>1045</v>
      </c>
      <c r="M1788" t="s">
        <v>1046</v>
      </c>
      <c r="N1788" t="s">
        <v>67</v>
      </c>
      <c r="Q1788" t="s">
        <v>67</v>
      </c>
      <c r="R1788" t="s">
        <v>67</v>
      </c>
      <c r="S1788" s="5"/>
      <c r="T1788" t="s">
        <v>72</v>
      </c>
      <c r="U1788" t="s">
        <v>87</v>
      </c>
      <c r="V1788" t="s">
        <v>74</v>
      </c>
      <c r="W1788" t="s">
        <v>87</v>
      </c>
      <c r="AE1788" s="2"/>
      <c r="AF1788" s="2"/>
      <c r="AG1788" s="2"/>
      <c r="AH1788" s="2"/>
      <c r="AL1788" s="2">
        <v>5337500</v>
      </c>
      <c r="AM1788" s="2">
        <v>0</v>
      </c>
      <c r="AN1788" s="2"/>
      <c r="AO1788" s="2">
        <v>0</v>
      </c>
      <c r="AP1788" s="2">
        <v>5337500</v>
      </c>
      <c r="AQ1788" s="2">
        <v>0</v>
      </c>
      <c r="AR1788" s="2">
        <v>0</v>
      </c>
      <c r="AS1788" s="2">
        <v>0</v>
      </c>
      <c r="AT1788" s="2">
        <v>0</v>
      </c>
      <c r="AU1788" s="2">
        <v>0</v>
      </c>
      <c r="AV1788" s="2">
        <v>0</v>
      </c>
      <c r="AW1788" s="4"/>
      <c r="AX1788" t="s">
        <v>75</v>
      </c>
      <c r="AZ1788" t="s">
        <v>2017</v>
      </c>
      <c r="BA1788" t="s">
        <v>67</v>
      </c>
      <c r="BB1788" t="s">
        <v>2018</v>
      </c>
      <c r="BC1788" t="s">
        <v>223</v>
      </c>
      <c r="BD1788" t="s">
        <v>79</v>
      </c>
      <c r="BE1788" t="s">
        <v>177</v>
      </c>
      <c r="BF1788" s="5">
        <v>47027</v>
      </c>
      <c r="BH1788">
        <v>2</v>
      </c>
      <c r="BI1788" s="6">
        <v>1900000</v>
      </c>
      <c r="BJ1788" s="6">
        <v>53</v>
      </c>
      <c r="BK1788" s="6">
        <v>1007000</v>
      </c>
      <c r="BL1788" s="6">
        <v>893000</v>
      </c>
      <c r="BM1788" s="2">
        <v>1786000</v>
      </c>
      <c r="BN1788">
        <f>InvoiceTable[[#This Row],[Giảm giá]]*InvoiceTable[[#This Row],[Số lượng]]</f>
        <v>2014000</v>
      </c>
    </row>
    <row r="1789" spans="1:66" x14ac:dyDescent="0.25">
      <c r="A1789" t="s">
        <v>65</v>
      </c>
      <c r="B1789" t="s">
        <v>4396</v>
      </c>
      <c r="F1789" s="2"/>
      <c r="G1789" s="3">
        <v>45997.561857326386</v>
      </c>
      <c r="H1789" s="3">
        <v>45997.561857442131</v>
      </c>
      <c r="I1789" s="4" t="s">
        <v>67</v>
      </c>
      <c r="J1789" t="s">
        <v>4397</v>
      </c>
      <c r="K1789" t="s">
        <v>67</v>
      </c>
      <c r="L1789" t="s">
        <v>1045</v>
      </c>
      <c r="M1789" t="s">
        <v>1046</v>
      </c>
      <c r="N1789" t="s">
        <v>67</v>
      </c>
      <c r="Q1789" t="s">
        <v>67</v>
      </c>
      <c r="R1789" t="s">
        <v>67</v>
      </c>
      <c r="S1789" s="5"/>
      <c r="T1789" t="s">
        <v>72</v>
      </c>
      <c r="U1789" t="s">
        <v>87</v>
      </c>
      <c r="V1789" t="s">
        <v>74</v>
      </c>
      <c r="W1789" t="s">
        <v>87</v>
      </c>
      <c r="AE1789" s="2"/>
      <c r="AF1789" s="2"/>
      <c r="AG1789" s="2"/>
      <c r="AH1789" s="2"/>
      <c r="AL1789" s="2">
        <v>5337500</v>
      </c>
      <c r="AM1789" s="2">
        <v>0</v>
      </c>
      <c r="AN1789" s="2"/>
      <c r="AO1789" s="2">
        <v>0</v>
      </c>
      <c r="AP1789" s="2">
        <v>5337500</v>
      </c>
      <c r="AQ1789" s="2">
        <v>0</v>
      </c>
      <c r="AR1789" s="2">
        <v>0</v>
      </c>
      <c r="AS1789" s="2">
        <v>0</v>
      </c>
      <c r="AT1789" s="2">
        <v>0</v>
      </c>
      <c r="AU1789" s="2">
        <v>0</v>
      </c>
      <c r="AV1789" s="2">
        <v>0</v>
      </c>
      <c r="AW1789" s="4"/>
      <c r="AX1789" t="s">
        <v>75</v>
      </c>
      <c r="AZ1789" t="s">
        <v>659</v>
      </c>
      <c r="BA1789" t="s">
        <v>67</v>
      </c>
      <c r="BB1789" t="s">
        <v>660</v>
      </c>
      <c r="BC1789" t="s">
        <v>223</v>
      </c>
      <c r="BD1789" t="s">
        <v>79</v>
      </c>
      <c r="BE1789" t="s">
        <v>715</v>
      </c>
      <c r="BF1789" s="5">
        <v>46631</v>
      </c>
      <c r="BH1789">
        <v>1</v>
      </c>
      <c r="BI1789" s="6">
        <v>1250000</v>
      </c>
      <c r="BJ1789" s="6">
        <v>50</v>
      </c>
      <c r="BK1789" s="6">
        <v>625000</v>
      </c>
      <c r="BL1789" s="6">
        <v>625000</v>
      </c>
      <c r="BM1789" s="2">
        <v>625000</v>
      </c>
      <c r="BN1789">
        <f>InvoiceTable[[#This Row],[Giảm giá]]*InvoiceTable[[#This Row],[Số lượng]]</f>
        <v>625000</v>
      </c>
    </row>
    <row r="1790" spans="1:66" x14ac:dyDescent="0.25">
      <c r="A1790" t="s">
        <v>65</v>
      </c>
      <c r="B1790" t="s">
        <v>4400</v>
      </c>
      <c r="F1790" s="2"/>
      <c r="G1790" s="3">
        <v>45997.560072569446</v>
      </c>
      <c r="H1790" s="3">
        <v>45997.561979247686</v>
      </c>
      <c r="I1790" s="4" t="s">
        <v>96</v>
      </c>
      <c r="J1790" t="s">
        <v>4401</v>
      </c>
      <c r="K1790" t="s">
        <v>67</v>
      </c>
      <c r="L1790" t="s">
        <v>4402</v>
      </c>
      <c r="M1790" t="s">
        <v>4403</v>
      </c>
      <c r="N1790" t="s">
        <v>67</v>
      </c>
      <c r="O1790" t="s">
        <v>4404</v>
      </c>
      <c r="P1790" t="s">
        <v>4405</v>
      </c>
      <c r="Q1790" t="s">
        <v>67</v>
      </c>
      <c r="R1790" t="s">
        <v>67</v>
      </c>
      <c r="S1790" s="5"/>
      <c r="T1790" t="s">
        <v>72</v>
      </c>
      <c r="U1790" t="s">
        <v>1031</v>
      </c>
      <c r="V1790" t="s">
        <v>74</v>
      </c>
      <c r="W1790" t="s">
        <v>1031</v>
      </c>
      <c r="AE1790" s="2"/>
      <c r="AF1790" s="2"/>
      <c r="AG1790" s="2"/>
      <c r="AH1790" s="2"/>
      <c r="AK1790" t="s">
        <v>4406</v>
      </c>
      <c r="AL1790" s="2">
        <v>4140630</v>
      </c>
      <c r="AM1790" s="2">
        <v>0</v>
      </c>
      <c r="AN1790" s="2"/>
      <c r="AO1790" s="2">
        <v>0</v>
      </c>
      <c r="AP1790" s="2">
        <v>4140630</v>
      </c>
      <c r="AQ1790" s="2">
        <v>0</v>
      </c>
      <c r="AR1790" s="2">
        <v>0</v>
      </c>
      <c r="AS1790" s="2">
        <v>0</v>
      </c>
      <c r="AT1790" s="2">
        <v>0</v>
      </c>
      <c r="AU1790" s="2">
        <v>0</v>
      </c>
      <c r="AV1790" s="2">
        <v>0</v>
      </c>
      <c r="AW1790" s="4"/>
      <c r="AX1790" t="s">
        <v>75</v>
      </c>
      <c r="AZ1790" t="s">
        <v>1520</v>
      </c>
      <c r="BA1790" t="s">
        <v>67</v>
      </c>
      <c r="BB1790" t="s">
        <v>1521</v>
      </c>
      <c r="BC1790" t="s">
        <v>93</v>
      </c>
      <c r="BD1790" t="s">
        <v>79</v>
      </c>
      <c r="BE1790" t="s">
        <v>131</v>
      </c>
      <c r="BF1790" s="5">
        <v>46874</v>
      </c>
      <c r="BG1790" t="s">
        <v>67</v>
      </c>
      <c r="BH1790">
        <v>2</v>
      </c>
      <c r="BI1790" s="6">
        <v>584000</v>
      </c>
      <c r="BJ1790" s="6">
        <v>34</v>
      </c>
      <c r="BK1790" s="6">
        <v>198560</v>
      </c>
      <c r="BL1790" s="6">
        <v>385440</v>
      </c>
      <c r="BM1790" s="2">
        <v>770880</v>
      </c>
      <c r="BN1790">
        <f>InvoiceTable[[#This Row],[Giảm giá]]*InvoiceTable[[#This Row],[Số lượng]]</f>
        <v>397120</v>
      </c>
    </row>
    <row r="1791" spans="1:66" x14ac:dyDescent="0.25">
      <c r="A1791" t="s">
        <v>65</v>
      </c>
      <c r="B1791" t="s">
        <v>4400</v>
      </c>
      <c r="F1791" s="2"/>
      <c r="G1791" s="3">
        <v>45997.560072569446</v>
      </c>
      <c r="H1791" s="3">
        <v>45997.561979247686</v>
      </c>
      <c r="I1791" s="4" t="s">
        <v>96</v>
      </c>
      <c r="J1791" t="s">
        <v>4401</v>
      </c>
      <c r="K1791" t="s">
        <v>67</v>
      </c>
      <c r="L1791" t="s">
        <v>4402</v>
      </c>
      <c r="M1791" t="s">
        <v>4403</v>
      </c>
      <c r="N1791" t="s">
        <v>67</v>
      </c>
      <c r="O1791" t="s">
        <v>4404</v>
      </c>
      <c r="P1791" t="s">
        <v>4405</v>
      </c>
      <c r="Q1791" t="s">
        <v>67</v>
      </c>
      <c r="R1791" t="s">
        <v>67</v>
      </c>
      <c r="S1791" s="5"/>
      <c r="T1791" t="s">
        <v>72</v>
      </c>
      <c r="U1791" t="s">
        <v>1031</v>
      </c>
      <c r="V1791" t="s">
        <v>74</v>
      </c>
      <c r="W1791" t="s">
        <v>1031</v>
      </c>
      <c r="AE1791" s="2"/>
      <c r="AF1791" s="2"/>
      <c r="AG1791" s="2"/>
      <c r="AH1791" s="2"/>
      <c r="AK1791" t="s">
        <v>4406</v>
      </c>
      <c r="AL1791" s="2">
        <v>4140630</v>
      </c>
      <c r="AM1791" s="2">
        <v>0</v>
      </c>
      <c r="AN1791" s="2"/>
      <c r="AO1791" s="2">
        <v>0</v>
      </c>
      <c r="AP1791" s="2">
        <v>4140630</v>
      </c>
      <c r="AQ1791" s="2">
        <v>0</v>
      </c>
      <c r="AR1791" s="2">
        <v>0</v>
      </c>
      <c r="AS1791" s="2">
        <v>0</v>
      </c>
      <c r="AT1791" s="2">
        <v>0</v>
      </c>
      <c r="AU1791" s="2">
        <v>0</v>
      </c>
      <c r="AV1791" s="2">
        <v>0</v>
      </c>
      <c r="AW1791" s="4"/>
      <c r="AX1791" t="s">
        <v>75</v>
      </c>
      <c r="AZ1791" t="s">
        <v>4407</v>
      </c>
      <c r="BA1791" t="s">
        <v>67</v>
      </c>
      <c r="BB1791" t="s">
        <v>4408</v>
      </c>
      <c r="BC1791" t="s">
        <v>3483</v>
      </c>
      <c r="BD1791" t="s">
        <v>79</v>
      </c>
      <c r="BE1791" t="s">
        <v>168</v>
      </c>
      <c r="BF1791" s="5">
        <v>46388</v>
      </c>
      <c r="BG1791" t="s">
        <v>67</v>
      </c>
      <c r="BH1791">
        <v>2</v>
      </c>
      <c r="BI1791" s="6">
        <v>140000</v>
      </c>
      <c r="BJ1791" s="6">
        <v>0</v>
      </c>
      <c r="BK1791" s="6">
        <v>50000</v>
      </c>
      <c r="BL1791" s="6">
        <v>90000</v>
      </c>
      <c r="BM1791" s="2">
        <v>180000</v>
      </c>
      <c r="BN1791">
        <f>InvoiceTable[[#This Row],[Giảm giá]]*InvoiceTable[[#This Row],[Số lượng]]</f>
        <v>100000</v>
      </c>
    </row>
    <row r="1792" spans="1:66" x14ac:dyDescent="0.25">
      <c r="A1792" t="s">
        <v>65</v>
      </c>
      <c r="B1792" t="s">
        <v>4400</v>
      </c>
      <c r="F1792" s="2"/>
      <c r="G1792" s="3">
        <v>45997.560072569446</v>
      </c>
      <c r="H1792" s="3">
        <v>45997.561979247686</v>
      </c>
      <c r="I1792" s="4" t="s">
        <v>96</v>
      </c>
      <c r="J1792" t="s">
        <v>4401</v>
      </c>
      <c r="K1792" t="s">
        <v>67</v>
      </c>
      <c r="L1792" t="s">
        <v>4402</v>
      </c>
      <c r="M1792" t="s">
        <v>4403</v>
      </c>
      <c r="N1792" t="s">
        <v>67</v>
      </c>
      <c r="O1792" t="s">
        <v>4404</v>
      </c>
      <c r="P1792" t="s">
        <v>4405</v>
      </c>
      <c r="Q1792" t="s">
        <v>67</v>
      </c>
      <c r="R1792" t="s">
        <v>67</v>
      </c>
      <c r="S1792" s="5"/>
      <c r="T1792" t="s">
        <v>72</v>
      </c>
      <c r="U1792" t="s">
        <v>1031</v>
      </c>
      <c r="V1792" t="s">
        <v>74</v>
      </c>
      <c r="W1792" t="s">
        <v>1031</v>
      </c>
      <c r="AE1792" s="2"/>
      <c r="AF1792" s="2"/>
      <c r="AG1792" s="2"/>
      <c r="AH1792" s="2"/>
      <c r="AK1792" t="s">
        <v>4406</v>
      </c>
      <c r="AL1792" s="2">
        <v>4140630</v>
      </c>
      <c r="AM1792" s="2">
        <v>0</v>
      </c>
      <c r="AN1792" s="2"/>
      <c r="AO1792" s="2">
        <v>0</v>
      </c>
      <c r="AP1792" s="2">
        <v>4140630</v>
      </c>
      <c r="AQ1792" s="2">
        <v>0</v>
      </c>
      <c r="AR1792" s="2">
        <v>0</v>
      </c>
      <c r="AS1792" s="2">
        <v>0</v>
      </c>
      <c r="AT1792" s="2">
        <v>0</v>
      </c>
      <c r="AU1792" s="2">
        <v>0</v>
      </c>
      <c r="AV1792" s="2">
        <v>0</v>
      </c>
      <c r="AW1792" s="4"/>
      <c r="AX1792" t="s">
        <v>75</v>
      </c>
      <c r="AZ1792" t="s">
        <v>4409</v>
      </c>
      <c r="BA1792" t="s">
        <v>67</v>
      </c>
      <c r="BB1792" t="s">
        <v>4410</v>
      </c>
      <c r="BC1792" t="s">
        <v>4411</v>
      </c>
      <c r="BD1792" t="s">
        <v>79</v>
      </c>
      <c r="BE1792" t="s">
        <v>3794</v>
      </c>
      <c r="BF1792" s="5">
        <v>47088</v>
      </c>
      <c r="BG1792" t="s">
        <v>67</v>
      </c>
      <c r="BH1792">
        <v>1</v>
      </c>
      <c r="BI1792" s="6">
        <v>435000</v>
      </c>
      <c r="BJ1792" s="6">
        <v>35</v>
      </c>
      <c r="BK1792" s="6">
        <v>152250</v>
      </c>
      <c r="BL1792" s="6">
        <v>282750</v>
      </c>
      <c r="BM1792" s="2">
        <v>282750</v>
      </c>
      <c r="BN1792">
        <f>InvoiceTable[[#This Row],[Giảm giá]]*InvoiceTable[[#This Row],[Số lượng]]</f>
        <v>152250</v>
      </c>
    </row>
    <row r="1793" spans="1:66" x14ac:dyDescent="0.25">
      <c r="A1793" t="s">
        <v>65</v>
      </c>
      <c r="B1793" t="s">
        <v>4400</v>
      </c>
      <c r="F1793" s="2"/>
      <c r="G1793" s="3">
        <v>45997.560072569446</v>
      </c>
      <c r="H1793" s="3">
        <v>45997.561979247686</v>
      </c>
      <c r="I1793" s="4" t="s">
        <v>96</v>
      </c>
      <c r="J1793" t="s">
        <v>4401</v>
      </c>
      <c r="K1793" t="s">
        <v>67</v>
      </c>
      <c r="L1793" t="s">
        <v>4402</v>
      </c>
      <c r="M1793" t="s">
        <v>4403</v>
      </c>
      <c r="N1793" t="s">
        <v>67</v>
      </c>
      <c r="O1793" t="s">
        <v>4404</v>
      </c>
      <c r="P1793" t="s">
        <v>4405</v>
      </c>
      <c r="Q1793" t="s">
        <v>67</v>
      </c>
      <c r="R1793" t="s">
        <v>67</v>
      </c>
      <c r="S1793" s="5"/>
      <c r="T1793" t="s">
        <v>72</v>
      </c>
      <c r="U1793" t="s">
        <v>1031</v>
      </c>
      <c r="V1793" t="s">
        <v>74</v>
      </c>
      <c r="W1793" t="s">
        <v>1031</v>
      </c>
      <c r="AE1793" s="2"/>
      <c r="AF1793" s="2"/>
      <c r="AG1793" s="2"/>
      <c r="AH1793" s="2"/>
      <c r="AK1793" t="s">
        <v>4406</v>
      </c>
      <c r="AL1793" s="2">
        <v>4140630</v>
      </c>
      <c r="AM1793" s="2">
        <v>0</v>
      </c>
      <c r="AN1793" s="2"/>
      <c r="AO1793" s="2">
        <v>0</v>
      </c>
      <c r="AP1793" s="2">
        <v>4140630</v>
      </c>
      <c r="AQ1793" s="2">
        <v>0</v>
      </c>
      <c r="AR1793" s="2">
        <v>0</v>
      </c>
      <c r="AS1793" s="2">
        <v>0</v>
      </c>
      <c r="AT1793" s="2">
        <v>0</v>
      </c>
      <c r="AU1793" s="2">
        <v>0</v>
      </c>
      <c r="AV1793" s="2">
        <v>0</v>
      </c>
      <c r="AW1793" s="4"/>
      <c r="AX1793" t="s">
        <v>75</v>
      </c>
      <c r="AZ1793" t="s">
        <v>4412</v>
      </c>
      <c r="BA1793" t="s">
        <v>67</v>
      </c>
      <c r="BB1793" t="s">
        <v>4413</v>
      </c>
      <c r="BC1793" t="s">
        <v>770</v>
      </c>
      <c r="BD1793" t="s">
        <v>79</v>
      </c>
      <c r="BE1793" t="s">
        <v>317</v>
      </c>
      <c r="BF1793" s="5">
        <v>46935</v>
      </c>
      <c r="BG1793" t="s">
        <v>67</v>
      </c>
      <c r="BH1793">
        <v>1</v>
      </c>
      <c r="BI1793" s="6">
        <v>790000</v>
      </c>
      <c r="BJ1793" s="6">
        <v>40</v>
      </c>
      <c r="BK1793" s="6">
        <v>316000</v>
      </c>
      <c r="BL1793" s="6">
        <v>474000</v>
      </c>
      <c r="BM1793" s="2">
        <v>474000</v>
      </c>
      <c r="BN1793">
        <f>InvoiceTable[[#This Row],[Giảm giá]]*InvoiceTable[[#This Row],[Số lượng]]</f>
        <v>316000</v>
      </c>
    </row>
    <row r="1794" spans="1:66" x14ac:dyDescent="0.25">
      <c r="A1794" t="s">
        <v>65</v>
      </c>
      <c r="B1794" t="s">
        <v>4400</v>
      </c>
      <c r="F1794" s="2"/>
      <c r="G1794" s="3">
        <v>45997.560072569446</v>
      </c>
      <c r="H1794" s="3">
        <v>45997.561979247686</v>
      </c>
      <c r="I1794" s="4" t="s">
        <v>96</v>
      </c>
      <c r="J1794" t="s">
        <v>4401</v>
      </c>
      <c r="K1794" t="s">
        <v>67</v>
      </c>
      <c r="L1794" t="s">
        <v>4402</v>
      </c>
      <c r="M1794" t="s">
        <v>4403</v>
      </c>
      <c r="N1794" t="s">
        <v>67</v>
      </c>
      <c r="O1794" t="s">
        <v>4404</v>
      </c>
      <c r="P1794" t="s">
        <v>4405</v>
      </c>
      <c r="Q1794" t="s">
        <v>67</v>
      </c>
      <c r="R1794" t="s">
        <v>67</v>
      </c>
      <c r="S1794" s="5"/>
      <c r="T1794" t="s">
        <v>72</v>
      </c>
      <c r="U1794" t="s">
        <v>1031</v>
      </c>
      <c r="V1794" t="s">
        <v>74</v>
      </c>
      <c r="W1794" t="s">
        <v>1031</v>
      </c>
      <c r="AE1794" s="2"/>
      <c r="AF1794" s="2"/>
      <c r="AG1794" s="2"/>
      <c r="AH1794" s="2"/>
      <c r="AK1794" t="s">
        <v>4406</v>
      </c>
      <c r="AL1794" s="2">
        <v>4140630</v>
      </c>
      <c r="AM1794" s="2">
        <v>0</v>
      </c>
      <c r="AN1794" s="2"/>
      <c r="AO1794" s="2">
        <v>0</v>
      </c>
      <c r="AP1794" s="2">
        <v>4140630</v>
      </c>
      <c r="AQ1794" s="2">
        <v>0</v>
      </c>
      <c r="AR1794" s="2">
        <v>0</v>
      </c>
      <c r="AS1794" s="2">
        <v>0</v>
      </c>
      <c r="AT1794" s="2">
        <v>0</v>
      </c>
      <c r="AU1794" s="2">
        <v>0</v>
      </c>
      <c r="AV1794" s="2">
        <v>0</v>
      </c>
      <c r="AW1794" s="4"/>
      <c r="AX1794" t="s">
        <v>75</v>
      </c>
      <c r="AZ1794" t="s">
        <v>4350</v>
      </c>
      <c r="BA1794" t="s">
        <v>67</v>
      </c>
      <c r="BB1794" t="s">
        <v>4351</v>
      </c>
      <c r="BD1794" t="s">
        <v>79</v>
      </c>
      <c r="BE1794" t="s">
        <v>348</v>
      </c>
      <c r="BF1794" s="5">
        <v>47484</v>
      </c>
      <c r="BG1794" t="s">
        <v>67</v>
      </c>
      <c r="BH1794">
        <v>1</v>
      </c>
      <c r="BI1794" s="6">
        <v>500000</v>
      </c>
      <c r="BJ1794" s="6">
        <v>0</v>
      </c>
      <c r="BK1794" s="6">
        <v>0</v>
      </c>
      <c r="BL1794" s="6">
        <v>500000</v>
      </c>
      <c r="BM1794" s="2">
        <v>500000</v>
      </c>
      <c r="BN1794">
        <f>InvoiceTable[[#This Row],[Giảm giá]]*InvoiceTable[[#This Row],[Số lượng]]</f>
        <v>0</v>
      </c>
    </row>
    <row r="1795" spans="1:66" x14ac:dyDescent="0.25">
      <c r="A1795" t="s">
        <v>65</v>
      </c>
      <c r="B1795" t="s">
        <v>4400</v>
      </c>
      <c r="F1795" s="2"/>
      <c r="G1795" s="3">
        <v>45997.560072569446</v>
      </c>
      <c r="H1795" s="3">
        <v>45997.561979247686</v>
      </c>
      <c r="I1795" s="4" t="s">
        <v>96</v>
      </c>
      <c r="J1795" t="s">
        <v>4401</v>
      </c>
      <c r="K1795" t="s">
        <v>67</v>
      </c>
      <c r="L1795" t="s">
        <v>4402</v>
      </c>
      <c r="M1795" t="s">
        <v>4403</v>
      </c>
      <c r="N1795" t="s">
        <v>67</v>
      </c>
      <c r="O1795" t="s">
        <v>4404</v>
      </c>
      <c r="P1795" t="s">
        <v>4405</v>
      </c>
      <c r="Q1795" t="s">
        <v>67</v>
      </c>
      <c r="R1795" t="s">
        <v>67</v>
      </c>
      <c r="S1795" s="5"/>
      <c r="T1795" t="s">
        <v>72</v>
      </c>
      <c r="U1795" t="s">
        <v>1031</v>
      </c>
      <c r="V1795" t="s">
        <v>74</v>
      </c>
      <c r="W1795" t="s">
        <v>1031</v>
      </c>
      <c r="AE1795" s="2"/>
      <c r="AF1795" s="2"/>
      <c r="AG1795" s="2"/>
      <c r="AH1795" s="2"/>
      <c r="AK1795" t="s">
        <v>4406</v>
      </c>
      <c r="AL1795" s="2">
        <v>4140630</v>
      </c>
      <c r="AM1795" s="2">
        <v>0</v>
      </c>
      <c r="AN1795" s="2"/>
      <c r="AO1795" s="2">
        <v>0</v>
      </c>
      <c r="AP1795" s="2">
        <v>4140630</v>
      </c>
      <c r="AQ1795" s="2">
        <v>0</v>
      </c>
      <c r="AR1795" s="2">
        <v>0</v>
      </c>
      <c r="AS1795" s="2">
        <v>0</v>
      </c>
      <c r="AT1795" s="2">
        <v>0</v>
      </c>
      <c r="AU1795" s="2">
        <v>0</v>
      </c>
      <c r="AV1795" s="2">
        <v>0</v>
      </c>
      <c r="AW1795" s="4"/>
      <c r="AX1795" t="s">
        <v>75</v>
      </c>
      <c r="AZ1795" t="s">
        <v>218</v>
      </c>
      <c r="BA1795" t="s">
        <v>67</v>
      </c>
      <c r="BB1795" t="s">
        <v>219</v>
      </c>
      <c r="BC1795" t="s">
        <v>204</v>
      </c>
      <c r="BD1795" t="s">
        <v>79</v>
      </c>
      <c r="BE1795" t="s">
        <v>220</v>
      </c>
      <c r="BF1795" s="5">
        <v>47178</v>
      </c>
      <c r="BG1795" t="s">
        <v>67</v>
      </c>
      <c r="BH1795">
        <v>1</v>
      </c>
      <c r="BI1795" s="6">
        <v>760000</v>
      </c>
      <c r="BJ1795" s="6">
        <v>35</v>
      </c>
      <c r="BK1795" s="6">
        <v>266000</v>
      </c>
      <c r="BL1795" s="6">
        <v>494000</v>
      </c>
      <c r="BM1795" s="2">
        <v>494000</v>
      </c>
      <c r="BN1795">
        <f>InvoiceTable[[#This Row],[Giảm giá]]*InvoiceTable[[#This Row],[Số lượng]]</f>
        <v>266000</v>
      </c>
    </row>
    <row r="1796" spans="1:66" x14ac:dyDescent="0.25">
      <c r="A1796" t="s">
        <v>65</v>
      </c>
      <c r="B1796" t="s">
        <v>4400</v>
      </c>
      <c r="F1796" s="2"/>
      <c r="G1796" s="3">
        <v>45997.560072569446</v>
      </c>
      <c r="H1796" s="3">
        <v>45997.561979247686</v>
      </c>
      <c r="I1796" s="4" t="s">
        <v>96</v>
      </c>
      <c r="J1796" t="s">
        <v>4401</v>
      </c>
      <c r="K1796" t="s">
        <v>67</v>
      </c>
      <c r="L1796" t="s">
        <v>4402</v>
      </c>
      <c r="M1796" t="s">
        <v>4403</v>
      </c>
      <c r="N1796" t="s">
        <v>67</v>
      </c>
      <c r="O1796" t="s">
        <v>4404</v>
      </c>
      <c r="P1796" t="s">
        <v>4405</v>
      </c>
      <c r="Q1796" t="s">
        <v>67</v>
      </c>
      <c r="R1796" t="s">
        <v>67</v>
      </c>
      <c r="S1796" s="5"/>
      <c r="T1796" t="s">
        <v>72</v>
      </c>
      <c r="U1796" t="s">
        <v>1031</v>
      </c>
      <c r="V1796" t="s">
        <v>74</v>
      </c>
      <c r="W1796" t="s">
        <v>1031</v>
      </c>
      <c r="AE1796" s="2"/>
      <c r="AF1796" s="2"/>
      <c r="AG1796" s="2"/>
      <c r="AH1796" s="2"/>
      <c r="AK1796" t="s">
        <v>4406</v>
      </c>
      <c r="AL1796" s="2">
        <v>4140630</v>
      </c>
      <c r="AM1796" s="2">
        <v>0</v>
      </c>
      <c r="AN1796" s="2"/>
      <c r="AO1796" s="2">
        <v>0</v>
      </c>
      <c r="AP1796" s="2">
        <v>4140630</v>
      </c>
      <c r="AQ1796" s="2">
        <v>0</v>
      </c>
      <c r="AR1796" s="2">
        <v>0</v>
      </c>
      <c r="AS1796" s="2">
        <v>0</v>
      </c>
      <c r="AT1796" s="2">
        <v>0</v>
      </c>
      <c r="AU1796" s="2">
        <v>0</v>
      </c>
      <c r="AV1796" s="2">
        <v>0</v>
      </c>
      <c r="AW1796" s="4"/>
      <c r="AX1796" t="s">
        <v>75</v>
      </c>
      <c r="AZ1796" t="s">
        <v>3248</v>
      </c>
      <c r="BA1796" t="s">
        <v>67</v>
      </c>
      <c r="BB1796" t="s">
        <v>3249</v>
      </c>
      <c r="BC1796" t="s">
        <v>721</v>
      </c>
      <c r="BD1796" t="s">
        <v>79</v>
      </c>
      <c r="BE1796" t="s">
        <v>216</v>
      </c>
      <c r="BF1796" s="5">
        <v>46784</v>
      </c>
      <c r="BG1796" t="s">
        <v>67</v>
      </c>
      <c r="BH1796">
        <v>1</v>
      </c>
      <c r="BI1796" s="6">
        <v>980000</v>
      </c>
      <c r="BJ1796" s="6">
        <v>45</v>
      </c>
      <c r="BK1796" s="6">
        <v>441000</v>
      </c>
      <c r="BL1796" s="6">
        <v>539000</v>
      </c>
      <c r="BM1796" s="2">
        <v>539000</v>
      </c>
      <c r="BN1796">
        <f>InvoiceTable[[#This Row],[Giảm giá]]*InvoiceTable[[#This Row],[Số lượng]]</f>
        <v>441000</v>
      </c>
    </row>
    <row r="1797" spans="1:66" x14ac:dyDescent="0.25">
      <c r="A1797" t="s">
        <v>65</v>
      </c>
      <c r="B1797" t="s">
        <v>4400</v>
      </c>
      <c r="F1797" s="2"/>
      <c r="G1797" s="3">
        <v>45997.560072569446</v>
      </c>
      <c r="H1797" s="3">
        <v>45997.561979247686</v>
      </c>
      <c r="I1797" s="4" t="s">
        <v>96</v>
      </c>
      <c r="J1797" t="s">
        <v>4401</v>
      </c>
      <c r="K1797" t="s">
        <v>67</v>
      </c>
      <c r="L1797" t="s">
        <v>4402</v>
      </c>
      <c r="M1797" t="s">
        <v>4403</v>
      </c>
      <c r="N1797" t="s">
        <v>67</v>
      </c>
      <c r="O1797" t="s">
        <v>4404</v>
      </c>
      <c r="P1797" t="s">
        <v>4405</v>
      </c>
      <c r="Q1797" t="s">
        <v>67</v>
      </c>
      <c r="R1797" t="s">
        <v>67</v>
      </c>
      <c r="S1797" s="5"/>
      <c r="T1797" t="s">
        <v>72</v>
      </c>
      <c r="U1797" t="s">
        <v>1031</v>
      </c>
      <c r="V1797" t="s">
        <v>74</v>
      </c>
      <c r="W1797" t="s">
        <v>1031</v>
      </c>
      <c r="AE1797" s="2"/>
      <c r="AF1797" s="2"/>
      <c r="AG1797" s="2"/>
      <c r="AH1797" s="2"/>
      <c r="AK1797" t="s">
        <v>4406</v>
      </c>
      <c r="AL1797" s="2">
        <v>4140630</v>
      </c>
      <c r="AM1797" s="2">
        <v>0</v>
      </c>
      <c r="AN1797" s="2"/>
      <c r="AO1797" s="2">
        <v>0</v>
      </c>
      <c r="AP1797" s="2">
        <v>4140630</v>
      </c>
      <c r="AQ1797" s="2">
        <v>0</v>
      </c>
      <c r="AR1797" s="2">
        <v>0</v>
      </c>
      <c r="AS1797" s="2">
        <v>0</v>
      </c>
      <c r="AT1797" s="2">
        <v>0</v>
      </c>
      <c r="AU1797" s="2">
        <v>0</v>
      </c>
      <c r="AV1797" s="2">
        <v>0</v>
      </c>
      <c r="AW1797" s="4"/>
      <c r="AX1797" t="s">
        <v>75</v>
      </c>
      <c r="AZ1797" t="s">
        <v>1558</v>
      </c>
      <c r="BA1797" t="s">
        <v>67</v>
      </c>
      <c r="BB1797" t="s">
        <v>1559</v>
      </c>
      <c r="BC1797" t="s">
        <v>154</v>
      </c>
      <c r="BD1797" t="s">
        <v>79</v>
      </c>
      <c r="BE1797" t="s">
        <v>117</v>
      </c>
      <c r="BF1797" s="5">
        <v>46569</v>
      </c>
      <c r="BG1797" t="s">
        <v>67</v>
      </c>
      <c r="BH1797">
        <v>2</v>
      </c>
      <c r="BI1797" s="6">
        <v>750000</v>
      </c>
      <c r="BJ1797" s="6">
        <v>40</v>
      </c>
      <c r="BK1797" s="6">
        <v>300000</v>
      </c>
      <c r="BL1797" s="6">
        <v>450000</v>
      </c>
      <c r="BM1797" s="2">
        <v>900000</v>
      </c>
      <c r="BN1797">
        <f>InvoiceTable[[#This Row],[Giảm giá]]*InvoiceTable[[#This Row],[Số lượng]]</f>
        <v>600000</v>
      </c>
    </row>
    <row r="1798" spans="1:66" x14ac:dyDescent="0.25">
      <c r="A1798" t="s">
        <v>65</v>
      </c>
      <c r="B1798" t="s">
        <v>4414</v>
      </c>
      <c r="F1798" s="2"/>
      <c r="G1798" s="3">
        <v>45997.55961045139</v>
      </c>
      <c r="H1798" s="3">
        <v>45997.559610613425</v>
      </c>
      <c r="I1798" s="4" t="s">
        <v>67</v>
      </c>
      <c r="J1798" t="s">
        <v>4415</v>
      </c>
      <c r="K1798" t="s">
        <v>67</v>
      </c>
      <c r="L1798" t="s">
        <v>3557</v>
      </c>
      <c r="M1798" t="s">
        <v>3558</v>
      </c>
      <c r="N1798" t="s">
        <v>67</v>
      </c>
      <c r="O1798" t="s">
        <v>3559</v>
      </c>
      <c r="S1798" s="5">
        <v>37988</v>
      </c>
      <c r="T1798" t="s">
        <v>72</v>
      </c>
      <c r="U1798" t="s">
        <v>73</v>
      </c>
      <c r="V1798" t="s">
        <v>74</v>
      </c>
      <c r="W1798" t="s">
        <v>87</v>
      </c>
      <c r="AE1798" s="2"/>
      <c r="AF1798" s="2"/>
      <c r="AG1798" s="2"/>
      <c r="AH1798" s="2"/>
      <c r="AK1798" t="s">
        <v>67</v>
      </c>
      <c r="AL1798" s="2">
        <v>936000</v>
      </c>
      <c r="AM1798" s="2">
        <v>0</v>
      </c>
      <c r="AN1798" s="2"/>
      <c r="AO1798" s="2">
        <v>0</v>
      </c>
      <c r="AP1798" s="2">
        <v>936000</v>
      </c>
      <c r="AQ1798" s="2">
        <v>936000</v>
      </c>
      <c r="AR1798" s="2">
        <v>936000</v>
      </c>
      <c r="AS1798" s="2">
        <v>0</v>
      </c>
      <c r="AT1798" s="2">
        <v>0</v>
      </c>
      <c r="AU1798" s="2">
        <v>0</v>
      </c>
      <c r="AV1798" s="2">
        <v>0</v>
      </c>
      <c r="AW1798" s="4"/>
      <c r="AX1798" t="s">
        <v>75</v>
      </c>
      <c r="AZ1798" t="s">
        <v>3881</v>
      </c>
      <c r="BA1798" t="s">
        <v>67</v>
      </c>
      <c r="BB1798" t="s">
        <v>3882</v>
      </c>
      <c r="BC1798" t="s">
        <v>1219</v>
      </c>
      <c r="BD1798" t="s">
        <v>79</v>
      </c>
      <c r="BE1798" t="s">
        <v>177</v>
      </c>
      <c r="BF1798" s="5">
        <v>47027</v>
      </c>
      <c r="BG1798" t="s">
        <v>67</v>
      </c>
      <c r="BH1798">
        <v>1</v>
      </c>
      <c r="BI1798" s="6">
        <v>680000</v>
      </c>
      <c r="BJ1798" s="6">
        <v>40</v>
      </c>
      <c r="BK1798" s="6">
        <v>272000</v>
      </c>
      <c r="BL1798" s="6">
        <v>408000</v>
      </c>
      <c r="BM1798" s="2">
        <v>408000</v>
      </c>
      <c r="BN1798">
        <f>InvoiceTable[[#This Row],[Giảm giá]]*InvoiceTable[[#This Row],[Số lượng]]</f>
        <v>272000</v>
      </c>
    </row>
    <row r="1799" spans="1:66" x14ac:dyDescent="0.25">
      <c r="A1799" t="s">
        <v>65</v>
      </c>
      <c r="B1799" t="s">
        <v>4414</v>
      </c>
      <c r="F1799" s="2"/>
      <c r="G1799" s="3">
        <v>45997.55961045139</v>
      </c>
      <c r="H1799" s="3">
        <v>45997.559610613425</v>
      </c>
      <c r="I1799" s="4" t="s">
        <v>67</v>
      </c>
      <c r="J1799" t="s">
        <v>4415</v>
      </c>
      <c r="K1799" t="s">
        <v>67</v>
      </c>
      <c r="L1799" t="s">
        <v>3557</v>
      </c>
      <c r="M1799" t="s">
        <v>3558</v>
      </c>
      <c r="N1799" t="s">
        <v>67</v>
      </c>
      <c r="O1799" t="s">
        <v>3559</v>
      </c>
      <c r="S1799" s="5">
        <v>37988</v>
      </c>
      <c r="T1799" t="s">
        <v>72</v>
      </c>
      <c r="U1799" t="s">
        <v>73</v>
      </c>
      <c r="V1799" t="s">
        <v>74</v>
      </c>
      <c r="W1799" t="s">
        <v>87</v>
      </c>
      <c r="AE1799" s="2"/>
      <c r="AF1799" s="2"/>
      <c r="AG1799" s="2"/>
      <c r="AH1799" s="2"/>
      <c r="AK1799" t="s">
        <v>67</v>
      </c>
      <c r="AL1799" s="2">
        <v>936000</v>
      </c>
      <c r="AM1799" s="2">
        <v>0</v>
      </c>
      <c r="AN1799" s="2"/>
      <c r="AO1799" s="2">
        <v>0</v>
      </c>
      <c r="AP1799" s="2">
        <v>936000</v>
      </c>
      <c r="AQ1799" s="2">
        <v>936000</v>
      </c>
      <c r="AR1799" s="2">
        <v>936000</v>
      </c>
      <c r="AS1799" s="2">
        <v>0</v>
      </c>
      <c r="AT1799" s="2">
        <v>0</v>
      </c>
      <c r="AU1799" s="2">
        <v>0</v>
      </c>
      <c r="AV1799" s="2">
        <v>0</v>
      </c>
      <c r="AW1799" s="4"/>
      <c r="AX1799" t="s">
        <v>75</v>
      </c>
      <c r="AZ1799" t="s">
        <v>4416</v>
      </c>
      <c r="BA1799" t="s">
        <v>67</v>
      </c>
      <c r="BB1799" t="s">
        <v>4417</v>
      </c>
      <c r="BC1799" t="s">
        <v>1219</v>
      </c>
      <c r="BD1799" t="s">
        <v>79</v>
      </c>
      <c r="BE1799" t="s">
        <v>177</v>
      </c>
      <c r="BF1799" s="5">
        <v>47027</v>
      </c>
      <c r="BG1799" t="s">
        <v>67</v>
      </c>
      <c r="BH1799">
        <v>1</v>
      </c>
      <c r="BI1799" s="6">
        <v>880000</v>
      </c>
      <c r="BJ1799" s="6">
        <v>40</v>
      </c>
      <c r="BK1799" s="6">
        <v>352000</v>
      </c>
      <c r="BL1799" s="6">
        <v>528000</v>
      </c>
      <c r="BM1799" s="2">
        <v>528000</v>
      </c>
      <c r="BN1799">
        <f>InvoiceTable[[#This Row],[Giảm giá]]*InvoiceTable[[#This Row],[Số lượng]]</f>
        <v>352000</v>
      </c>
    </row>
    <row r="1800" spans="1:66" x14ac:dyDescent="0.25">
      <c r="A1800" t="s">
        <v>65</v>
      </c>
      <c r="B1800" t="s">
        <v>4418</v>
      </c>
      <c r="F1800" s="2"/>
      <c r="G1800" s="3">
        <v>45997.558847719905</v>
      </c>
      <c r="H1800" s="3">
        <v>45997.55884795139</v>
      </c>
      <c r="I1800" s="4" t="s">
        <v>67</v>
      </c>
      <c r="J1800" t="s">
        <v>67</v>
      </c>
      <c r="K1800" t="s">
        <v>67</v>
      </c>
      <c r="L1800" t="s">
        <v>2097</v>
      </c>
      <c r="M1800" t="s">
        <v>2098</v>
      </c>
      <c r="N1800" t="s">
        <v>67</v>
      </c>
      <c r="Q1800" t="s">
        <v>67</v>
      </c>
      <c r="R1800" t="s">
        <v>67</v>
      </c>
      <c r="S1800" s="5"/>
      <c r="T1800" t="s">
        <v>72</v>
      </c>
      <c r="U1800" t="s">
        <v>87</v>
      </c>
      <c r="V1800" t="s">
        <v>74</v>
      </c>
      <c r="W1800" t="s">
        <v>87</v>
      </c>
      <c r="AE1800" s="2"/>
      <c r="AF1800" s="2"/>
      <c r="AG1800" s="2"/>
      <c r="AH1800" s="2"/>
      <c r="AL1800" s="2">
        <v>379600</v>
      </c>
      <c r="AM1800" s="2">
        <v>0</v>
      </c>
      <c r="AN1800" s="2"/>
      <c r="AO1800" s="2">
        <v>0</v>
      </c>
      <c r="AP1800" s="2">
        <v>379600</v>
      </c>
      <c r="AQ1800" s="2">
        <v>0</v>
      </c>
      <c r="AR1800" s="2">
        <v>0</v>
      </c>
      <c r="AS1800" s="2">
        <v>0</v>
      </c>
      <c r="AT1800" s="2">
        <v>0</v>
      </c>
      <c r="AU1800" s="2">
        <v>0</v>
      </c>
      <c r="AV1800" s="2">
        <v>0</v>
      </c>
      <c r="AW1800" s="4"/>
      <c r="AX1800" t="s">
        <v>75</v>
      </c>
      <c r="AZ1800" t="s">
        <v>1520</v>
      </c>
      <c r="BA1800" t="s">
        <v>67</v>
      </c>
      <c r="BB1800" t="s">
        <v>1521</v>
      </c>
      <c r="BC1800" t="s">
        <v>93</v>
      </c>
      <c r="BD1800" t="s">
        <v>79</v>
      </c>
      <c r="BE1800" t="s">
        <v>131</v>
      </c>
      <c r="BF1800" s="5">
        <v>46874</v>
      </c>
      <c r="BH1800">
        <v>1</v>
      </c>
      <c r="BI1800" s="6">
        <v>584000</v>
      </c>
      <c r="BJ1800" s="6">
        <v>35</v>
      </c>
      <c r="BK1800" s="6">
        <v>204400</v>
      </c>
      <c r="BL1800" s="6">
        <v>379600</v>
      </c>
      <c r="BM1800" s="2">
        <v>379600</v>
      </c>
      <c r="BN1800">
        <f>InvoiceTable[[#This Row],[Giảm giá]]*InvoiceTable[[#This Row],[Số lượng]]</f>
        <v>204400</v>
      </c>
    </row>
    <row r="1801" spans="1:66" x14ac:dyDescent="0.25">
      <c r="A1801" t="s">
        <v>65</v>
      </c>
      <c r="B1801" t="s">
        <v>4419</v>
      </c>
      <c r="F1801" s="2"/>
      <c r="G1801" s="3">
        <v>45997.549271261574</v>
      </c>
      <c r="H1801" s="3">
        <v>45997.549271331016</v>
      </c>
      <c r="I1801" s="4" t="s">
        <v>67</v>
      </c>
      <c r="J1801" t="s">
        <v>4420</v>
      </c>
      <c r="K1801" t="s">
        <v>67</v>
      </c>
      <c r="L1801" t="s">
        <v>381</v>
      </c>
      <c r="M1801" t="s">
        <v>382</v>
      </c>
      <c r="N1801" t="s">
        <v>383</v>
      </c>
      <c r="O1801" t="s">
        <v>384</v>
      </c>
      <c r="P1801" t="s">
        <v>385</v>
      </c>
      <c r="S1801" s="5"/>
      <c r="T1801" t="s">
        <v>72</v>
      </c>
      <c r="U1801" t="s">
        <v>73</v>
      </c>
      <c r="V1801" t="s">
        <v>74</v>
      </c>
      <c r="W1801" t="s">
        <v>87</v>
      </c>
      <c r="AE1801" s="2"/>
      <c r="AF1801" s="2"/>
      <c r="AG1801" s="2"/>
      <c r="AH1801" s="2"/>
      <c r="AL1801" s="2">
        <v>2394000</v>
      </c>
      <c r="AM1801" s="2">
        <v>0</v>
      </c>
      <c r="AN1801" s="2"/>
      <c r="AO1801" s="2">
        <v>0</v>
      </c>
      <c r="AP1801" s="2">
        <v>2394000</v>
      </c>
      <c r="AQ1801" s="2">
        <v>2394000</v>
      </c>
      <c r="AR1801" s="2">
        <v>2394000</v>
      </c>
      <c r="AS1801" s="2">
        <v>0</v>
      </c>
      <c r="AT1801" s="2">
        <v>0</v>
      </c>
      <c r="AU1801" s="2">
        <v>0</v>
      </c>
      <c r="AV1801" s="2">
        <v>0</v>
      </c>
      <c r="AW1801" s="4"/>
      <c r="AX1801" t="s">
        <v>75</v>
      </c>
      <c r="AZ1801" t="s">
        <v>1642</v>
      </c>
      <c r="BA1801" t="s">
        <v>67</v>
      </c>
      <c r="BB1801" t="s">
        <v>1643</v>
      </c>
      <c r="BC1801" t="s">
        <v>391</v>
      </c>
      <c r="BD1801" t="s">
        <v>79</v>
      </c>
      <c r="BE1801" t="s">
        <v>198</v>
      </c>
      <c r="BF1801" s="5">
        <v>46753</v>
      </c>
      <c r="BH1801">
        <v>1</v>
      </c>
      <c r="BI1801" s="6">
        <v>1400000</v>
      </c>
      <c r="BJ1801" s="6">
        <v>43</v>
      </c>
      <c r="BK1801" s="6">
        <v>602000</v>
      </c>
      <c r="BL1801" s="6">
        <v>798000</v>
      </c>
      <c r="BM1801" s="2">
        <v>798000</v>
      </c>
      <c r="BN1801">
        <f>InvoiceTable[[#This Row],[Giảm giá]]*InvoiceTable[[#This Row],[Số lượng]]</f>
        <v>602000</v>
      </c>
    </row>
    <row r="1802" spans="1:66" x14ac:dyDescent="0.25">
      <c r="A1802" t="s">
        <v>65</v>
      </c>
      <c r="B1802" t="s">
        <v>4419</v>
      </c>
      <c r="F1802" s="2"/>
      <c r="G1802" s="3">
        <v>45997.549271261574</v>
      </c>
      <c r="H1802" s="3">
        <v>45997.549271331016</v>
      </c>
      <c r="I1802" s="4" t="s">
        <v>67</v>
      </c>
      <c r="J1802" t="s">
        <v>4420</v>
      </c>
      <c r="K1802" t="s">
        <v>67</v>
      </c>
      <c r="L1802" t="s">
        <v>381</v>
      </c>
      <c r="M1802" t="s">
        <v>382</v>
      </c>
      <c r="N1802" t="s">
        <v>383</v>
      </c>
      <c r="O1802" t="s">
        <v>384</v>
      </c>
      <c r="P1802" t="s">
        <v>385</v>
      </c>
      <c r="S1802" s="5"/>
      <c r="T1802" t="s">
        <v>72</v>
      </c>
      <c r="U1802" t="s">
        <v>73</v>
      </c>
      <c r="V1802" t="s">
        <v>74</v>
      </c>
      <c r="W1802" t="s">
        <v>87</v>
      </c>
      <c r="AE1802" s="2"/>
      <c r="AF1802" s="2"/>
      <c r="AG1802" s="2"/>
      <c r="AH1802" s="2"/>
      <c r="AL1802" s="2">
        <v>2394000</v>
      </c>
      <c r="AM1802" s="2">
        <v>0</v>
      </c>
      <c r="AN1802" s="2"/>
      <c r="AO1802" s="2">
        <v>0</v>
      </c>
      <c r="AP1802" s="2">
        <v>2394000</v>
      </c>
      <c r="AQ1802" s="2">
        <v>2394000</v>
      </c>
      <c r="AR1802" s="2">
        <v>2394000</v>
      </c>
      <c r="AS1802" s="2">
        <v>0</v>
      </c>
      <c r="AT1802" s="2">
        <v>0</v>
      </c>
      <c r="AU1802" s="2">
        <v>0</v>
      </c>
      <c r="AV1802" s="2">
        <v>0</v>
      </c>
      <c r="AW1802" s="4"/>
      <c r="AX1802" t="s">
        <v>75</v>
      </c>
      <c r="AZ1802" t="s">
        <v>1642</v>
      </c>
      <c r="BA1802" t="s">
        <v>67</v>
      </c>
      <c r="BB1802" t="s">
        <v>1643</v>
      </c>
      <c r="BC1802" t="s">
        <v>391</v>
      </c>
      <c r="BD1802" t="s">
        <v>79</v>
      </c>
      <c r="BE1802" t="s">
        <v>1644</v>
      </c>
      <c r="BF1802" s="5">
        <v>46908</v>
      </c>
      <c r="BG1802" t="s">
        <v>67</v>
      </c>
      <c r="BH1802">
        <v>2</v>
      </c>
      <c r="BI1802" s="6">
        <v>1400000</v>
      </c>
      <c r="BJ1802" s="6">
        <v>43</v>
      </c>
      <c r="BK1802" s="6">
        <v>602000</v>
      </c>
      <c r="BL1802" s="6">
        <v>798000</v>
      </c>
      <c r="BM1802" s="2">
        <v>1596000</v>
      </c>
      <c r="BN1802">
        <f>InvoiceTable[[#This Row],[Giảm giá]]*InvoiceTable[[#This Row],[Số lượng]]</f>
        <v>1204000</v>
      </c>
    </row>
    <row r="1803" spans="1:66" x14ac:dyDescent="0.25">
      <c r="A1803" t="s">
        <v>65</v>
      </c>
      <c r="B1803" t="s">
        <v>4421</v>
      </c>
      <c r="F1803" s="2"/>
      <c r="G1803" s="3">
        <v>45997.548525891201</v>
      </c>
      <c r="H1803" s="3">
        <v>45997.548526006947</v>
      </c>
      <c r="I1803" s="4" t="s">
        <v>67</v>
      </c>
      <c r="J1803" t="s">
        <v>4422</v>
      </c>
      <c r="K1803" t="s">
        <v>67</v>
      </c>
      <c r="L1803" t="s">
        <v>576</v>
      </c>
      <c r="M1803" t="s">
        <v>577</v>
      </c>
      <c r="N1803" t="s">
        <v>67</v>
      </c>
      <c r="O1803" t="s">
        <v>578</v>
      </c>
      <c r="P1803" t="s">
        <v>579</v>
      </c>
      <c r="S1803" s="5"/>
      <c r="T1803" t="s">
        <v>72</v>
      </c>
      <c r="U1803" t="s">
        <v>73</v>
      </c>
      <c r="V1803" t="s">
        <v>74</v>
      </c>
      <c r="W1803" t="s">
        <v>87</v>
      </c>
      <c r="AE1803" s="2"/>
      <c r="AF1803" s="2"/>
      <c r="AG1803" s="2"/>
      <c r="AH1803" s="2"/>
      <c r="AK1803" t="s">
        <v>4423</v>
      </c>
      <c r="AL1803" s="2">
        <v>5388000</v>
      </c>
      <c r="AM1803" s="2">
        <v>0</v>
      </c>
      <c r="AN1803" s="2"/>
      <c r="AO1803" s="2">
        <v>0</v>
      </c>
      <c r="AP1803" s="2">
        <v>5388000</v>
      </c>
      <c r="AQ1803" s="2">
        <v>5388000</v>
      </c>
      <c r="AR1803" s="2">
        <v>0</v>
      </c>
      <c r="AS1803" s="2">
        <v>0</v>
      </c>
      <c r="AT1803" s="2">
        <v>0</v>
      </c>
      <c r="AU1803" s="2">
        <v>5388000</v>
      </c>
      <c r="AV1803" s="2">
        <v>0</v>
      </c>
      <c r="AW1803" s="4"/>
      <c r="AX1803" t="s">
        <v>75</v>
      </c>
      <c r="AZ1803" t="s">
        <v>828</v>
      </c>
      <c r="BA1803" t="s">
        <v>67</v>
      </c>
      <c r="BB1803" t="s">
        <v>829</v>
      </c>
      <c r="BC1803" t="s">
        <v>830</v>
      </c>
      <c r="BD1803" t="s">
        <v>79</v>
      </c>
      <c r="BE1803" t="s">
        <v>117</v>
      </c>
      <c r="BF1803" s="5">
        <v>46569</v>
      </c>
      <c r="BH1803">
        <v>1</v>
      </c>
      <c r="BI1803" s="6">
        <v>550000</v>
      </c>
      <c r="BJ1803" s="6">
        <v>0</v>
      </c>
      <c r="BK1803" s="6">
        <v>130000</v>
      </c>
      <c r="BL1803" s="6">
        <v>420000</v>
      </c>
      <c r="BM1803" s="2">
        <v>420000</v>
      </c>
      <c r="BN1803">
        <f>InvoiceTable[[#This Row],[Giảm giá]]*InvoiceTable[[#This Row],[Số lượng]]</f>
        <v>130000</v>
      </c>
    </row>
    <row r="1804" spans="1:66" x14ac:dyDescent="0.25">
      <c r="A1804" t="s">
        <v>65</v>
      </c>
      <c r="B1804" t="s">
        <v>4421</v>
      </c>
      <c r="F1804" s="2"/>
      <c r="G1804" s="3">
        <v>45997.548525891201</v>
      </c>
      <c r="H1804" s="3">
        <v>45997.548526006947</v>
      </c>
      <c r="I1804" s="4" t="s">
        <v>67</v>
      </c>
      <c r="J1804" t="s">
        <v>4422</v>
      </c>
      <c r="K1804" t="s">
        <v>67</v>
      </c>
      <c r="L1804" t="s">
        <v>576</v>
      </c>
      <c r="M1804" t="s">
        <v>577</v>
      </c>
      <c r="N1804" t="s">
        <v>67</v>
      </c>
      <c r="O1804" t="s">
        <v>578</v>
      </c>
      <c r="P1804" t="s">
        <v>579</v>
      </c>
      <c r="S1804" s="5"/>
      <c r="T1804" t="s">
        <v>72</v>
      </c>
      <c r="U1804" t="s">
        <v>73</v>
      </c>
      <c r="V1804" t="s">
        <v>74</v>
      </c>
      <c r="W1804" t="s">
        <v>87</v>
      </c>
      <c r="AE1804" s="2"/>
      <c r="AF1804" s="2"/>
      <c r="AG1804" s="2"/>
      <c r="AH1804" s="2"/>
      <c r="AK1804" t="s">
        <v>4423</v>
      </c>
      <c r="AL1804" s="2">
        <v>5388000</v>
      </c>
      <c r="AM1804" s="2">
        <v>0</v>
      </c>
      <c r="AN1804" s="2"/>
      <c r="AO1804" s="2">
        <v>0</v>
      </c>
      <c r="AP1804" s="2">
        <v>5388000</v>
      </c>
      <c r="AQ1804" s="2">
        <v>5388000</v>
      </c>
      <c r="AR1804" s="2">
        <v>0</v>
      </c>
      <c r="AS1804" s="2">
        <v>0</v>
      </c>
      <c r="AT1804" s="2">
        <v>0</v>
      </c>
      <c r="AU1804" s="2">
        <v>5388000</v>
      </c>
      <c r="AV1804" s="2">
        <v>0</v>
      </c>
      <c r="AW1804" s="4"/>
      <c r="AX1804" t="s">
        <v>75</v>
      </c>
      <c r="AZ1804" t="s">
        <v>375</v>
      </c>
      <c r="BA1804" t="s">
        <v>67</v>
      </c>
      <c r="BB1804" t="s">
        <v>376</v>
      </c>
      <c r="BC1804" t="s">
        <v>377</v>
      </c>
      <c r="BD1804" t="s">
        <v>79</v>
      </c>
      <c r="BE1804" t="s">
        <v>293</v>
      </c>
      <c r="BF1804" s="5">
        <v>46722</v>
      </c>
      <c r="BH1804">
        <v>2</v>
      </c>
      <c r="BI1804" s="6">
        <v>500000</v>
      </c>
      <c r="BJ1804" s="6">
        <v>35</v>
      </c>
      <c r="BK1804" s="6">
        <v>175000</v>
      </c>
      <c r="BL1804" s="6">
        <v>325000</v>
      </c>
      <c r="BM1804" s="2">
        <v>650000</v>
      </c>
      <c r="BN1804">
        <f>InvoiceTable[[#This Row],[Giảm giá]]*InvoiceTable[[#This Row],[Số lượng]]</f>
        <v>350000</v>
      </c>
    </row>
    <row r="1805" spans="1:66" x14ac:dyDescent="0.25">
      <c r="A1805" t="s">
        <v>65</v>
      </c>
      <c r="B1805" t="s">
        <v>4421</v>
      </c>
      <c r="F1805" s="2"/>
      <c r="G1805" s="3">
        <v>45997.548525891201</v>
      </c>
      <c r="H1805" s="3">
        <v>45997.548526006947</v>
      </c>
      <c r="I1805" s="4" t="s">
        <v>67</v>
      </c>
      <c r="J1805" t="s">
        <v>4422</v>
      </c>
      <c r="K1805" t="s">
        <v>67</v>
      </c>
      <c r="L1805" t="s">
        <v>576</v>
      </c>
      <c r="M1805" t="s">
        <v>577</v>
      </c>
      <c r="N1805" t="s">
        <v>67</v>
      </c>
      <c r="O1805" t="s">
        <v>578</v>
      </c>
      <c r="P1805" t="s">
        <v>579</v>
      </c>
      <c r="S1805" s="5"/>
      <c r="T1805" t="s">
        <v>72</v>
      </c>
      <c r="U1805" t="s">
        <v>73</v>
      </c>
      <c r="V1805" t="s">
        <v>74</v>
      </c>
      <c r="W1805" t="s">
        <v>87</v>
      </c>
      <c r="AE1805" s="2"/>
      <c r="AF1805" s="2"/>
      <c r="AG1805" s="2"/>
      <c r="AH1805" s="2"/>
      <c r="AK1805" t="s">
        <v>4423</v>
      </c>
      <c r="AL1805" s="2">
        <v>5388000</v>
      </c>
      <c r="AM1805" s="2">
        <v>0</v>
      </c>
      <c r="AN1805" s="2"/>
      <c r="AO1805" s="2">
        <v>0</v>
      </c>
      <c r="AP1805" s="2">
        <v>5388000</v>
      </c>
      <c r="AQ1805" s="2">
        <v>5388000</v>
      </c>
      <c r="AR1805" s="2">
        <v>0</v>
      </c>
      <c r="AS1805" s="2">
        <v>0</v>
      </c>
      <c r="AT1805" s="2">
        <v>0</v>
      </c>
      <c r="AU1805" s="2">
        <v>5388000</v>
      </c>
      <c r="AV1805" s="2">
        <v>0</v>
      </c>
      <c r="AW1805" s="4"/>
      <c r="AX1805" t="s">
        <v>75</v>
      </c>
      <c r="AZ1805" t="s">
        <v>483</v>
      </c>
      <c r="BA1805" t="s">
        <v>67</v>
      </c>
      <c r="BB1805" t="s">
        <v>484</v>
      </c>
      <c r="BC1805" t="s">
        <v>485</v>
      </c>
      <c r="BD1805" t="s">
        <v>79</v>
      </c>
      <c r="BE1805" t="s">
        <v>117</v>
      </c>
      <c r="BF1805" s="5">
        <v>46569</v>
      </c>
      <c r="BH1805">
        <v>6</v>
      </c>
      <c r="BI1805" s="6">
        <v>600000</v>
      </c>
      <c r="BJ1805" s="6">
        <v>37</v>
      </c>
      <c r="BK1805" s="6">
        <v>222000</v>
      </c>
      <c r="BL1805" s="6">
        <v>378000</v>
      </c>
      <c r="BM1805" s="2">
        <v>2268000</v>
      </c>
      <c r="BN1805">
        <f>InvoiceTable[[#This Row],[Giảm giá]]*InvoiceTable[[#This Row],[Số lượng]]</f>
        <v>1332000</v>
      </c>
    </row>
    <row r="1806" spans="1:66" x14ac:dyDescent="0.25">
      <c r="A1806" t="s">
        <v>65</v>
      </c>
      <c r="B1806" t="s">
        <v>4421</v>
      </c>
      <c r="F1806" s="2"/>
      <c r="G1806" s="3">
        <v>45997.548525891201</v>
      </c>
      <c r="H1806" s="3">
        <v>45997.548526006947</v>
      </c>
      <c r="I1806" s="4" t="s">
        <v>67</v>
      </c>
      <c r="J1806" t="s">
        <v>4422</v>
      </c>
      <c r="K1806" t="s">
        <v>67</v>
      </c>
      <c r="L1806" t="s">
        <v>576</v>
      </c>
      <c r="M1806" t="s">
        <v>577</v>
      </c>
      <c r="N1806" t="s">
        <v>67</v>
      </c>
      <c r="O1806" t="s">
        <v>578</v>
      </c>
      <c r="P1806" t="s">
        <v>579</v>
      </c>
      <c r="S1806" s="5"/>
      <c r="T1806" t="s">
        <v>72</v>
      </c>
      <c r="U1806" t="s">
        <v>73</v>
      </c>
      <c r="V1806" t="s">
        <v>74</v>
      </c>
      <c r="W1806" t="s">
        <v>87</v>
      </c>
      <c r="AE1806" s="2"/>
      <c r="AF1806" s="2"/>
      <c r="AG1806" s="2"/>
      <c r="AH1806" s="2"/>
      <c r="AK1806" t="s">
        <v>4423</v>
      </c>
      <c r="AL1806" s="2">
        <v>5388000</v>
      </c>
      <c r="AM1806" s="2">
        <v>0</v>
      </c>
      <c r="AN1806" s="2"/>
      <c r="AO1806" s="2">
        <v>0</v>
      </c>
      <c r="AP1806" s="2">
        <v>5388000</v>
      </c>
      <c r="AQ1806" s="2">
        <v>5388000</v>
      </c>
      <c r="AR1806" s="2">
        <v>0</v>
      </c>
      <c r="AS1806" s="2">
        <v>0</v>
      </c>
      <c r="AT1806" s="2">
        <v>0</v>
      </c>
      <c r="AU1806" s="2">
        <v>5388000</v>
      </c>
      <c r="AV1806" s="2">
        <v>0</v>
      </c>
      <c r="AW1806" s="4"/>
      <c r="AX1806" t="s">
        <v>75</v>
      </c>
      <c r="AZ1806" t="s">
        <v>581</v>
      </c>
      <c r="BA1806" t="s">
        <v>67</v>
      </c>
      <c r="BB1806" t="s">
        <v>582</v>
      </c>
      <c r="BC1806" t="s">
        <v>583</v>
      </c>
      <c r="BD1806" t="s">
        <v>79</v>
      </c>
      <c r="BE1806" t="s">
        <v>155</v>
      </c>
      <c r="BF1806" s="5">
        <v>46600</v>
      </c>
      <c r="BH1806">
        <v>1</v>
      </c>
      <c r="BI1806" s="6">
        <v>2600000</v>
      </c>
      <c r="BJ1806" s="6">
        <v>0</v>
      </c>
      <c r="BK1806" s="6">
        <v>550000</v>
      </c>
      <c r="BL1806" s="6">
        <v>2050000</v>
      </c>
      <c r="BM1806" s="2">
        <v>2050000</v>
      </c>
      <c r="BN1806">
        <f>InvoiceTable[[#This Row],[Giảm giá]]*InvoiceTable[[#This Row],[Số lượng]]</f>
        <v>550000</v>
      </c>
    </row>
    <row r="1807" spans="1:66" x14ac:dyDescent="0.25">
      <c r="A1807" t="s">
        <v>65</v>
      </c>
      <c r="B1807" t="s">
        <v>4424</v>
      </c>
      <c r="F1807" s="2"/>
      <c r="G1807" s="3">
        <v>45997.546605937503</v>
      </c>
      <c r="H1807" s="3">
        <v>45997.546606053242</v>
      </c>
      <c r="I1807" s="4" t="s">
        <v>67</v>
      </c>
      <c r="J1807" t="s">
        <v>4425</v>
      </c>
      <c r="K1807" t="s">
        <v>67</v>
      </c>
      <c r="L1807" t="s">
        <v>2992</v>
      </c>
      <c r="M1807" t="s">
        <v>2993</v>
      </c>
      <c r="N1807" t="s">
        <v>67</v>
      </c>
      <c r="O1807" t="s">
        <v>2994</v>
      </c>
      <c r="P1807" t="s">
        <v>2995</v>
      </c>
      <c r="Q1807" t="s">
        <v>67</v>
      </c>
      <c r="R1807" t="s">
        <v>67</v>
      </c>
      <c r="S1807" s="5"/>
      <c r="T1807" t="s">
        <v>72</v>
      </c>
      <c r="U1807" t="s">
        <v>87</v>
      </c>
      <c r="V1807" t="s">
        <v>74</v>
      </c>
      <c r="W1807" t="s">
        <v>87</v>
      </c>
      <c r="AE1807" s="2"/>
      <c r="AF1807" s="2"/>
      <c r="AG1807" s="2"/>
      <c r="AH1807" s="2"/>
      <c r="AK1807" t="s">
        <v>67</v>
      </c>
      <c r="AL1807" s="2">
        <v>15000000</v>
      </c>
      <c r="AM1807" s="2">
        <v>0</v>
      </c>
      <c r="AN1807" s="2"/>
      <c r="AO1807" s="2">
        <v>0</v>
      </c>
      <c r="AP1807" s="2">
        <v>15000000</v>
      </c>
      <c r="AQ1807" s="2">
        <v>15000000</v>
      </c>
      <c r="AR1807" s="2">
        <v>15000000</v>
      </c>
      <c r="AS1807" s="2">
        <v>0</v>
      </c>
      <c r="AT1807" s="2">
        <v>0</v>
      </c>
      <c r="AU1807" s="2">
        <v>0</v>
      </c>
      <c r="AV1807" s="2">
        <v>0</v>
      </c>
      <c r="AW1807" s="4"/>
      <c r="AX1807" t="s">
        <v>75</v>
      </c>
      <c r="AZ1807" t="s">
        <v>124</v>
      </c>
      <c r="BA1807" t="s">
        <v>67</v>
      </c>
      <c r="BB1807" t="s">
        <v>125</v>
      </c>
      <c r="BC1807" t="s">
        <v>126</v>
      </c>
      <c r="BD1807" t="s">
        <v>79</v>
      </c>
      <c r="BE1807" t="s">
        <v>3255</v>
      </c>
      <c r="BF1807" s="5">
        <v>46722</v>
      </c>
      <c r="BG1807" t="s">
        <v>67</v>
      </c>
      <c r="BH1807">
        <v>25</v>
      </c>
      <c r="BI1807" s="6">
        <v>1200000</v>
      </c>
      <c r="BJ1807" s="6">
        <v>0</v>
      </c>
      <c r="BK1807" s="6">
        <v>600000</v>
      </c>
      <c r="BL1807" s="6">
        <v>600000</v>
      </c>
      <c r="BM1807" s="2">
        <v>15000000</v>
      </c>
      <c r="BN1807">
        <f>InvoiceTable[[#This Row],[Giảm giá]]*InvoiceTable[[#This Row],[Số lượng]]</f>
        <v>15000000</v>
      </c>
    </row>
    <row r="1808" spans="1:66" x14ac:dyDescent="0.25">
      <c r="A1808" t="s">
        <v>65</v>
      </c>
      <c r="B1808" t="s">
        <v>4426</v>
      </c>
      <c r="F1808" s="2"/>
      <c r="G1808" s="3">
        <v>45997.546452314818</v>
      </c>
      <c r="H1808" s="3">
        <v>45997.546452430557</v>
      </c>
      <c r="I1808" s="4" t="s">
        <v>67</v>
      </c>
      <c r="J1808" t="s">
        <v>4427</v>
      </c>
      <c r="K1808" t="s">
        <v>67</v>
      </c>
      <c r="L1808" t="s">
        <v>3157</v>
      </c>
      <c r="M1808" t="s">
        <v>3158</v>
      </c>
      <c r="N1808" t="s">
        <v>67</v>
      </c>
      <c r="O1808" t="s">
        <v>3159</v>
      </c>
      <c r="P1808" t="s">
        <v>3160</v>
      </c>
      <c r="S1808" s="5"/>
      <c r="T1808" t="s">
        <v>72</v>
      </c>
      <c r="U1808" t="s">
        <v>102</v>
      </c>
      <c r="V1808" t="s">
        <v>74</v>
      </c>
      <c r="W1808" t="s">
        <v>87</v>
      </c>
      <c r="AE1808" s="2"/>
      <c r="AF1808" s="2"/>
      <c r="AG1808" s="2"/>
      <c r="AH1808" s="2"/>
      <c r="AK1808" t="s">
        <v>4428</v>
      </c>
      <c r="AL1808" s="2">
        <v>2492640</v>
      </c>
      <c r="AM1808" s="2">
        <v>0</v>
      </c>
      <c r="AN1808" s="2"/>
      <c r="AO1808" s="2">
        <v>0</v>
      </c>
      <c r="AP1808" s="2">
        <v>2492640</v>
      </c>
      <c r="AQ1808" s="2">
        <v>2492640</v>
      </c>
      <c r="AR1808" s="2">
        <v>0</v>
      </c>
      <c r="AS1808" s="2">
        <v>0</v>
      </c>
      <c r="AT1808" s="2">
        <v>0</v>
      </c>
      <c r="AU1808" s="2">
        <v>2492640</v>
      </c>
      <c r="AV1808" s="2">
        <v>0</v>
      </c>
      <c r="AW1808" s="4"/>
      <c r="AX1808" t="s">
        <v>75</v>
      </c>
      <c r="AZ1808" t="s">
        <v>1784</v>
      </c>
      <c r="BA1808" t="s">
        <v>67</v>
      </c>
      <c r="BB1808" t="s">
        <v>1785</v>
      </c>
      <c r="BC1808" t="s">
        <v>1786</v>
      </c>
      <c r="BD1808" t="s">
        <v>79</v>
      </c>
      <c r="BE1808" t="s">
        <v>378</v>
      </c>
      <c r="BF1808" s="5">
        <v>46997</v>
      </c>
      <c r="BG1808" t="s">
        <v>67</v>
      </c>
      <c r="BH1808">
        <v>1</v>
      </c>
      <c r="BI1808" s="6">
        <v>972000</v>
      </c>
      <c r="BJ1808" s="6">
        <v>38</v>
      </c>
      <c r="BK1808" s="6">
        <v>369360</v>
      </c>
      <c r="BL1808" s="6">
        <v>602640</v>
      </c>
      <c r="BM1808" s="2">
        <v>602640</v>
      </c>
      <c r="BN1808">
        <f>InvoiceTable[[#This Row],[Giảm giá]]*InvoiceTable[[#This Row],[Số lượng]]</f>
        <v>369360</v>
      </c>
    </row>
    <row r="1809" spans="1:66" x14ac:dyDescent="0.25">
      <c r="A1809" t="s">
        <v>65</v>
      </c>
      <c r="B1809" t="s">
        <v>4426</v>
      </c>
      <c r="F1809" s="2"/>
      <c r="G1809" s="3">
        <v>45997.546452314818</v>
      </c>
      <c r="H1809" s="3">
        <v>45997.546452430557</v>
      </c>
      <c r="I1809" s="4" t="s">
        <v>67</v>
      </c>
      <c r="J1809" t="s">
        <v>4427</v>
      </c>
      <c r="K1809" t="s">
        <v>67</v>
      </c>
      <c r="L1809" t="s">
        <v>3157</v>
      </c>
      <c r="M1809" t="s">
        <v>3158</v>
      </c>
      <c r="N1809" t="s">
        <v>67</v>
      </c>
      <c r="O1809" t="s">
        <v>3159</v>
      </c>
      <c r="P1809" t="s">
        <v>3160</v>
      </c>
      <c r="S1809" s="5"/>
      <c r="T1809" t="s">
        <v>72</v>
      </c>
      <c r="U1809" t="s">
        <v>102</v>
      </c>
      <c r="V1809" t="s">
        <v>74</v>
      </c>
      <c r="W1809" t="s">
        <v>87</v>
      </c>
      <c r="AE1809" s="2"/>
      <c r="AF1809" s="2"/>
      <c r="AG1809" s="2"/>
      <c r="AH1809" s="2"/>
      <c r="AK1809" t="s">
        <v>4428</v>
      </c>
      <c r="AL1809" s="2">
        <v>2492640</v>
      </c>
      <c r="AM1809" s="2">
        <v>0</v>
      </c>
      <c r="AN1809" s="2"/>
      <c r="AO1809" s="2">
        <v>0</v>
      </c>
      <c r="AP1809" s="2">
        <v>2492640</v>
      </c>
      <c r="AQ1809" s="2">
        <v>2492640</v>
      </c>
      <c r="AR1809" s="2">
        <v>0</v>
      </c>
      <c r="AS1809" s="2">
        <v>0</v>
      </c>
      <c r="AT1809" s="2">
        <v>0</v>
      </c>
      <c r="AU1809" s="2">
        <v>2492640</v>
      </c>
      <c r="AV1809" s="2">
        <v>0</v>
      </c>
      <c r="AW1809" s="4"/>
      <c r="AX1809" t="s">
        <v>75</v>
      </c>
      <c r="AZ1809" t="s">
        <v>124</v>
      </c>
      <c r="BA1809" t="s">
        <v>67</v>
      </c>
      <c r="BB1809" t="s">
        <v>125</v>
      </c>
      <c r="BC1809" t="s">
        <v>126</v>
      </c>
      <c r="BD1809" t="s">
        <v>79</v>
      </c>
      <c r="BE1809" t="s">
        <v>3255</v>
      </c>
      <c r="BF1809" s="5">
        <v>46722</v>
      </c>
      <c r="BG1809" t="s">
        <v>67</v>
      </c>
      <c r="BH1809">
        <v>3</v>
      </c>
      <c r="BI1809" s="6">
        <v>1200000</v>
      </c>
      <c r="BJ1809" s="6">
        <v>0</v>
      </c>
      <c r="BK1809" s="6">
        <v>570000</v>
      </c>
      <c r="BL1809" s="6">
        <v>630000</v>
      </c>
      <c r="BM1809" s="2">
        <v>1890000</v>
      </c>
      <c r="BN1809">
        <f>InvoiceTable[[#This Row],[Giảm giá]]*InvoiceTable[[#This Row],[Số lượng]]</f>
        <v>1710000</v>
      </c>
    </row>
    <row r="1810" spans="1:66" x14ac:dyDescent="0.25">
      <c r="A1810" t="s">
        <v>65</v>
      </c>
      <c r="B1810" t="s">
        <v>4429</v>
      </c>
      <c r="F1810" s="2"/>
      <c r="G1810" s="3">
        <v>45997.511691932872</v>
      </c>
      <c r="H1810" s="3">
        <v>45997.511692326392</v>
      </c>
      <c r="I1810" s="4" t="s">
        <v>67</v>
      </c>
      <c r="J1810" t="s">
        <v>4430</v>
      </c>
      <c r="K1810" t="s">
        <v>67</v>
      </c>
      <c r="L1810" t="s">
        <v>4431</v>
      </c>
      <c r="M1810" t="s">
        <v>4432</v>
      </c>
      <c r="N1810" t="s">
        <v>67</v>
      </c>
      <c r="Q1810" t="s">
        <v>67</v>
      </c>
      <c r="R1810" t="s">
        <v>67</v>
      </c>
      <c r="S1810" s="5"/>
      <c r="T1810" t="s">
        <v>72</v>
      </c>
      <c r="U1810" t="s">
        <v>1031</v>
      </c>
      <c r="V1810" t="s">
        <v>74</v>
      </c>
      <c r="W1810" t="s">
        <v>1031</v>
      </c>
      <c r="AE1810" s="2"/>
      <c r="AF1810" s="2"/>
      <c r="AG1810" s="2"/>
      <c r="AH1810" s="2"/>
      <c r="AK1810" t="s">
        <v>4433</v>
      </c>
      <c r="AL1810" s="2">
        <v>1736000</v>
      </c>
      <c r="AM1810" s="2">
        <v>520800</v>
      </c>
      <c r="AN1810" s="2"/>
      <c r="AO1810" s="2">
        <v>0</v>
      </c>
      <c r="AP1810" s="2">
        <v>1215200</v>
      </c>
      <c r="AQ1810" s="2">
        <v>1215200</v>
      </c>
      <c r="AR1810" s="2">
        <v>1215200</v>
      </c>
      <c r="AS1810" s="2">
        <v>0</v>
      </c>
      <c r="AT1810" s="2">
        <v>0</v>
      </c>
      <c r="AU1810" s="2">
        <v>0</v>
      </c>
      <c r="AV1810" s="2">
        <v>0</v>
      </c>
      <c r="AW1810" s="4"/>
      <c r="AX1810" t="s">
        <v>75</v>
      </c>
      <c r="AZ1810" t="s">
        <v>3733</v>
      </c>
      <c r="BA1810" t="s">
        <v>67</v>
      </c>
      <c r="BB1810" t="s">
        <v>3734</v>
      </c>
      <c r="BC1810" t="s">
        <v>3735</v>
      </c>
      <c r="BD1810" t="s">
        <v>79</v>
      </c>
      <c r="BE1810" t="s">
        <v>177</v>
      </c>
      <c r="BF1810" s="5">
        <v>47027</v>
      </c>
      <c r="BG1810" t="s">
        <v>67</v>
      </c>
      <c r="BH1810">
        <v>1</v>
      </c>
      <c r="BI1810" s="6">
        <v>180000</v>
      </c>
      <c r="BJ1810" s="6">
        <v>0</v>
      </c>
      <c r="BK1810" s="6">
        <v>0</v>
      </c>
      <c r="BL1810" s="6">
        <v>180000</v>
      </c>
      <c r="BM1810" s="2">
        <v>180000</v>
      </c>
      <c r="BN1810">
        <f>InvoiceTable[[#This Row],[Giảm giá]]*InvoiceTable[[#This Row],[Số lượng]]</f>
        <v>0</v>
      </c>
    </row>
    <row r="1811" spans="1:66" x14ac:dyDescent="0.25">
      <c r="A1811" t="s">
        <v>65</v>
      </c>
      <c r="B1811" t="s">
        <v>4429</v>
      </c>
      <c r="F1811" s="2"/>
      <c r="G1811" s="3">
        <v>45997.511691932872</v>
      </c>
      <c r="H1811" s="3">
        <v>45997.511692326392</v>
      </c>
      <c r="I1811" s="4" t="s">
        <v>67</v>
      </c>
      <c r="J1811" t="s">
        <v>4430</v>
      </c>
      <c r="K1811" t="s">
        <v>67</v>
      </c>
      <c r="L1811" t="s">
        <v>4431</v>
      </c>
      <c r="M1811" t="s">
        <v>4432</v>
      </c>
      <c r="N1811" t="s">
        <v>67</v>
      </c>
      <c r="Q1811" t="s">
        <v>67</v>
      </c>
      <c r="R1811" t="s">
        <v>67</v>
      </c>
      <c r="S1811" s="5"/>
      <c r="T1811" t="s">
        <v>72</v>
      </c>
      <c r="U1811" t="s">
        <v>1031</v>
      </c>
      <c r="V1811" t="s">
        <v>74</v>
      </c>
      <c r="W1811" t="s">
        <v>1031</v>
      </c>
      <c r="AE1811" s="2"/>
      <c r="AF1811" s="2"/>
      <c r="AG1811" s="2"/>
      <c r="AH1811" s="2"/>
      <c r="AK1811" t="s">
        <v>4433</v>
      </c>
      <c r="AL1811" s="2">
        <v>1736000</v>
      </c>
      <c r="AM1811" s="2">
        <v>520800</v>
      </c>
      <c r="AN1811" s="2"/>
      <c r="AO1811" s="2">
        <v>0</v>
      </c>
      <c r="AP1811" s="2">
        <v>1215200</v>
      </c>
      <c r="AQ1811" s="2">
        <v>1215200</v>
      </c>
      <c r="AR1811" s="2">
        <v>1215200</v>
      </c>
      <c r="AS1811" s="2">
        <v>0</v>
      </c>
      <c r="AT1811" s="2">
        <v>0</v>
      </c>
      <c r="AU1811" s="2">
        <v>0</v>
      </c>
      <c r="AV1811" s="2">
        <v>0</v>
      </c>
      <c r="AW1811" s="4"/>
      <c r="AX1811" t="s">
        <v>75</v>
      </c>
      <c r="AZ1811" t="s">
        <v>802</v>
      </c>
      <c r="BA1811" t="s">
        <v>67</v>
      </c>
      <c r="BB1811" t="s">
        <v>803</v>
      </c>
      <c r="BC1811" t="s">
        <v>804</v>
      </c>
      <c r="BD1811" t="s">
        <v>79</v>
      </c>
      <c r="BE1811" t="s">
        <v>159</v>
      </c>
      <c r="BF1811" s="5">
        <v>46478</v>
      </c>
      <c r="BG1811" t="s">
        <v>67</v>
      </c>
      <c r="BH1811">
        <v>1</v>
      </c>
      <c r="BI1811" s="6">
        <v>486000</v>
      </c>
      <c r="BJ1811" s="6">
        <v>0</v>
      </c>
      <c r="BK1811" s="6">
        <v>0</v>
      </c>
      <c r="BL1811" s="6">
        <v>486000</v>
      </c>
      <c r="BM1811" s="2">
        <v>486000</v>
      </c>
      <c r="BN1811">
        <f>InvoiceTable[[#This Row],[Giảm giá]]*InvoiceTable[[#This Row],[Số lượng]]</f>
        <v>0</v>
      </c>
    </row>
    <row r="1812" spans="1:66" x14ac:dyDescent="0.25">
      <c r="A1812" t="s">
        <v>65</v>
      </c>
      <c r="B1812" t="s">
        <v>4429</v>
      </c>
      <c r="F1812" s="2"/>
      <c r="G1812" s="3">
        <v>45997.511691932872</v>
      </c>
      <c r="H1812" s="3">
        <v>45997.511692326392</v>
      </c>
      <c r="I1812" s="4" t="s">
        <v>67</v>
      </c>
      <c r="J1812" t="s">
        <v>4430</v>
      </c>
      <c r="K1812" t="s">
        <v>67</v>
      </c>
      <c r="L1812" t="s">
        <v>4431</v>
      </c>
      <c r="M1812" t="s">
        <v>4432</v>
      </c>
      <c r="N1812" t="s">
        <v>67</v>
      </c>
      <c r="Q1812" t="s">
        <v>67</v>
      </c>
      <c r="R1812" t="s">
        <v>67</v>
      </c>
      <c r="S1812" s="5"/>
      <c r="T1812" t="s">
        <v>72</v>
      </c>
      <c r="U1812" t="s">
        <v>1031</v>
      </c>
      <c r="V1812" t="s">
        <v>74</v>
      </c>
      <c r="W1812" t="s">
        <v>1031</v>
      </c>
      <c r="AE1812" s="2"/>
      <c r="AF1812" s="2"/>
      <c r="AG1812" s="2"/>
      <c r="AH1812" s="2"/>
      <c r="AK1812" t="s">
        <v>4433</v>
      </c>
      <c r="AL1812" s="2">
        <v>1736000</v>
      </c>
      <c r="AM1812" s="2">
        <v>520800</v>
      </c>
      <c r="AN1812" s="2"/>
      <c r="AO1812" s="2">
        <v>0</v>
      </c>
      <c r="AP1812" s="2">
        <v>1215200</v>
      </c>
      <c r="AQ1812" s="2">
        <v>1215200</v>
      </c>
      <c r="AR1812" s="2">
        <v>1215200</v>
      </c>
      <c r="AS1812" s="2">
        <v>0</v>
      </c>
      <c r="AT1812" s="2">
        <v>0</v>
      </c>
      <c r="AU1812" s="2">
        <v>0</v>
      </c>
      <c r="AV1812" s="2">
        <v>0</v>
      </c>
      <c r="AW1812" s="4"/>
      <c r="AX1812" t="s">
        <v>75</v>
      </c>
      <c r="AZ1812" t="s">
        <v>663</v>
      </c>
      <c r="BA1812" t="s">
        <v>67</v>
      </c>
      <c r="BB1812" t="s">
        <v>664</v>
      </c>
      <c r="BC1812" t="s">
        <v>665</v>
      </c>
      <c r="BD1812" t="s">
        <v>79</v>
      </c>
      <c r="BE1812" t="s">
        <v>159</v>
      </c>
      <c r="BF1812" s="5">
        <v>46478</v>
      </c>
      <c r="BG1812" t="s">
        <v>67</v>
      </c>
      <c r="BH1812">
        <v>1</v>
      </c>
      <c r="BI1812" s="6">
        <v>380000</v>
      </c>
      <c r="BJ1812" s="6">
        <v>0</v>
      </c>
      <c r="BK1812" s="6">
        <v>0</v>
      </c>
      <c r="BL1812" s="6">
        <v>380000</v>
      </c>
      <c r="BM1812" s="2">
        <v>380000</v>
      </c>
      <c r="BN1812">
        <f>InvoiceTable[[#This Row],[Giảm giá]]*InvoiceTable[[#This Row],[Số lượng]]</f>
        <v>0</v>
      </c>
    </row>
    <row r="1813" spans="1:66" x14ac:dyDescent="0.25">
      <c r="A1813" t="s">
        <v>65</v>
      </c>
      <c r="B1813" t="s">
        <v>4429</v>
      </c>
      <c r="F1813" s="2"/>
      <c r="G1813" s="3">
        <v>45997.511691932872</v>
      </c>
      <c r="H1813" s="3">
        <v>45997.511692326392</v>
      </c>
      <c r="I1813" s="4" t="s">
        <v>67</v>
      </c>
      <c r="J1813" t="s">
        <v>4430</v>
      </c>
      <c r="K1813" t="s">
        <v>67</v>
      </c>
      <c r="L1813" t="s">
        <v>4431</v>
      </c>
      <c r="M1813" t="s">
        <v>4432</v>
      </c>
      <c r="N1813" t="s">
        <v>67</v>
      </c>
      <c r="Q1813" t="s">
        <v>67</v>
      </c>
      <c r="R1813" t="s">
        <v>67</v>
      </c>
      <c r="S1813" s="5"/>
      <c r="T1813" t="s">
        <v>72</v>
      </c>
      <c r="U1813" t="s">
        <v>1031</v>
      </c>
      <c r="V1813" t="s">
        <v>74</v>
      </c>
      <c r="W1813" t="s">
        <v>1031</v>
      </c>
      <c r="AE1813" s="2"/>
      <c r="AF1813" s="2"/>
      <c r="AG1813" s="2"/>
      <c r="AH1813" s="2"/>
      <c r="AK1813" t="s">
        <v>4433</v>
      </c>
      <c r="AL1813" s="2">
        <v>1736000</v>
      </c>
      <c r="AM1813" s="2">
        <v>520800</v>
      </c>
      <c r="AN1813" s="2"/>
      <c r="AO1813" s="2">
        <v>0</v>
      </c>
      <c r="AP1813" s="2">
        <v>1215200</v>
      </c>
      <c r="AQ1813" s="2">
        <v>1215200</v>
      </c>
      <c r="AR1813" s="2">
        <v>1215200</v>
      </c>
      <c r="AS1813" s="2">
        <v>0</v>
      </c>
      <c r="AT1813" s="2">
        <v>0</v>
      </c>
      <c r="AU1813" s="2">
        <v>0</v>
      </c>
      <c r="AV1813" s="2">
        <v>0</v>
      </c>
      <c r="AW1813" s="4"/>
      <c r="AX1813" t="s">
        <v>75</v>
      </c>
      <c r="AZ1813" t="s">
        <v>1470</v>
      </c>
      <c r="BA1813" t="s">
        <v>67</v>
      </c>
      <c r="BB1813" t="s">
        <v>1471</v>
      </c>
      <c r="BC1813" t="s">
        <v>204</v>
      </c>
      <c r="BD1813" t="s">
        <v>79</v>
      </c>
      <c r="BE1813" t="s">
        <v>139</v>
      </c>
      <c r="BF1813" s="5">
        <v>46447</v>
      </c>
      <c r="BG1813" t="s">
        <v>67</v>
      </c>
      <c r="BH1813">
        <v>1</v>
      </c>
      <c r="BI1813" s="6">
        <v>330000</v>
      </c>
      <c r="BJ1813" s="6">
        <v>0</v>
      </c>
      <c r="BK1813" s="6">
        <v>0</v>
      </c>
      <c r="BL1813" s="6">
        <v>330000</v>
      </c>
      <c r="BM1813" s="2">
        <v>330000</v>
      </c>
      <c r="BN1813">
        <f>InvoiceTable[[#This Row],[Giảm giá]]*InvoiceTable[[#This Row],[Số lượng]]</f>
        <v>0</v>
      </c>
    </row>
    <row r="1814" spans="1:66" x14ac:dyDescent="0.25">
      <c r="A1814" t="s">
        <v>65</v>
      </c>
      <c r="B1814" t="s">
        <v>4429</v>
      </c>
      <c r="F1814" s="2"/>
      <c r="G1814" s="3">
        <v>45997.511691932872</v>
      </c>
      <c r="H1814" s="3">
        <v>45997.511692326392</v>
      </c>
      <c r="I1814" s="4" t="s">
        <v>67</v>
      </c>
      <c r="J1814" t="s">
        <v>4430</v>
      </c>
      <c r="K1814" t="s">
        <v>67</v>
      </c>
      <c r="L1814" t="s">
        <v>4431</v>
      </c>
      <c r="M1814" t="s">
        <v>4432</v>
      </c>
      <c r="N1814" t="s">
        <v>67</v>
      </c>
      <c r="Q1814" t="s">
        <v>67</v>
      </c>
      <c r="R1814" t="s">
        <v>67</v>
      </c>
      <c r="S1814" s="5"/>
      <c r="T1814" t="s">
        <v>72</v>
      </c>
      <c r="U1814" t="s">
        <v>1031</v>
      </c>
      <c r="V1814" t="s">
        <v>74</v>
      </c>
      <c r="W1814" t="s">
        <v>1031</v>
      </c>
      <c r="AE1814" s="2"/>
      <c r="AF1814" s="2"/>
      <c r="AG1814" s="2"/>
      <c r="AH1814" s="2"/>
      <c r="AK1814" t="s">
        <v>4433</v>
      </c>
      <c r="AL1814" s="2">
        <v>1736000</v>
      </c>
      <c r="AM1814" s="2">
        <v>520800</v>
      </c>
      <c r="AN1814" s="2"/>
      <c r="AO1814" s="2">
        <v>0</v>
      </c>
      <c r="AP1814" s="2">
        <v>1215200</v>
      </c>
      <c r="AQ1814" s="2">
        <v>1215200</v>
      </c>
      <c r="AR1814" s="2">
        <v>1215200</v>
      </c>
      <c r="AS1814" s="2">
        <v>0</v>
      </c>
      <c r="AT1814" s="2">
        <v>0</v>
      </c>
      <c r="AU1814" s="2">
        <v>0</v>
      </c>
      <c r="AV1814" s="2">
        <v>0</v>
      </c>
      <c r="AW1814" s="4"/>
      <c r="AX1814" t="s">
        <v>75</v>
      </c>
      <c r="AZ1814" t="s">
        <v>4434</v>
      </c>
      <c r="BA1814" t="s">
        <v>67</v>
      </c>
      <c r="BB1814" t="s">
        <v>4435</v>
      </c>
      <c r="BC1814" t="s">
        <v>4436</v>
      </c>
      <c r="BD1814" t="s">
        <v>79</v>
      </c>
      <c r="BE1814" t="s">
        <v>168</v>
      </c>
      <c r="BF1814" s="5">
        <v>46388</v>
      </c>
      <c r="BG1814" t="s">
        <v>67</v>
      </c>
      <c r="BH1814">
        <v>1</v>
      </c>
      <c r="BI1814" s="6">
        <v>360000</v>
      </c>
      <c r="BJ1814" s="6">
        <v>0</v>
      </c>
      <c r="BK1814" s="6">
        <v>0</v>
      </c>
      <c r="BL1814" s="6">
        <v>360000</v>
      </c>
      <c r="BM1814" s="2">
        <v>360000</v>
      </c>
      <c r="BN1814">
        <f>InvoiceTable[[#This Row],[Giảm giá]]*InvoiceTable[[#This Row],[Số lượng]]</f>
        <v>0</v>
      </c>
    </row>
    <row r="1815" spans="1:66" x14ac:dyDescent="0.25">
      <c r="A1815" t="s">
        <v>65</v>
      </c>
      <c r="B1815" t="s">
        <v>4437</v>
      </c>
      <c r="F1815" s="2"/>
      <c r="G1815" s="3">
        <v>45997.486816006945</v>
      </c>
      <c r="H1815" s="3">
        <v>45997.486816122684</v>
      </c>
      <c r="I1815" s="4" t="s">
        <v>67</v>
      </c>
      <c r="J1815" t="s">
        <v>67</v>
      </c>
      <c r="K1815" t="s">
        <v>67</v>
      </c>
      <c r="L1815" t="s">
        <v>647</v>
      </c>
      <c r="M1815" t="s">
        <v>648</v>
      </c>
      <c r="N1815" t="s">
        <v>67</v>
      </c>
      <c r="O1815" t="s">
        <v>649</v>
      </c>
      <c r="P1815" t="s">
        <v>650</v>
      </c>
      <c r="S1815" s="5"/>
      <c r="T1815" t="s">
        <v>72</v>
      </c>
      <c r="U1815" t="s">
        <v>87</v>
      </c>
      <c r="V1815" t="s">
        <v>74</v>
      </c>
      <c r="W1815" t="s">
        <v>87</v>
      </c>
      <c r="AE1815" s="2"/>
      <c r="AF1815" s="2"/>
      <c r="AG1815" s="2"/>
      <c r="AH1815" s="2"/>
      <c r="AL1815" s="2">
        <v>14700000</v>
      </c>
      <c r="AM1815" s="2">
        <v>0</v>
      </c>
      <c r="AN1815" s="2"/>
      <c r="AO1815" s="2">
        <v>0</v>
      </c>
      <c r="AP1815" s="2">
        <v>14700000</v>
      </c>
      <c r="AQ1815" s="2">
        <v>0</v>
      </c>
      <c r="AR1815" s="2">
        <v>0</v>
      </c>
      <c r="AS1815" s="2">
        <v>0</v>
      </c>
      <c r="AT1815" s="2">
        <v>0</v>
      </c>
      <c r="AU1815" s="2">
        <v>0</v>
      </c>
      <c r="AV1815" s="2">
        <v>0</v>
      </c>
      <c r="AW1815" s="4"/>
      <c r="AX1815" t="s">
        <v>75</v>
      </c>
      <c r="AZ1815" t="s">
        <v>107</v>
      </c>
      <c r="BA1815" t="s">
        <v>67</v>
      </c>
      <c r="BB1815" t="s">
        <v>108</v>
      </c>
      <c r="BC1815" t="s">
        <v>109</v>
      </c>
      <c r="BD1815" t="s">
        <v>79</v>
      </c>
      <c r="BE1815" t="s">
        <v>94</v>
      </c>
      <c r="BF1815" s="5">
        <v>46692</v>
      </c>
      <c r="BH1815">
        <v>6</v>
      </c>
      <c r="BI1815" s="6">
        <v>4500000</v>
      </c>
      <c r="BJ1815" s="6">
        <v>0</v>
      </c>
      <c r="BK1815" s="6">
        <v>2050000</v>
      </c>
      <c r="BL1815" s="6">
        <v>2450000</v>
      </c>
      <c r="BM1815" s="2">
        <v>14700000</v>
      </c>
      <c r="BN1815">
        <f>InvoiceTable[[#This Row],[Giảm giá]]*InvoiceTable[[#This Row],[Số lượng]]</f>
        <v>12300000</v>
      </c>
    </row>
    <row r="1816" spans="1:66" x14ac:dyDescent="0.25">
      <c r="A1816" t="s">
        <v>65</v>
      </c>
      <c r="B1816" t="s">
        <v>4438</v>
      </c>
      <c r="F1816" s="2"/>
      <c r="G1816" s="3">
        <v>45997.48660462963</v>
      </c>
      <c r="H1816" s="3">
        <v>45997.486604745369</v>
      </c>
      <c r="I1816" s="4" t="s">
        <v>67</v>
      </c>
      <c r="J1816" t="s">
        <v>4439</v>
      </c>
      <c r="K1816" t="s">
        <v>67</v>
      </c>
      <c r="L1816" t="s">
        <v>1238</v>
      </c>
      <c r="M1816" t="s">
        <v>1239</v>
      </c>
      <c r="N1816" t="s">
        <v>67</v>
      </c>
      <c r="O1816" t="s">
        <v>67</v>
      </c>
      <c r="Q1816" t="s">
        <v>67</v>
      </c>
      <c r="R1816" t="s">
        <v>67</v>
      </c>
      <c r="S1816" s="5"/>
      <c r="T1816" t="s">
        <v>72</v>
      </c>
      <c r="U1816" t="s">
        <v>87</v>
      </c>
      <c r="V1816" t="s">
        <v>74</v>
      </c>
      <c r="W1816" t="s">
        <v>87</v>
      </c>
      <c r="AE1816" s="2"/>
      <c r="AF1816" s="2"/>
      <c r="AG1816" s="2"/>
      <c r="AH1816" s="2"/>
      <c r="AL1816" s="2">
        <v>7500000</v>
      </c>
      <c r="AM1816" s="2">
        <v>3675000</v>
      </c>
      <c r="AN1816" s="2"/>
      <c r="AO1816" s="2">
        <v>0</v>
      </c>
      <c r="AP1816" s="2">
        <v>3825000</v>
      </c>
      <c r="AQ1816" s="2">
        <v>3825000</v>
      </c>
      <c r="AR1816" s="2">
        <v>0</v>
      </c>
      <c r="AS1816" s="2">
        <v>0</v>
      </c>
      <c r="AT1816" s="2">
        <v>0</v>
      </c>
      <c r="AU1816" s="2">
        <v>3825000</v>
      </c>
      <c r="AV1816" s="2">
        <v>0</v>
      </c>
      <c r="AW1816" s="4"/>
      <c r="AX1816" t="s">
        <v>75</v>
      </c>
      <c r="AZ1816" t="s">
        <v>2660</v>
      </c>
      <c r="BA1816" t="s">
        <v>67</v>
      </c>
      <c r="BB1816" t="s">
        <v>2661</v>
      </c>
      <c r="BC1816" t="s">
        <v>138</v>
      </c>
      <c r="BD1816" t="s">
        <v>79</v>
      </c>
      <c r="BE1816" t="s">
        <v>142</v>
      </c>
      <c r="BF1816" s="5">
        <v>46844</v>
      </c>
      <c r="BH1816">
        <v>3</v>
      </c>
      <c r="BI1816" s="6">
        <v>1150000</v>
      </c>
      <c r="BJ1816" s="6">
        <v>0</v>
      </c>
      <c r="BK1816" s="6">
        <v>0</v>
      </c>
      <c r="BL1816" s="6">
        <v>1150000</v>
      </c>
      <c r="BM1816" s="2">
        <v>3450000</v>
      </c>
      <c r="BN1816">
        <f>InvoiceTable[[#This Row],[Giảm giá]]*InvoiceTable[[#This Row],[Số lượng]]</f>
        <v>0</v>
      </c>
    </row>
    <row r="1817" spans="1:66" x14ac:dyDescent="0.25">
      <c r="A1817" t="s">
        <v>65</v>
      </c>
      <c r="B1817" t="s">
        <v>4438</v>
      </c>
      <c r="F1817" s="2"/>
      <c r="G1817" s="3">
        <v>45997.48660462963</v>
      </c>
      <c r="H1817" s="3">
        <v>45997.486604745369</v>
      </c>
      <c r="I1817" s="4" t="s">
        <v>67</v>
      </c>
      <c r="J1817" t="s">
        <v>4439</v>
      </c>
      <c r="K1817" t="s">
        <v>67</v>
      </c>
      <c r="L1817" t="s">
        <v>1238</v>
      </c>
      <c r="M1817" t="s">
        <v>1239</v>
      </c>
      <c r="N1817" t="s">
        <v>67</v>
      </c>
      <c r="O1817" t="s">
        <v>67</v>
      </c>
      <c r="Q1817" t="s">
        <v>67</v>
      </c>
      <c r="R1817" t="s">
        <v>67</v>
      </c>
      <c r="S1817" s="5"/>
      <c r="T1817" t="s">
        <v>72</v>
      </c>
      <c r="U1817" t="s">
        <v>87</v>
      </c>
      <c r="V1817" t="s">
        <v>74</v>
      </c>
      <c r="W1817" t="s">
        <v>87</v>
      </c>
      <c r="AE1817" s="2"/>
      <c r="AF1817" s="2"/>
      <c r="AG1817" s="2"/>
      <c r="AH1817" s="2"/>
      <c r="AL1817" s="2">
        <v>7500000</v>
      </c>
      <c r="AM1817" s="2">
        <v>3675000</v>
      </c>
      <c r="AN1817" s="2"/>
      <c r="AO1817" s="2">
        <v>0</v>
      </c>
      <c r="AP1817" s="2">
        <v>3825000</v>
      </c>
      <c r="AQ1817" s="2">
        <v>3825000</v>
      </c>
      <c r="AR1817" s="2">
        <v>0</v>
      </c>
      <c r="AS1817" s="2">
        <v>0</v>
      </c>
      <c r="AT1817" s="2">
        <v>0</v>
      </c>
      <c r="AU1817" s="2">
        <v>3825000</v>
      </c>
      <c r="AV1817" s="2">
        <v>0</v>
      </c>
      <c r="AW1817" s="4"/>
      <c r="AX1817" t="s">
        <v>75</v>
      </c>
      <c r="AZ1817" t="s">
        <v>1402</v>
      </c>
      <c r="BA1817" t="s">
        <v>67</v>
      </c>
      <c r="BB1817" t="s">
        <v>1403</v>
      </c>
      <c r="BC1817" t="s">
        <v>138</v>
      </c>
      <c r="BD1817" t="s">
        <v>79</v>
      </c>
      <c r="BE1817" t="s">
        <v>434</v>
      </c>
      <c r="BF1817" s="5">
        <v>46661</v>
      </c>
      <c r="BH1817">
        <v>3</v>
      </c>
      <c r="BI1817" s="6">
        <v>1350000</v>
      </c>
      <c r="BJ1817" s="6">
        <v>0</v>
      </c>
      <c r="BK1817" s="6">
        <v>0</v>
      </c>
      <c r="BL1817" s="6">
        <v>1350000</v>
      </c>
      <c r="BM1817" s="2">
        <v>4050000</v>
      </c>
      <c r="BN1817">
        <f>InvoiceTable[[#This Row],[Giảm giá]]*InvoiceTable[[#This Row],[Số lượng]]</f>
        <v>0</v>
      </c>
    </row>
    <row r="1818" spans="1:66" x14ac:dyDescent="0.25">
      <c r="A1818" t="s">
        <v>65</v>
      </c>
      <c r="B1818" t="s">
        <v>4440</v>
      </c>
      <c r="F1818" s="2"/>
      <c r="G1818" s="3">
        <v>45997.485417673612</v>
      </c>
      <c r="H1818" s="3">
        <v>45997.48541778935</v>
      </c>
      <c r="I1818" s="4" t="s">
        <v>67</v>
      </c>
      <c r="J1818" t="s">
        <v>4441</v>
      </c>
      <c r="K1818" t="s">
        <v>67</v>
      </c>
      <c r="L1818" t="s">
        <v>111</v>
      </c>
      <c r="M1818" t="s">
        <v>112</v>
      </c>
      <c r="N1818" t="s">
        <v>67</v>
      </c>
      <c r="O1818" t="s">
        <v>113</v>
      </c>
      <c r="P1818" t="s">
        <v>114</v>
      </c>
      <c r="Q1818" t="s">
        <v>67</v>
      </c>
      <c r="R1818" t="s">
        <v>67</v>
      </c>
      <c r="S1818" s="5"/>
      <c r="T1818" t="s">
        <v>72</v>
      </c>
      <c r="U1818" t="s">
        <v>87</v>
      </c>
      <c r="V1818" t="s">
        <v>74</v>
      </c>
      <c r="W1818" t="s">
        <v>87</v>
      </c>
      <c r="AE1818" s="2"/>
      <c r="AF1818" s="2"/>
      <c r="AG1818" s="2"/>
      <c r="AH1818" s="2"/>
      <c r="AK1818" t="s">
        <v>4442</v>
      </c>
      <c r="AL1818" s="2">
        <v>22800000</v>
      </c>
      <c r="AM1818" s="2">
        <v>11400000</v>
      </c>
      <c r="AN1818" s="2"/>
      <c r="AO1818" s="2">
        <v>0</v>
      </c>
      <c r="AP1818" s="2">
        <v>11400000</v>
      </c>
      <c r="AQ1818" s="2">
        <v>0</v>
      </c>
      <c r="AR1818" s="2">
        <v>0</v>
      </c>
      <c r="AS1818" s="2">
        <v>0</v>
      </c>
      <c r="AT1818" s="2">
        <v>0</v>
      </c>
      <c r="AU1818" s="2">
        <v>0</v>
      </c>
      <c r="AV1818" s="2">
        <v>0</v>
      </c>
      <c r="AW1818" s="4"/>
      <c r="AX1818" t="s">
        <v>75</v>
      </c>
      <c r="AZ1818" t="s">
        <v>651</v>
      </c>
      <c r="BA1818" t="s">
        <v>67</v>
      </c>
      <c r="BB1818" t="s">
        <v>652</v>
      </c>
      <c r="BC1818" t="s">
        <v>78</v>
      </c>
      <c r="BD1818" t="s">
        <v>79</v>
      </c>
      <c r="BE1818" t="s">
        <v>131</v>
      </c>
      <c r="BF1818" s="5">
        <v>46874</v>
      </c>
      <c r="BH1818">
        <v>6</v>
      </c>
      <c r="BI1818" s="6">
        <v>3800000</v>
      </c>
      <c r="BJ1818" s="6">
        <v>0</v>
      </c>
      <c r="BK1818" s="6">
        <v>0</v>
      </c>
      <c r="BL1818" s="6">
        <v>3800000</v>
      </c>
      <c r="BM1818" s="2">
        <v>22800000</v>
      </c>
      <c r="BN1818">
        <f>InvoiceTable[[#This Row],[Giảm giá]]*InvoiceTable[[#This Row],[Số lượng]]</f>
        <v>0</v>
      </c>
    </row>
    <row r="1819" spans="1:66" x14ac:dyDescent="0.25">
      <c r="A1819" t="s">
        <v>65</v>
      </c>
      <c r="B1819" t="s">
        <v>4443</v>
      </c>
      <c r="F1819" s="2"/>
      <c r="G1819" s="3">
        <v>45997.484999537039</v>
      </c>
      <c r="H1819" s="3">
        <v>45997.484999618056</v>
      </c>
      <c r="I1819" s="4" t="s">
        <v>67</v>
      </c>
      <c r="J1819" t="s">
        <v>4444</v>
      </c>
      <c r="K1819" t="s">
        <v>67</v>
      </c>
      <c r="L1819" t="s">
        <v>111</v>
      </c>
      <c r="M1819" t="s">
        <v>112</v>
      </c>
      <c r="N1819" t="s">
        <v>67</v>
      </c>
      <c r="O1819" t="s">
        <v>113</v>
      </c>
      <c r="P1819" t="s">
        <v>114</v>
      </c>
      <c r="Q1819" t="s">
        <v>67</v>
      </c>
      <c r="R1819" t="s">
        <v>67</v>
      </c>
      <c r="S1819" s="5"/>
      <c r="T1819" t="s">
        <v>72</v>
      </c>
      <c r="U1819" t="s">
        <v>87</v>
      </c>
      <c r="V1819" t="s">
        <v>74</v>
      </c>
      <c r="W1819" t="s">
        <v>87</v>
      </c>
      <c r="AE1819" s="2"/>
      <c r="AF1819" s="2"/>
      <c r="AG1819" s="2"/>
      <c r="AH1819" s="2"/>
      <c r="AK1819" t="s">
        <v>4445</v>
      </c>
      <c r="AL1819" s="2">
        <v>24430000</v>
      </c>
      <c r="AM1819" s="2">
        <v>12215000</v>
      </c>
      <c r="AN1819" s="2"/>
      <c r="AO1819" s="2">
        <v>0</v>
      </c>
      <c r="AP1819" s="2">
        <v>12215000</v>
      </c>
      <c r="AQ1819" s="2">
        <v>0</v>
      </c>
      <c r="AR1819" s="2">
        <v>0</v>
      </c>
      <c r="AS1819" s="2">
        <v>0</v>
      </c>
      <c r="AT1819" s="2">
        <v>0</v>
      </c>
      <c r="AU1819" s="2">
        <v>0</v>
      </c>
      <c r="AV1819" s="2">
        <v>0</v>
      </c>
      <c r="AW1819" s="4"/>
      <c r="AX1819" t="s">
        <v>75</v>
      </c>
      <c r="AZ1819" t="s">
        <v>1998</v>
      </c>
      <c r="BA1819" t="s">
        <v>67</v>
      </c>
      <c r="BB1819" t="s">
        <v>1999</v>
      </c>
      <c r="BC1819" t="s">
        <v>78</v>
      </c>
      <c r="BD1819" t="s">
        <v>79</v>
      </c>
      <c r="BE1819" t="s">
        <v>273</v>
      </c>
      <c r="BF1819" s="5">
        <v>46266</v>
      </c>
      <c r="BH1819">
        <v>1</v>
      </c>
      <c r="BI1819" s="6">
        <v>1550000</v>
      </c>
      <c r="BJ1819" s="6">
        <v>0</v>
      </c>
      <c r="BK1819" s="6">
        <v>0</v>
      </c>
      <c r="BL1819" s="6">
        <v>1550000</v>
      </c>
      <c r="BM1819" s="2">
        <v>1550000</v>
      </c>
      <c r="BN1819">
        <f>InvoiceTable[[#This Row],[Giảm giá]]*InvoiceTable[[#This Row],[Số lượng]]</f>
        <v>0</v>
      </c>
    </row>
    <row r="1820" spans="1:66" x14ac:dyDescent="0.25">
      <c r="A1820" t="s">
        <v>65</v>
      </c>
      <c r="B1820" t="s">
        <v>4443</v>
      </c>
      <c r="F1820" s="2"/>
      <c r="G1820" s="3">
        <v>45997.484999537039</v>
      </c>
      <c r="H1820" s="3">
        <v>45997.484999618056</v>
      </c>
      <c r="I1820" s="4" t="s">
        <v>67</v>
      </c>
      <c r="J1820" t="s">
        <v>4444</v>
      </c>
      <c r="K1820" t="s">
        <v>67</v>
      </c>
      <c r="L1820" t="s">
        <v>111</v>
      </c>
      <c r="M1820" t="s">
        <v>112</v>
      </c>
      <c r="N1820" t="s">
        <v>67</v>
      </c>
      <c r="O1820" t="s">
        <v>113</v>
      </c>
      <c r="P1820" t="s">
        <v>114</v>
      </c>
      <c r="Q1820" t="s">
        <v>67</v>
      </c>
      <c r="R1820" t="s">
        <v>67</v>
      </c>
      <c r="S1820" s="5"/>
      <c r="T1820" t="s">
        <v>72</v>
      </c>
      <c r="U1820" t="s">
        <v>87</v>
      </c>
      <c r="V1820" t="s">
        <v>74</v>
      </c>
      <c r="W1820" t="s">
        <v>87</v>
      </c>
      <c r="AE1820" s="2"/>
      <c r="AF1820" s="2"/>
      <c r="AG1820" s="2"/>
      <c r="AH1820" s="2"/>
      <c r="AK1820" t="s">
        <v>4445</v>
      </c>
      <c r="AL1820" s="2">
        <v>24430000</v>
      </c>
      <c r="AM1820" s="2">
        <v>12215000</v>
      </c>
      <c r="AN1820" s="2"/>
      <c r="AO1820" s="2">
        <v>0</v>
      </c>
      <c r="AP1820" s="2">
        <v>12215000</v>
      </c>
      <c r="AQ1820" s="2">
        <v>0</v>
      </c>
      <c r="AR1820" s="2">
        <v>0</v>
      </c>
      <c r="AS1820" s="2">
        <v>0</v>
      </c>
      <c r="AT1820" s="2">
        <v>0</v>
      </c>
      <c r="AU1820" s="2">
        <v>0</v>
      </c>
      <c r="AV1820" s="2">
        <v>0</v>
      </c>
      <c r="AW1820" s="4"/>
      <c r="AX1820" t="s">
        <v>75</v>
      </c>
      <c r="AZ1820" t="s">
        <v>1199</v>
      </c>
      <c r="BA1820" t="s">
        <v>67</v>
      </c>
      <c r="BB1820" t="s">
        <v>1200</v>
      </c>
      <c r="BC1820" t="s">
        <v>78</v>
      </c>
      <c r="BD1820" t="s">
        <v>79</v>
      </c>
      <c r="BE1820" t="s">
        <v>131</v>
      </c>
      <c r="BF1820" s="5">
        <v>46874</v>
      </c>
      <c r="BH1820">
        <v>1</v>
      </c>
      <c r="BI1820" s="6">
        <v>2700000</v>
      </c>
      <c r="BJ1820" s="6">
        <v>0</v>
      </c>
      <c r="BK1820" s="6">
        <v>0</v>
      </c>
      <c r="BL1820" s="6">
        <v>2700000</v>
      </c>
      <c r="BM1820" s="2">
        <v>2700000</v>
      </c>
      <c r="BN1820">
        <f>InvoiceTable[[#This Row],[Giảm giá]]*InvoiceTable[[#This Row],[Số lượng]]</f>
        <v>0</v>
      </c>
    </row>
    <row r="1821" spans="1:66" x14ac:dyDescent="0.25">
      <c r="A1821" t="s">
        <v>65</v>
      </c>
      <c r="B1821" t="s">
        <v>4443</v>
      </c>
      <c r="F1821" s="2"/>
      <c r="G1821" s="3">
        <v>45997.484999537039</v>
      </c>
      <c r="H1821" s="3">
        <v>45997.484999618056</v>
      </c>
      <c r="I1821" s="4" t="s">
        <v>67</v>
      </c>
      <c r="J1821" t="s">
        <v>4444</v>
      </c>
      <c r="K1821" t="s">
        <v>67</v>
      </c>
      <c r="L1821" t="s">
        <v>111</v>
      </c>
      <c r="M1821" t="s">
        <v>112</v>
      </c>
      <c r="N1821" t="s">
        <v>67</v>
      </c>
      <c r="O1821" t="s">
        <v>113</v>
      </c>
      <c r="P1821" t="s">
        <v>114</v>
      </c>
      <c r="Q1821" t="s">
        <v>67</v>
      </c>
      <c r="R1821" t="s">
        <v>67</v>
      </c>
      <c r="S1821" s="5"/>
      <c r="T1821" t="s">
        <v>72</v>
      </c>
      <c r="U1821" t="s">
        <v>87</v>
      </c>
      <c r="V1821" t="s">
        <v>74</v>
      </c>
      <c r="W1821" t="s">
        <v>87</v>
      </c>
      <c r="AE1821" s="2"/>
      <c r="AF1821" s="2"/>
      <c r="AG1821" s="2"/>
      <c r="AH1821" s="2"/>
      <c r="AK1821" t="s">
        <v>4445</v>
      </c>
      <c r="AL1821" s="2">
        <v>24430000</v>
      </c>
      <c r="AM1821" s="2">
        <v>12215000</v>
      </c>
      <c r="AN1821" s="2"/>
      <c r="AO1821" s="2">
        <v>0</v>
      </c>
      <c r="AP1821" s="2">
        <v>12215000</v>
      </c>
      <c r="AQ1821" s="2">
        <v>0</v>
      </c>
      <c r="AR1821" s="2">
        <v>0</v>
      </c>
      <c r="AS1821" s="2">
        <v>0</v>
      </c>
      <c r="AT1821" s="2">
        <v>0</v>
      </c>
      <c r="AU1821" s="2">
        <v>0</v>
      </c>
      <c r="AV1821" s="2">
        <v>0</v>
      </c>
      <c r="AW1821" s="4"/>
      <c r="AX1821" t="s">
        <v>75</v>
      </c>
      <c r="AZ1821" t="s">
        <v>518</v>
      </c>
      <c r="BA1821" t="s">
        <v>67</v>
      </c>
      <c r="BB1821" t="s">
        <v>519</v>
      </c>
      <c r="BC1821" t="s">
        <v>78</v>
      </c>
      <c r="BD1821" t="s">
        <v>79</v>
      </c>
      <c r="BE1821" t="s">
        <v>80</v>
      </c>
      <c r="BF1821" s="5">
        <v>47300</v>
      </c>
      <c r="BH1821">
        <v>1</v>
      </c>
      <c r="BI1821" s="6">
        <v>3500000</v>
      </c>
      <c r="BJ1821" s="6">
        <v>0</v>
      </c>
      <c r="BK1821" s="6">
        <v>0</v>
      </c>
      <c r="BL1821" s="6">
        <v>3500000</v>
      </c>
      <c r="BM1821" s="2">
        <v>3500000</v>
      </c>
      <c r="BN1821">
        <f>InvoiceTable[[#This Row],[Giảm giá]]*InvoiceTable[[#This Row],[Số lượng]]</f>
        <v>0</v>
      </c>
    </row>
    <row r="1822" spans="1:66" x14ac:dyDescent="0.25">
      <c r="A1822" t="s">
        <v>65</v>
      </c>
      <c r="B1822" t="s">
        <v>4443</v>
      </c>
      <c r="F1822" s="2"/>
      <c r="G1822" s="3">
        <v>45997.484999537039</v>
      </c>
      <c r="H1822" s="3">
        <v>45997.484999618056</v>
      </c>
      <c r="I1822" s="4" t="s">
        <v>67</v>
      </c>
      <c r="J1822" t="s">
        <v>4444</v>
      </c>
      <c r="K1822" t="s">
        <v>67</v>
      </c>
      <c r="L1822" t="s">
        <v>111</v>
      </c>
      <c r="M1822" t="s">
        <v>112</v>
      </c>
      <c r="N1822" t="s">
        <v>67</v>
      </c>
      <c r="O1822" t="s">
        <v>113</v>
      </c>
      <c r="P1822" t="s">
        <v>114</v>
      </c>
      <c r="Q1822" t="s">
        <v>67</v>
      </c>
      <c r="R1822" t="s">
        <v>67</v>
      </c>
      <c r="S1822" s="5"/>
      <c r="T1822" t="s">
        <v>72</v>
      </c>
      <c r="U1822" t="s">
        <v>87</v>
      </c>
      <c r="V1822" t="s">
        <v>74</v>
      </c>
      <c r="W1822" t="s">
        <v>87</v>
      </c>
      <c r="AE1822" s="2"/>
      <c r="AF1822" s="2"/>
      <c r="AG1822" s="2"/>
      <c r="AH1822" s="2"/>
      <c r="AK1822" t="s">
        <v>4445</v>
      </c>
      <c r="AL1822" s="2">
        <v>24430000</v>
      </c>
      <c r="AM1822" s="2">
        <v>12215000</v>
      </c>
      <c r="AN1822" s="2"/>
      <c r="AO1822" s="2">
        <v>0</v>
      </c>
      <c r="AP1822" s="2">
        <v>12215000</v>
      </c>
      <c r="AQ1822" s="2">
        <v>0</v>
      </c>
      <c r="AR1822" s="2">
        <v>0</v>
      </c>
      <c r="AS1822" s="2">
        <v>0</v>
      </c>
      <c r="AT1822" s="2">
        <v>0</v>
      </c>
      <c r="AU1822" s="2">
        <v>0</v>
      </c>
      <c r="AV1822" s="2">
        <v>0</v>
      </c>
      <c r="AW1822" s="4"/>
      <c r="AX1822" t="s">
        <v>75</v>
      </c>
      <c r="AZ1822" t="s">
        <v>808</v>
      </c>
      <c r="BA1822" t="s">
        <v>67</v>
      </c>
      <c r="BB1822" t="s">
        <v>809</v>
      </c>
      <c r="BC1822" t="s">
        <v>78</v>
      </c>
      <c r="BD1822" t="s">
        <v>79</v>
      </c>
      <c r="BE1822" t="s">
        <v>810</v>
      </c>
      <c r="BF1822" s="5">
        <v>46539</v>
      </c>
      <c r="BH1822">
        <v>1</v>
      </c>
      <c r="BI1822" s="6">
        <v>3750000</v>
      </c>
      <c r="BJ1822" s="6">
        <v>0</v>
      </c>
      <c r="BK1822" s="6">
        <v>0</v>
      </c>
      <c r="BL1822" s="6">
        <v>3750000</v>
      </c>
      <c r="BM1822" s="2">
        <v>3750000</v>
      </c>
      <c r="BN1822">
        <f>InvoiceTable[[#This Row],[Giảm giá]]*InvoiceTable[[#This Row],[Số lượng]]</f>
        <v>0</v>
      </c>
    </row>
    <row r="1823" spans="1:66" x14ac:dyDescent="0.25">
      <c r="A1823" t="s">
        <v>65</v>
      </c>
      <c r="B1823" t="s">
        <v>4443</v>
      </c>
      <c r="F1823" s="2"/>
      <c r="G1823" s="3">
        <v>45997.484999537039</v>
      </c>
      <c r="H1823" s="3">
        <v>45997.484999618056</v>
      </c>
      <c r="I1823" s="4" t="s">
        <v>67</v>
      </c>
      <c r="J1823" t="s">
        <v>4444</v>
      </c>
      <c r="K1823" t="s">
        <v>67</v>
      </c>
      <c r="L1823" t="s">
        <v>111</v>
      </c>
      <c r="M1823" t="s">
        <v>112</v>
      </c>
      <c r="N1823" t="s">
        <v>67</v>
      </c>
      <c r="O1823" t="s">
        <v>113</v>
      </c>
      <c r="P1823" t="s">
        <v>114</v>
      </c>
      <c r="Q1823" t="s">
        <v>67</v>
      </c>
      <c r="R1823" t="s">
        <v>67</v>
      </c>
      <c r="S1823" s="5"/>
      <c r="T1823" t="s">
        <v>72</v>
      </c>
      <c r="U1823" t="s">
        <v>87</v>
      </c>
      <c r="V1823" t="s">
        <v>74</v>
      </c>
      <c r="W1823" t="s">
        <v>87</v>
      </c>
      <c r="AE1823" s="2"/>
      <c r="AF1823" s="2"/>
      <c r="AG1823" s="2"/>
      <c r="AH1823" s="2"/>
      <c r="AK1823" t="s">
        <v>4445</v>
      </c>
      <c r="AL1823" s="2">
        <v>24430000</v>
      </c>
      <c r="AM1823" s="2">
        <v>12215000</v>
      </c>
      <c r="AN1823" s="2"/>
      <c r="AO1823" s="2">
        <v>0</v>
      </c>
      <c r="AP1823" s="2">
        <v>12215000</v>
      </c>
      <c r="AQ1823" s="2">
        <v>0</v>
      </c>
      <c r="AR1823" s="2">
        <v>0</v>
      </c>
      <c r="AS1823" s="2">
        <v>0</v>
      </c>
      <c r="AT1823" s="2">
        <v>0</v>
      </c>
      <c r="AU1823" s="2">
        <v>0</v>
      </c>
      <c r="AV1823" s="2">
        <v>0</v>
      </c>
      <c r="AW1823" s="4"/>
      <c r="AX1823" t="s">
        <v>75</v>
      </c>
      <c r="AZ1823" t="s">
        <v>115</v>
      </c>
      <c r="BA1823" t="s">
        <v>67</v>
      </c>
      <c r="BB1823" t="s">
        <v>116</v>
      </c>
      <c r="BC1823" t="s">
        <v>78</v>
      </c>
      <c r="BD1823" t="s">
        <v>79</v>
      </c>
      <c r="BE1823" t="s">
        <v>117</v>
      </c>
      <c r="BF1823" s="5">
        <v>46569</v>
      </c>
      <c r="BH1823">
        <v>1</v>
      </c>
      <c r="BI1823" s="6">
        <v>3650000</v>
      </c>
      <c r="BJ1823" s="6">
        <v>0</v>
      </c>
      <c r="BK1823" s="6">
        <v>0</v>
      </c>
      <c r="BL1823" s="6">
        <v>3650000</v>
      </c>
      <c r="BM1823" s="2">
        <v>3650000</v>
      </c>
      <c r="BN1823">
        <f>InvoiceTable[[#This Row],[Giảm giá]]*InvoiceTable[[#This Row],[Số lượng]]</f>
        <v>0</v>
      </c>
    </row>
    <row r="1824" spans="1:66" x14ac:dyDescent="0.25">
      <c r="A1824" t="s">
        <v>65</v>
      </c>
      <c r="B1824" t="s">
        <v>4443</v>
      </c>
      <c r="F1824" s="2"/>
      <c r="G1824" s="3">
        <v>45997.484999537039</v>
      </c>
      <c r="H1824" s="3">
        <v>45997.484999618056</v>
      </c>
      <c r="I1824" s="4" t="s">
        <v>67</v>
      </c>
      <c r="J1824" t="s">
        <v>4444</v>
      </c>
      <c r="K1824" t="s">
        <v>67</v>
      </c>
      <c r="L1824" t="s">
        <v>111</v>
      </c>
      <c r="M1824" t="s">
        <v>112</v>
      </c>
      <c r="N1824" t="s">
        <v>67</v>
      </c>
      <c r="O1824" t="s">
        <v>113</v>
      </c>
      <c r="P1824" t="s">
        <v>114</v>
      </c>
      <c r="Q1824" t="s">
        <v>67</v>
      </c>
      <c r="R1824" t="s">
        <v>67</v>
      </c>
      <c r="S1824" s="5"/>
      <c r="T1824" t="s">
        <v>72</v>
      </c>
      <c r="U1824" t="s">
        <v>87</v>
      </c>
      <c r="V1824" t="s">
        <v>74</v>
      </c>
      <c r="W1824" t="s">
        <v>87</v>
      </c>
      <c r="AE1824" s="2"/>
      <c r="AF1824" s="2"/>
      <c r="AG1824" s="2"/>
      <c r="AH1824" s="2"/>
      <c r="AK1824" t="s">
        <v>4445</v>
      </c>
      <c r="AL1824" s="2">
        <v>24430000</v>
      </c>
      <c r="AM1824" s="2">
        <v>12215000</v>
      </c>
      <c r="AN1824" s="2"/>
      <c r="AO1824" s="2">
        <v>0</v>
      </c>
      <c r="AP1824" s="2">
        <v>12215000</v>
      </c>
      <c r="AQ1824" s="2">
        <v>0</v>
      </c>
      <c r="AR1824" s="2">
        <v>0</v>
      </c>
      <c r="AS1824" s="2">
        <v>0</v>
      </c>
      <c r="AT1824" s="2">
        <v>0</v>
      </c>
      <c r="AU1824" s="2">
        <v>0</v>
      </c>
      <c r="AV1824" s="2">
        <v>0</v>
      </c>
      <c r="AW1824" s="4"/>
      <c r="AX1824" t="s">
        <v>75</v>
      </c>
      <c r="AZ1824" t="s">
        <v>504</v>
      </c>
      <c r="BA1824" t="s">
        <v>67</v>
      </c>
      <c r="BB1824" t="s">
        <v>505</v>
      </c>
      <c r="BC1824" t="s">
        <v>78</v>
      </c>
      <c r="BD1824" t="s">
        <v>79</v>
      </c>
      <c r="BE1824" t="s">
        <v>1231</v>
      </c>
      <c r="BF1824" s="5">
        <v>47239</v>
      </c>
      <c r="BH1824">
        <v>2</v>
      </c>
      <c r="BI1824" s="6">
        <v>1990000</v>
      </c>
      <c r="BJ1824" s="6">
        <v>0</v>
      </c>
      <c r="BK1824" s="6">
        <v>0</v>
      </c>
      <c r="BL1824" s="6">
        <v>1990000</v>
      </c>
      <c r="BM1824" s="2">
        <v>3980000</v>
      </c>
      <c r="BN1824">
        <f>InvoiceTable[[#This Row],[Giảm giá]]*InvoiceTable[[#This Row],[Số lượng]]</f>
        <v>0</v>
      </c>
    </row>
    <row r="1825" spans="1:66" x14ac:dyDescent="0.25">
      <c r="A1825" t="s">
        <v>65</v>
      </c>
      <c r="B1825" t="s">
        <v>4443</v>
      </c>
      <c r="F1825" s="2"/>
      <c r="G1825" s="3">
        <v>45997.484999537039</v>
      </c>
      <c r="H1825" s="3">
        <v>45997.484999618056</v>
      </c>
      <c r="I1825" s="4" t="s">
        <v>67</v>
      </c>
      <c r="J1825" t="s">
        <v>4444</v>
      </c>
      <c r="K1825" t="s">
        <v>67</v>
      </c>
      <c r="L1825" t="s">
        <v>111</v>
      </c>
      <c r="M1825" t="s">
        <v>112</v>
      </c>
      <c r="N1825" t="s">
        <v>67</v>
      </c>
      <c r="O1825" t="s">
        <v>113</v>
      </c>
      <c r="P1825" t="s">
        <v>114</v>
      </c>
      <c r="Q1825" t="s">
        <v>67</v>
      </c>
      <c r="R1825" t="s">
        <v>67</v>
      </c>
      <c r="S1825" s="5"/>
      <c r="T1825" t="s">
        <v>72</v>
      </c>
      <c r="U1825" t="s">
        <v>87</v>
      </c>
      <c r="V1825" t="s">
        <v>74</v>
      </c>
      <c r="W1825" t="s">
        <v>87</v>
      </c>
      <c r="AE1825" s="2"/>
      <c r="AF1825" s="2"/>
      <c r="AG1825" s="2"/>
      <c r="AH1825" s="2"/>
      <c r="AK1825" t="s">
        <v>4445</v>
      </c>
      <c r="AL1825" s="2">
        <v>24430000</v>
      </c>
      <c r="AM1825" s="2">
        <v>12215000</v>
      </c>
      <c r="AN1825" s="2"/>
      <c r="AO1825" s="2">
        <v>0</v>
      </c>
      <c r="AP1825" s="2">
        <v>12215000</v>
      </c>
      <c r="AQ1825" s="2">
        <v>0</v>
      </c>
      <c r="AR1825" s="2">
        <v>0</v>
      </c>
      <c r="AS1825" s="2">
        <v>0</v>
      </c>
      <c r="AT1825" s="2">
        <v>0</v>
      </c>
      <c r="AU1825" s="2">
        <v>0</v>
      </c>
      <c r="AV1825" s="2">
        <v>0</v>
      </c>
      <c r="AW1825" s="4"/>
      <c r="AX1825" t="s">
        <v>75</v>
      </c>
      <c r="AZ1825" t="s">
        <v>806</v>
      </c>
      <c r="BA1825" t="s">
        <v>67</v>
      </c>
      <c r="BB1825" t="s">
        <v>807</v>
      </c>
      <c r="BC1825" t="s">
        <v>78</v>
      </c>
      <c r="BD1825" t="s">
        <v>79</v>
      </c>
      <c r="BE1825" t="s">
        <v>188</v>
      </c>
      <c r="BF1825" s="5">
        <v>46905</v>
      </c>
      <c r="BH1825">
        <v>1</v>
      </c>
      <c r="BI1825" s="6">
        <v>5300000</v>
      </c>
      <c r="BJ1825" s="6">
        <v>0</v>
      </c>
      <c r="BK1825" s="6">
        <v>0</v>
      </c>
      <c r="BL1825" s="6">
        <v>5300000</v>
      </c>
      <c r="BM1825" s="2">
        <v>5300000</v>
      </c>
      <c r="BN1825">
        <f>InvoiceTable[[#This Row],[Giảm giá]]*InvoiceTable[[#This Row],[Số lượng]]</f>
        <v>0</v>
      </c>
    </row>
    <row r="1826" spans="1:66" x14ac:dyDescent="0.25">
      <c r="A1826" t="s">
        <v>65</v>
      </c>
      <c r="B1826" t="s">
        <v>4446</v>
      </c>
      <c r="F1826" s="2"/>
      <c r="G1826" s="3">
        <v>45997.484781944448</v>
      </c>
      <c r="H1826" s="3">
        <v>45997.484782094907</v>
      </c>
      <c r="I1826" s="4" t="s">
        <v>67</v>
      </c>
      <c r="J1826" t="s">
        <v>4447</v>
      </c>
      <c r="K1826" t="s">
        <v>67</v>
      </c>
      <c r="L1826" t="s">
        <v>111</v>
      </c>
      <c r="M1826" t="s">
        <v>112</v>
      </c>
      <c r="N1826" t="s">
        <v>67</v>
      </c>
      <c r="O1826" t="s">
        <v>113</v>
      </c>
      <c r="P1826" t="s">
        <v>114</v>
      </c>
      <c r="Q1826" t="s">
        <v>67</v>
      </c>
      <c r="R1826" t="s">
        <v>67</v>
      </c>
      <c r="S1826" s="5"/>
      <c r="T1826" t="s">
        <v>72</v>
      </c>
      <c r="U1826" t="s">
        <v>87</v>
      </c>
      <c r="V1826" t="s">
        <v>74</v>
      </c>
      <c r="W1826" t="s">
        <v>87</v>
      </c>
      <c r="AE1826" s="2"/>
      <c r="AF1826" s="2"/>
      <c r="AG1826" s="2"/>
      <c r="AH1826" s="2"/>
      <c r="AK1826" t="s">
        <v>4448</v>
      </c>
      <c r="AL1826" s="2">
        <v>8100000</v>
      </c>
      <c r="AM1826" s="2">
        <v>4050000</v>
      </c>
      <c r="AN1826" s="2"/>
      <c r="AO1826" s="2">
        <v>0</v>
      </c>
      <c r="AP1826" s="2">
        <v>4050000</v>
      </c>
      <c r="AQ1826" s="2">
        <v>0</v>
      </c>
      <c r="AR1826" s="2">
        <v>0</v>
      </c>
      <c r="AS1826" s="2">
        <v>0</v>
      </c>
      <c r="AT1826" s="2">
        <v>0</v>
      </c>
      <c r="AU1826" s="2">
        <v>0</v>
      </c>
      <c r="AV1826" s="2">
        <v>0</v>
      </c>
      <c r="AW1826" s="4"/>
      <c r="AX1826" t="s">
        <v>75</v>
      </c>
      <c r="AZ1826" t="s">
        <v>513</v>
      </c>
      <c r="BA1826" t="s">
        <v>67</v>
      </c>
      <c r="BB1826" t="s">
        <v>514</v>
      </c>
      <c r="BC1826" t="s">
        <v>78</v>
      </c>
      <c r="BD1826" t="s">
        <v>79</v>
      </c>
      <c r="BE1826" t="s">
        <v>168</v>
      </c>
      <c r="BF1826" s="5">
        <v>46388</v>
      </c>
      <c r="BH1826">
        <v>3</v>
      </c>
      <c r="BI1826" s="6">
        <v>2700000</v>
      </c>
      <c r="BJ1826" s="6">
        <v>0</v>
      </c>
      <c r="BK1826" s="6">
        <v>0</v>
      </c>
      <c r="BL1826" s="6">
        <v>2700000</v>
      </c>
      <c r="BM1826" s="2">
        <v>8100000</v>
      </c>
      <c r="BN1826">
        <f>InvoiceTable[[#This Row],[Giảm giá]]*InvoiceTable[[#This Row],[Số lượng]]</f>
        <v>0</v>
      </c>
    </row>
    <row r="1827" spans="1:66" x14ac:dyDescent="0.25">
      <c r="A1827" t="s">
        <v>65</v>
      </c>
      <c r="B1827" t="s">
        <v>4449</v>
      </c>
      <c r="F1827" s="2"/>
      <c r="G1827" s="3">
        <v>45997.484547604166</v>
      </c>
      <c r="H1827" s="3">
        <v>45997.484547650463</v>
      </c>
      <c r="I1827" s="4" t="s">
        <v>67</v>
      </c>
      <c r="J1827" t="s">
        <v>4450</v>
      </c>
      <c r="K1827" t="s">
        <v>67</v>
      </c>
      <c r="L1827" t="s">
        <v>111</v>
      </c>
      <c r="M1827" t="s">
        <v>112</v>
      </c>
      <c r="N1827" t="s">
        <v>67</v>
      </c>
      <c r="O1827" t="s">
        <v>113</v>
      </c>
      <c r="P1827" t="s">
        <v>114</v>
      </c>
      <c r="Q1827" t="s">
        <v>67</v>
      </c>
      <c r="R1827" t="s">
        <v>67</v>
      </c>
      <c r="S1827" s="5"/>
      <c r="T1827" t="s">
        <v>72</v>
      </c>
      <c r="U1827" t="s">
        <v>87</v>
      </c>
      <c r="V1827" t="s">
        <v>74</v>
      </c>
      <c r="W1827" t="s">
        <v>87</v>
      </c>
      <c r="AE1827" s="2"/>
      <c r="AF1827" s="2"/>
      <c r="AG1827" s="2"/>
      <c r="AH1827" s="2"/>
      <c r="AK1827" t="s">
        <v>4451</v>
      </c>
      <c r="AL1827" s="2">
        <v>3050000</v>
      </c>
      <c r="AM1827" s="2">
        <v>1525000</v>
      </c>
      <c r="AN1827" s="2"/>
      <c r="AO1827" s="2">
        <v>0</v>
      </c>
      <c r="AP1827" s="2">
        <v>1525000</v>
      </c>
      <c r="AQ1827" s="2">
        <v>0</v>
      </c>
      <c r="AR1827" s="2">
        <v>0</v>
      </c>
      <c r="AS1827" s="2">
        <v>0</v>
      </c>
      <c r="AT1827" s="2">
        <v>0</v>
      </c>
      <c r="AU1827" s="2">
        <v>0</v>
      </c>
      <c r="AV1827" s="2">
        <v>0</v>
      </c>
      <c r="AW1827" s="4"/>
      <c r="AX1827" t="s">
        <v>75</v>
      </c>
      <c r="AZ1827" t="s">
        <v>129</v>
      </c>
      <c r="BA1827" t="s">
        <v>67</v>
      </c>
      <c r="BB1827" t="s">
        <v>130</v>
      </c>
      <c r="BC1827" t="s">
        <v>78</v>
      </c>
      <c r="BD1827" t="s">
        <v>79</v>
      </c>
      <c r="BE1827" t="s">
        <v>131</v>
      </c>
      <c r="BF1827" s="5">
        <v>46874</v>
      </c>
      <c r="BG1827" t="s">
        <v>67</v>
      </c>
      <c r="BH1827">
        <v>1</v>
      </c>
      <c r="BI1827" s="6">
        <v>3050000</v>
      </c>
      <c r="BJ1827" s="6">
        <v>0</v>
      </c>
      <c r="BK1827" s="6">
        <v>0</v>
      </c>
      <c r="BL1827" s="6">
        <v>3050000</v>
      </c>
      <c r="BM1827" s="2">
        <v>3050000</v>
      </c>
      <c r="BN1827">
        <f>InvoiceTable[[#This Row],[Giảm giá]]*InvoiceTable[[#This Row],[Số lượng]]</f>
        <v>0</v>
      </c>
    </row>
    <row r="1828" spans="1:66" x14ac:dyDescent="0.25">
      <c r="A1828" t="s">
        <v>65</v>
      </c>
      <c r="B1828" t="s">
        <v>4452</v>
      </c>
      <c r="F1828" s="2"/>
      <c r="G1828" s="3">
        <v>45997.484311689812</v>
      </c>
      <c r="H1828" s="3">
        <v>45997.484311805558</v>
      </c>
      <c r="I1828" s="4" t="s">
        <v>67</v>
      </c>
      <c r="J1828" t="s">
        <v>4453</v>
      </c>
      <c r="K1828" t="s">
        <v>67</v>
      </c>
      <c r="L1828" t="s">
        <v>111</v>
      </c>
      <c r="M1828" t="s">
        <v>112</v>
      </c>
      <c r="N1828" t="s">
        <v>67</v>
      </c>
      <c r="O1828" t="s">
        <v>113</v>
      </c>
      <c r="P1828" t="s">
        <v>114</v>
      </c>
      <c r="Q1828" t="s">
        <v>67</v>
      </c>
      <c r="R1828" t="s">
        <v>67</v>
      </c>
      <c r="S1828" s="5"/>
      <c r="T1828" t="s">
        <v>72</v>
      </c>
      <c r="U1828" t="s">
        <v>87</v>
      </c>
      <c r="V1828" t="s">
        <v>74</v>
      </c>
      <c r="W1828" t="s">
        <v>87</v>
      </c>
      <c r="AE1828" s="2"/>
      <c r="AF1828" s="2"/>
      <c r="AG1828" s="2"/>
      <c r="AH1828" s="2"/>
      <c r="AK1828" t="s">
        <v>4454</v>
      </c>
      <c r="AL1828" s="2">
        <v>19000000</v>
      </c>
      <c r="AM1828" s="2">
        <v>9500000</v>
      </c>
      <c r="AN1828" s="2"/>
      <c r="AO1828" s="2">
        <v>0</v>
      </c>
      <c r="AP1828" s="2">
        <v>9500000</v>
      </c>
      <c r="AQ1828" s="2">
        <v>0</v>
      </c>
      <c r="AR1828" s="2">
        <v>0</v>
      </c>
      <c r="AS1828" s="2">
        <v>0</v>
      </c>
      <c r="AT1828" s="2">
        <v>0</v>
      </c>
      <c r="AU1828" s="2">
        <v>0</v>
      </c>
      <c r="AV1828" s="2">
        <v>0</v>
      </c>
      <c r="AW1828" s="4"/>
      <c r="AX1828" t="s">
        <v>75</v>
      </c>
      <c r="AZ1828" t="s">
        <v>527</v>
      </c>
      <c r="BA1828" t="s">
        <v>67</v>
      </c>
      <c r="BB1828" t="s">
        <v>528</v>
      </c>
      <c r="BC1828" t="s">
        <v>78</v>
      </c>
      <c r="BD1828" t="s">
        <v>79</v>
      </c>
      <c r="BE1828" t="s">
        <v>317</v>
      </c>
      <c r="BF1828" s="5">
        <v>46935</v>
      </c>
      <c r="BH1828">
        <v>5</v>
      </c>
      <c r="BI1828" s="6">
        <v>3800000</v>
      </c>
      <c r="BJ1828" s="6">
        <v>0</v>
      </c>
      <c r="BK1828" s="6">
        <v>0</v>
      </c>
      <c r="BL1828" s="6">
        <v>3800000</v>
      </c>
      <c r="BM1828" s="2">
        <v>19000000</v>
      </c>
      <c r="BN1828">
        <f>InvoiceTable[[#This Row],[Giảm giá]]*InvoiceTable[[#This Row],[Số lượng]]</f>
        <v>0</v>
      </c>
    </row>
    <row r="1829" spans="1:66" x14ac:dyDescent="0.25">
      <c r="A1829" t="s">
        <v>65</v>
      </c>
      <c r="B1829" t="s">
        <v>4455</v>
      </c>
      <c r="F1829" s="2"/>
      <c r="G1829" s="3">
        <v>45997.455463425926</v>
      </c>
      <c r="H1829" s="3">
        <v>45997.455463576393</v>
      </c>
      <c r="I1829" s="4" t="s">
        <v>67</v>
      </c>
      <c r="J1829" t="s">
        <v>67</v>
      </c>
      <c r="K1829" t="s">
        <v>67</v>
      </c>
      <c r="L1829" t="s">
        <v>933</v>
      </c>
      <c r="M1829" t="s">
        <v>934</v>
      </c>
      <c r="N1829" t="s">
        <v>67</v>
      </c>
      <c r="O1829" t="s">
        <v>935</v>
      </c>
      <c r="S1829" s="5"/>
      <c r="T1829" t="s">
        <v>72</v>
      </c>
      <c r="U1829" t="s">
        <v>87</v>
      </c>
      <c r="V1829" t="s">
        <v>74</v>
      </c>
      <c r="W1829" t="s">
        <v>87</v>
      </c>
      <c r="AE1829" s="2"/>
      <c r="AF1829" s="2"/>
      <c r="AG1829" s="2"/>
      <c r="AH1829" s="2"/>
      <c r="AK1829" t="s">
        <v>4456</v>
      </c>
      <c r="AL1829" s="2">
        <v>377700</v>
      </c>
      <c r="AM1829" s="2">
        <v>0</v>
      </c>
      <c r="AN1829" s="2"/>
      <c r="AO1829" s="2">
        <v>0</v>
      </c>
      <c r="AP1829" s="2">
        <v>377700</v>
      </c>
      <c r="AQ1829" s="2">
        <v>377700</v>
      </c>
      <c r="AR1829" s="2">
        <v>0</v>
      </c>
      <c r="AS1829" s="2">
        <v>0</v>
      </c>
      <c r="AT1829" s="2">
        <v>0</v>
      </c>
      <c r="AU1829" s="2">
        <v>377700</v>
      </c>
      <c r="AV1829" s="2">
        <v>0</v>
      </c>
      <c r="AW1829" s="4"/>
      <c r="AX1829" t="s">
        <v>75</v>
      </c>
      <c r="AZ1829" t="s">
        <v>4350</v>
      </c>
      <c r="BA1829" t="s">
        <v>67</v>
      </c>
      <c r="BB1829" t="s">
        <v>4351</v>
      </c>
      <c r="BD1829" t="s">
        <v>79</v>
      </c>
      <c r="BE1829" t="s">
        <v>348</v>
      </c>
      <c r="BF1829" s="5">
        <v>47484</v>
      </c>
      <c r="BH1829">
        <v>1</v>
      </c>
      <c r="BI1829" s="6">
        <v>6000</v>
      </c>
      <c r="BJ1829" s="6">
        <v>0</v>
      </c>
      <c r="BK1829" s="6">
        <v>0</v>
      </c>
      <c r="BL1829" s="6">
        <v>6000</v>
      </c>
      <c r="BM1829" s="2">
        <v>6000</v>
      </c>
      <c r="BN1829">
        <f>InvoiceTable[[#This Row],[Giảm giá]]*InvoiceTable[[#This Row],[Số lượng]]</f>
        <v>0</v>
      </c>
    </row>
    <row r="1830" spans="1:66" x14ac:dyDescent="0.25">
      <c r="A1830" t="s">
        <v>65</v>
      </c>
      <c r="B1830" t="s">
        <v>4455</v>
      </c>
      <c r="F1830" s="2"/>
      <c r="G1830" s="3">
        <v>45997.455463425926</v>
      </c>
      <c r="H1830" s="3">
        <v>45997.455463576393</v>
      </c>
      <c r="I1830" s="4" t="s">
        <v>67</v>
      </c>
      <c r="J1830" t="s">
        <v>67</v>
      </c>
      <c r="K1830" t="s">
        <v>67</v>
      </c>
      <c r="L1830" t="s">
        <v>933</v>
      </c>
      <c r="M1830" t="s">
        <v>934</v>
      </c>
      <c r="N1830" t="s">
        <v>67</v>
      </c>
      <c r="O1830" t="s">
        <v>935</v>
      </c>
      <c r="S1830" s="5"/>
      <c r="T1830" t="s">
        <v>72</v>
      </c>
      <c r="U1830" t="s">
        <v>87</v>
      </c>
      <c r="V1830" t="s">
        <v>74</v>
      </c>
      <c r="W1830" t="s">
        <v>87</v>
      </c>
      <c r="AE1830" s="2"/>
      <c r="AF1830" s="2"/>
      <c r="AG1830" s="2"/>
      <c r="AH1830" s="2"/>
      <c r="AK1830" t="s">
        <v>4456</v>
      </c>
      <c r="AL1830" s="2">
        <v>377700</v>
      </c>
      <c r="AM1830" s="2">
        <v>0</v>
      </c>
      <c r="AN1830" s="2"/>
      <c r="AO1830" s="2">
        <v>0</v>
      </c>
      <c r="AP1830" s="2">
        <v>377700</v>
      </c>
      <c r="AQ1830" s="2">
        <v>377700</v>
      </c>
      <c r="AR1830" s="2">
        <v>0</v>
      </c>
      <c r="AS1830" s="2">
        <v>0</v>
      </c>
      <c r="AT1830" s="2">
        <v>0</v>
      </c>
      <c r="AU1830" s="2">
        <v>377700</v>
      </c>
      <c r="AV1830" s="2">
        <v>0</v>
      </c>
      <c r="AW1830" s="4"/>
      <c r="AX1830" t="s">
        <v>75</v>
      </c>
      <c r="AZ1830" t="s">
        <v>424</v>
      </c>
      <c r="BA1830" t="s">
        <v>67</v>
      </c>
      <c r="BB1830" t="s">
        <v>425</v>
      </c>
      <c r="BC1830" t="s">
        <v>426</v>
      </c>
      <c r="BD1830" t="s">
        <v>79</v>
      </c>
      <c r="BE1830" t="s">
        <v>198</v>
      </c>
      <c r="BF1830" s="5">
        <v>46753</v>
      </c>
      <c r="BH1830">
        <v>1</v>
      </c>
      <c r="BI1830" s="6">
        <v>590000</v>
      </c>
      <c r="BJ1830" s="6">
        <v>37</v>
      </c>
      <c r="BK1830" s="6">
        <v>218300</v>
      </c>
      <c r="BL1830" s="6">
        <v>371700</v>
      </c>
      <c r="BM1830" s="2">
        <v>371700</v>
      </c>
      <c r="BN1830">
        <f>InvoiceTable[[#This Row],[Giảm giá]]*InvoiceTable[[#This Row],[Số lượng]]</f>
        <v>218300</v>
      </c>
    </row>
    <row r="1831" spans="1:66" x14ac:dyDescent="0.25">
      <c r="A1831" t="s">
        <v>65</v>
      </c>
      <c r="B1831" t="s">
        <v>4457</v>
      </c>
      <c r="F1831" s="2"/>
      <c r="G1831" s="3">
        <v>45997.451125381944</v>
      </c>
      <c r="H1831" s="3">
        <v>45997.45111396991</v>
      </c>
      <c r="I1831" s="4" t="s">
        <v>3857</v>
      </c>
      <c r="J1831" t="s">
        <v>4458</v>
      </c>
      <c r="K1831" t="s">
        <v>67</v>
      </c>
      <c r="L1831" t="s">
        <v>2346</v>
      </c>
      <c r="M1831" t="s">
        <v>2347</v>
      </c>
      <c r="N1831" t="s">
        <v>2348</v>
      </c>
      <c r="O1831" t="s">
        <v>2349</v>
      </c>
      <c r="P1831" t="s">
        <v>2350</v>
      </c>
      <c r="S1831" s="5"/>
      <c r="T1831" t="s">
        <v>72</v>
      </c>
      <c r="U1831" t="s">
        <v>87</v>
      </c>
      <c r="V1831" t="s">
        <v>74</v>
      </c>
      <c r="W1831" t="s">
        <v>87</v>
      </c>
      <c r="AE1831" s="2"/>
      <c r="AF1831" s="2"/>
      <c r="AG1831" s="2"/>
      <c r="AH1831" s="2"/>
      <c r="AK1831" t="s">
        <v>4459</v>
      </c>
      <c r="AL1831" s="2">
        <v>1091646</v>
      </c>
      <c r="AM1831" s="2">
        <v>0</v>
      </c>
      <c r="AN1831" s="2"/>
      <c r="AO1831" s="2">
        <v>0</v>
      </c>
      <c r="AP1831" s="2">
        <v>1091646</v>
      </c>
      <c r="AQ1831" s="2">
        <v>1091646</v>
      </c>
      <c r="AR1831" s="2">
        <v>1091646</v>
      </c>
      <c r="AS1831" s="2">
        <v>0</v>
      </c>
      <c r="AT1831" s="2">
        <v>0</v>
      </c>
      <c r="AU1831" s="2">
        <v>0</v>
      </c>
      <c r="AV1831" s="2">
        <v>0</v>
      </c>
      <c r="AW1831" s="4"/>
      <c r="AX1831" t="s">
        <v>75</v>
      </c>
      <c r="AZ1831" t="s">
        <v>3667</v>
      </c>
      <c r="BA1831" t="s">
        <v>67</v>
      </c>
      <c r="BB1831" t="s">
        <v>3668</v>
      </c>
      <c r="BC1831" t="s">
        <v>1851</v>
      </c>
      <c r="BD1831" t="s">
        <v>79</v>
      </c>
      <c r="BE1831" t="s">
        <v>145</v>
      </c>
      <c r="BF1831" s="5">
        <v>46508</v>
      </c>
      <c r="BH1831">
        <v>1</v>
      </c>
      <c r="BI1831" s="6">
        <v>1366200</v>
      </c>
      <c r="BJ1831" s="6">
        <v>42</v>
      </c>
      <c r="BK1831" s="6">
        <v>573804</v>
      </c>
      <c r="BL1831" s="6">
        <v>792396</v>
      </c>
      <c r="BM1831" s="2">
        <v>792396</v>
      </c>
      <c r="BN1831">
        <f>InvoiceTable[[#This Row],[Giảm giá]]*InvoiceTable[[#This Row],[Số lượng]]</f>
        <v>573804</v>
      </c>
    </row>
    <row r="1832" spans="1:66" x14ac:dyDescent="0.25">
      <c r="A1832" t="s">
        <v>65</v>
      </c>
      <c r="B1832" t="s">
        <v>4457</v>
      </c>
      <c r="F1832" s="2"/>
      <c r="G1832" s="3">
        <v>45997.451125381944</v>
      </c>
      <c r="H1832" s="3">
        <v>45997.45111396991</v>
      </c>
      <c r="I1832" s="4" t="s">
        <v>3857</v>
      </c>
      <c r="J1832" t="s">
        <v>4458</v>
      </c>
      <c r="K1832" t="s">
        <v>67</v>
      </c>
      <c r="L1832" t="s">
        <v>2346</v>
      </c>
      <c r="M1832" t="s">
        <v>2347</v>
      </c>
      <c r="N1832" t="s">
        <v>2348</v>
      </c>
      <c r="O1832" t="s">
        <v>2349</v>
      </c>
      <c r="P1832" t="s">
        <v>2350</v>
      </c>
      <c r="S1832" s="5"/>
      <c r="T1832" t="s">
        <v>72</v>
      </c>
      <c r="U1832" t="s">
        <v>87</v>
      </c>
      <c r="V1832" t="s">
        <v>74</v>
      </c>
      <c r="W1832" t="s">
        <v>87</v>
      </c>
      <c r="AE1832" s="2"/>
      <c r="AF1832" s="2"/>
      <c r="AG1832" s="2"/>
      <c r="AH1832" s="2"/>
      <c r="AK1832" t="s">
        <v>4459</v>
      </c>
      <c r="AL1832" s="2">
        <v>1091646</v>
      </c>
      <c r="AM1832" s="2">
        <v>0</v>
      </c>
      <c r="AN1832" s="2"/>
      <c r="AO1832" s="2">
        <v>0</v>
      </c>
      <c r="AP1832" s="2">
        <v>1091646</v>
      </c>
      <c r="AQ1832" s="2">
        <v>1091646</v>
      </c>
      <c r="AR1832" s="2">
        <v>1091646</v>
      </c>
      <c r="AS1832" s="2">
        <v>0</v>
      </c>
      <c r="AT1832" s="2">
        <v>0</v>
      </c>
      <c r="AU1832" s="2">
        <v>0</v>
      </c>
      <c r="AV1832" s="2">
        <v>0</v>
      </c>
      <c r="AW1832" s="4"/>
      <c r="AX1832" t="s">
        <v>75</v>
      </c>
      <c r="AZ1832" t="s">
        <v>745</v>
      </c>
      <c r="BA1832" t="s">
        <v>67</v>
      </c>
      <c r="BB1832" t="s">
        <v>746</v>
      </c>
      <c r="BC1832" t="s">
        <v>204</v>
      </c>
      <c r="BD1832" t="s">
        <v>79</v>
      </c>
      <c r="BE1832" t="s">
        <v>142</v>
      </c>
      <c r="BF1832" s="5">
        <v>46844</v>
      </c>
      <c r="BH1832">
        <v>1</v>
      </c>
      <c r="BI1832" s="6">
        <v>475000</v>
      </c>
      <c r="BJ1832" s="6">
        <v>37</v>
      </c>
      <c r="BK1832" s="6">
        <v>175750</v>
      </c>
      <c r="BL1832" s="6">
        <v>299250</v>
      </c>
      <c r="BM1832" s="2">
        <v>299250</v>
      </c>
      <c r="BN1832">
        <f>InvoiceTable[[#This Row],[Giảm giá]]*InvoiceTable[[#This Row],[Số lượng]]</f>
        <v>175750</v>
      </c>
    </row>
    <row r="1833" spans="1:66" x14ac:dyDescent="0.25">
      <c r="A1833" t="s">
        <v>65</v>
      </c>
      <c r="B1833" t="s">
        <v>4460</v>
      </c>
      <c r="F1833" s="2"/>
      <c r="G1833" s="3">
        <v>45997.450840543985</v>
      </c>
      <c r="H1833" s="3">
        <v>45997.450840740741</v>
      </c>
      <c r="I1833" s="4" t="s">
        <v>67</v>
      </c>
      <c r="J1833" t="s">
        <v>4461</v>
      </c>
      <c r="K1833" t="s">
        <v>67</v>
      </c>
      <c r="L1833" t="s">
        <v>361</v>
      </c>
      <c r="M1833" t="s">
        <v>362</v>
      </c>
      <c r="N1833" t="s">
        <v>67</v>
      </c>
      <c r="O1833" t="s">
        <v>363</v>
      </c>
      <c r="P1833" t="s">
        <v>364</v>
      </c>
      <c r="S1833" s="5"/>
      <c r="T1833" t="s">
        <v>72</v>
      </c>
      <c r="U1833" t="s">
        <v>87</v>
      </c>
      <c r="V1833" t="s">
        <v>74</v>
      </c>
      <c r="W1833" t="s">
        <v>87</v>
      </c>
      <c r="AE1833" s="2"/>
      <c r="AF1833" s="2"/>
      <c r="AG1833" s="2"/>
      <c r="AH1833" s="2"/>
      <c r="AL1833" s="2">
        <v>650000</v>
      </c>
      <c r="AM1833" s="2">
        <v>0</v>
      </c>
      <c r="AN1833" s="2"/>
      <c r="AO1833" s="2">
        <v>0</v>
      </c>
      <c r="AP1833" s="2">
        <v>650000</v>
      </c>
      <c r="AQ1833" s="2">
        <v>650000</v>
      </c>
      <c r="AR1833" s="2">
        <v>650000</v>
      </c>
      <c r="AS1833" s="2">
        <v>0</v>
      </c>
      <c r="AT1833" s="2">
        <v>0</v>
      </c>
      <c r="AU1833" s="2">
        <v>0</v>
      </c>
      <c r="AV1833" s="2">
        <v>0</v>
      </c>
      <c r="AW1833" s="4"/>
      <c r="AX1833" t="s">
        <v>75</v>
      </c>
      <c r="AZ1833" t="s">
        <v>124</v>
      </c>
      <c r="BA1833" t="s">
        <v>67</v>
      </c>
      <c r="BB1833" t="s">
        <v>125</v>
      </c>
      <c r="BC1833" t="s">
        <v>126</v>
      </c>
      <c r="BD1833" t="s">
        <v>79</v>
      </c>
      <c r="BE1833" t="s">
        <v>3255</v>
      </c>
      <c r="BF1833" s="5">
        <v>46722</v>
      </c>
      <c r="BH1833">
        <v>1</v>
      </c>
      <c r="BI1833" s="6">
        <v>1200000</v>
      </c>
      <c r="BJ1833" s="6">
        <v>0</v>
      </c>
      <c r="BK1833" s="6">
        <v>550000</v>
      </c>
      <c r="BL1833" s="6">
        <v>650000</v>
      </c>
      <c r="BM1833" s="2">
        <v>650000</v>
      </c>
      <c r="BN1833">
        <f>InvoiceTable[[#This Row],[Giảm giá]]*InvoiceTable[[#This Row],[Số lượng]]</f>
        <v>550000</v>
      </c>
    </row>
    <row r="1834" spans="1:66" x14ac:dyDescent="0.25">
      <c r="A1834" t="s">
        <v>65</v>
      </c>
      <c r="B1834" t="s">
        <v>4462</v>
      </c>
      <c r="F1834" s="2"/>
      <c r="G1834" s="3">
        <v>45997.45069633102</v>
      </c>
      <c r="H1834" s="3">
        <v>45997.450696493055</v>
      </c>
      <c r="I1834" s="4" t="s">
        <v>67</v>
      </c>
      <c r="J1834" t="s">
        <v>4463</v>
      </c>
      <c r="K1834" t="s">
        <v>67</v>
      </c>
      <c r="L1834" t="s">
        <v>4464</v>
      </c>
      <c r="M1834" t="s">
        <v>3975</v>
      </c>
      <c r="N1834" t="s">
        <v>4465</v>
      </c>
      <c r="O1834" t="s">
        <v>4466</v>
      </c>
      <c r="P1834" t="s">
        <v>4467</v>
      </c>
      <c r="S1834" s="5"/>
      <c r="T1834" t="s">
        <v>72</v>
      </c>
      <c r="U1834" t="s">
        <v>73</v>
      </c>
      <c r="V1834" t="s">
        <v>74</v>
      </c>
      <c r="W1834" t="s">
        <v>87</v>
      </c>
      <c r="AE1834" s="2"/>
      <c r="AF1834" s="2"/>
      <c r="AG1834" s="2"/>
      <c r="AH1834" s="2"/>
      <c r="AK1834" t="s">
        <v>67</v>
      </c>
      <c r="AL1834" s="2">
        <v>10500000</v>
      </c>
      <c r="AM1834" s="2">
        <v>0</v>
      </c>
      <c r="AN1834" s="2"/>
      <c r="AO1834" s="2">
        <v>0</v>
      </c>
      <c r="AP1834" s="2">
        <v>10500000</v>
      </c>
      <c r="AQ1834" s="2">
        <v>10500000</v>
      </c>
      <c r="AR1834" s="2">
        <v>10500000</v>
      </c>
      <c r="AS1834" s="2">
        <v>0</v>
      </c>
      <c r="AT1834" s="2">
        <v>0</v>
      </c>
      <c r="AU1834" s="2">
        <v>0</v>
      </c>
      <c r="AV1834" s="2">
        <v>0</v>
      </c>
      <c r="AW1834" s="4"/>
      <c r="AX1834" t="s">
        <v>75</v>
      </c>
      <c r="AZ1834" t="s">
        <v>3348</v>
      </c>
      <c r="BA1834" t="s">
        <v>67</v>
      </c>
      <c r="BB1834" t="s">
        <v>3349</v>
      </c>
      <c r="BC1834" t="s">
        <v>3350</v>
      </c>
      <c r="BD1834" t="s">
        <v>79</v>
      </c>
      <c r="BE1834" t="s">
        <v>142</v>
      </c>
      <c r="BF1834" s="5">
        <v>46844</v>
      </c>
      <c r="BG1834" t="s">
        <v>67</v>
      </c>
      <c r="BH1834">
        <v>2</v>
      </c>
      <c r="BI1834" s="6">
        <v>7600000</v>
      </c>
      <c r="BJ1834" s="6">
        <v>0</v>
      </c>
      <c r="BK1834" s="6">
        <v>2350000</v>
      </c>
      <c r="BL1834" s="6">
        <v>5250000</v>
      </c>
      <c r="BM1834" s="2">
        <v>10500000</v>
      </c>
      <c r="BN1834">
        <f>InvoiceTable[[#This Row],[Giảm giá]]*InvoiceTable[[#This Row],[Số lượng]]</f>
        <v>4700000</v>
      </c>
    </row>
    <row r="1835" spans="1:66" x14ac:dyDescent="0.25">
      <c r="A1835" t="s">
        <v>65</v>
      </c>
      <c r="B1835" t="s">
        <v>4468</v>
      </c>
      <c r="F1835" s="2"/>
      <c r="G1835" s="3">
        <v>45997.450324108795</v>
      </c>
      <c r="H1835" s="3">
        <v>45997.450324305559</v>
      </c>
      <c r="I1835" s="4" t="s">
        <v>67</v>
      </c>
      <c r="J1835" t="s">
        <v>67</v>
      </c>
      <c r="K1835" t="s">
        <v>67</v>
      </c>
      <c r="L1835" t="s">
        <v>2491</v>
      </c>
      <c r="M1835" t="s">
        <v>2492</v>
      </c>
      <c r="N1835" t="s">
        <v>2493</v>
      </c>
      <c r="O1835" t="s">
        <v>2494</v>
      </c>
      <c r="P1835" t="s">
        <v>2495</v>
      </c>
      <c r="S1835" s="5"/>
      <c r="T1835" t="s">
        <v>72</v>
      </c>
      <c r="U1835" t="s">
        <v>87</v>
      </c>
      <c r="V1835" t="s">
        <v>74</v>
      </c>
      <c r="W1835" t="s">
        <v>87</v>
      </c>
      <c r="AE1835" s="2"/>
      <c r="AF1835" s="2"/>
      <c r="AG1835" s="2"/>
      <c r="AH1835" s="2"/>
      <c r="AL1835" s="2">
        <v>1200000</v>
      </c>
      <c r="AM1835" s="2">
        <v>0</v>
      </c>
      <c r="AN1835" s="2"/>
      <c r="AO1835" s="2">
        <v>0</v>
      </c>
      <c r="AP1835" s="2">
        <v>1200000</v>
      </c>
      <c r="AQ1835" s="2">
        <v>1200000</v>
      </c>
      <c r="AR1835" s="2">
        <v>0</v>
      </c>
      <c r="AS1835" s="2">
        <v>0</v>
      </c>
      <c r="AT1835" s="2">
        <v>0</v>
      </c>
      <c r="AU1835" s="2">
        <v>1200000</v>
      </c>
      <c r="AV1835" s="2">
        <v>0</v>
      </c>
      <c r="AW1835" s="4"/>
      <c r="AX1835" t="s">
        <v>75</v>
      </c>
      <c r="AZ1835" t="s">
        <v>4469</v>
      </c>
      <c r="BA1835" t="s">
        <v>67</v>
      </c>
      <c r="BB1835" t="s">
        <v>4470</v>
      </c>
      <c r="BC1835" t="s">
        <v>344</v>
      </c>
      <c r="BD1835" t="s">
        <v>79</v>
      </c>
      <c r="BE1835" t="s">
        <v>273</v>
      </c>
      <c r="BF1835" s="5">
        <v>46266</v>
      </c>
      <c r="BG1835" t="s">
        <v>67</v>
      </c>
      <c r="BH1835">
        <v>2</v>
      </c>
      <c r="BI1835" s="6">
        <v>1200000</v>
      </c>
      <c r="BJ1835" s="6">
        <v>50</v>
      </c>
      <c r="BK1835" s="6">
        <v>600000</v>
      </c>
      <c r="BL1835" s="6">
        <v>600000</v>
      </c>
      <c r="BM1835" s="2">
        <v>1200000</v>
      </c>
      <c r="BN1835">
        <f>InvoiceTable[[#This Row],[Giảm giá]]*InvoiceTable[[#This Row],[Số lượng]]</f>
        <v>1200000</v>
      </c>
    </row>
    <row r="1836" spans="1:66" x14ac:dyDescent="0.25">
      <c r="A1836" t="s">
        <v>65</v>
      </c>
      <c r="B1836" t="s">
        <v>4471</v>
      </c>
      <c r="F1836" s="2"/>
      <c r="G1836" s="3">
        <v>45997.428871331016</v>
      </c>
      <c r="H1836" s="3">
        <v>45997.428871412034</v>
      </c>
      <c r="I1836" s="4" t="s">
        <v>67</v>
      </c>
      <c r="J1836" t="s">
        <v>67</v>
      </c>
      <c r="K1836" t="s">
        <v>67</v>
      </c>
      <c r="L1836" t="s">
        <v>4472</v>
      </c>
      <c r="M1836" t="s">
        <v>4473</v>
      </c>
      <c r="N1836" t="s">
        <v>67</v>
      </c>
      <c r="O1836" t="s">
        <v>4474</v>
      </c>
      <c r="P1836" t="s">
        <v>4475</v>
      </c>
      <c r="S1836" s="5"/>
      <c r="T1836" t="s">
        <v>72</v>
      </c>
      <c r="U1836" t="s">
        <v>87</v>
      </c>
      <c r="V1836" t="s">
        <v>74</v>
      </c>
      <c r="W1836" t="s">
        <v>87</v>
      </c>
      <c r="AE1836" s="2"/>
      <c r="AF1836" s="2"/>
      <c r="AG1836" s="2"/>
      <c r="AH1836" s="2"/>
      <c r="AK1836" t="s">
        <v>4476</v>
      </c>
      <c r="AL1836" s="2">
        <v>1975000</v>
      </c>
      <c r="AM1836" s="2">
        <v>0</v>
      </c>
      <c r="AN1836" s="2"/>
      <c r="AO1836" s="2">
        <v>0</v>
      </c>
      <c r="AP1836" s="2">
        <v>1975000</v>
      </c>
      <c r="AQ1836" s="2">
        <v>0</v>
      </c>
      <c r="AR1836" s="2">
        <v>0</v>
      </c>
      <c r="AS1836" s="2">
        <v>0</v>
      </c>
      <c r="AT1836" s="2">
        <v>0</v>
      </c>
      <c r="AU1836" s="2">
        <v>0</v>
      </c>
      <c r="AV1836" s="2">
        <v>0</v>
      </c>
      <c r="AW1836" s="4"/>
      <c r="AX1836" t="s">
        <v>75</v>
      </c>
      <c r="AZ1836" t="s">
        <v>905</v>
      </c>
      <c r="BA1836" t="s">
        <v>67</v>
      </c>
      <c r="BB1836" t="s">
        <v>906</v>
      </c>
      <c r="BC1836" t="s">
        <v>285</v>
      </c>
      <c r="BD1836" t="s">
        <v>79</v>
      </c>
      <c r="BE1836" t="s">
        <v>117</v>
      </c>
      <c r="BF1836" s="5">
        <v>46569</v>
      </c>
      <c r="BH1836">
        <v>1</v>
      </c>
      <c r="BI1836" s="6">
        <v>3950000</v>
      </c>
      <c r="BJ1836" s="6">
        <v>50</v>
      </c>
      <c r="BK1836" s="6">
        <v>1975000</v>
      </c>
      <c r="BL1836" s="6">
        <v>1975000</v>
      </c>
      <c r="BM1836" s="2">
        <v>1975000</v>
      </c>
      <c r="BN1836">
        <f>InvoiceTable[[#This Row],[Giảm giá]]*InvoiceTable[[#This Row],[Số lượng]]</f>
        <v>1975000</v>
      </c>
    </row>
    <row r="1837" spans="1:66" x14ac:dyDescent="0.25">
      <c r="A1837" t="s">
        <v>65</v>
      </c>
      <c r="B1837" t="s">
        <v>4477</v>
      </c>
      <c r="F1837" s="2"/>
      <c r="G1837" s="3">
        <v>45996.957905324074</v>
      </c>
      <c r="H1837" s="3">
        <v>45996.957720335646</v>
      </c>
      <c r="I1837" s="4" t="s">
        <v>96</v>
      </c>
      <c r="J1837" t="s">
        <v>4478</v>
      </c>
      <c r="K1837" t="s">
        <v>67</v>
      </c>
      <c r="L1837" t="s">
        <v>455</v>
      </c>
      <c r="M1837" t="s">
        <v>456</v>
      </c>
      <c r="N1837" t="s">
        <v>67</v>
      </c>
      <c r="O1837" t="s">
        <v>457</v>
      </c>
      <c r="P1837" t="s">
        <v>458</v>
      </c>
      <c r="Q1837" t="s">
        <v>459</v>
      </c>
      <c r="R1837" t="s">
        <v>460</v>
      </c>
      <c r="S1837" s="5"/>
      <c r="T1837" t="s">
        <v>72</v>
      </c>
      <c r="U1837" t="s">
        <v>1031</v>
      </c>
      <c r="V1837" t="s">
        <v>74</v>
      </c>
      <c r="W1837" t="s">
        <v>1031</v>
      </c>
      <c r="AE1837" s="2"/>
      <c r="AF1837" s="2"/>
      <c r="AG1837" s="2"/>
      <c r="AH1837" s="2"/>
      <c r="AK1837" t="s">
        <v>67</v>
      </c>
      <c r="AL1837" s="2">
        <v>0</v>
      </c>
      <c r="AM1837" s="2">
        <v>0</v>
      </c>
      <c r="AN1837" s="2"/>
      <c r="AO1837" s="2">
        <v>0</v>
      </c>
      <c r="AP1837" s="2">
        <v>0</v>
      </c>
      <c r="AQ1837" s="2">
        <v>0</v>
      </c>
      <c r="AR1837" s="2">
        <v>0</v>
      </c>
      <c r="AS1837" s="2">
        <v>0</v>
      </c>
      <c r="AT1837" s="2">
        <v>0</v>
      </c>
      <c r="AU1837" s="2">
        <v>0</v>
      </c>
      <c r="AV1837" s="2">
        <v>0</v>
      </c>
      <c r="AW1837" s="4"/>
      <c r="AX1837" t="s">
        <v>75</v>
      </c>
      <c r="AZ1837" t="s">
        <v>4479</v>
      </c>
      <c r="BA1837" t="s">
        <v>67</v>
      </c>
      <c r="BB1837" t="s">
        <v>4480</v>
      </c>
      <c r="BC1837" t="s">
        <v>1732</v>
      </c>
      <c r="BE1837" t="s">
        <v>195</v>
      </c>
      <c r="BF1837" s="5">
        <v>46419</v>
      </c>
      <c r="BG1837" t="s">
        <v>67</v>
      </c>
      <c r="BH1837">
        <v>1</v>
      </c>
      <c r="BI1837" s="6">
        <v>1390000</v>
      </c>
      <c r="BJ1837" s="6">
        <v>100</v>
      </c>
      <c r="BK1837" s="6">
        <v>1390000</v>
      </c>
      <c r="BL1837" s="6">
        <v>0</v>
      </c>
      <c r="BM1837" s="2">
        <v>0</v>
      </c>
      <c r="BN1837">
        <f>InvoiceTable[[#This Row],[Giảm giá]]*InvoiceTable[[#This Row],[Số lượng]]</f>
        <v>1390000</v>
      </c>
    </row>
    <row r="1838" spans="1:66" x14ac:dyDescent="0.25">
      <c r="A1838" t="s">
        <v>65</v>
      </c>
      <c r="B1838" t="s">
        <v>4481</v>
      </c>
      <c r="F1838" s="2"/>
      <c r="G1838" s="3">
        <v>45996.948201238425</v>
      </c>
      <c r="H1838" s="3">
        <v>45996.948016516202</v>
      </c>
      <c r="I1838" s="4" t="s">
        <v>96</v>
      </c>
      <c r="J1838" t="s">
        <v>4482</v>
      </c>
      <c r="K1838" t="s">
        <v>67</v>
      </c>
      <c r="L1838" t="s">
        <v>4483</v>
      </c>
      <c r="M1838" t="s">
        <v>4484</v>
      </c>
      <c r="N1838" t="s">
        <v>67</v>
      </c>
      <c r="Q1838" t="s">
        <v>67</v>
      </c>
      <c r="R1838" t="s">
        <v>67</v>
      </c>
      <c r="S1838" s="5"/>
      <c r="T1838" t="s">
        <v>72</v>
      </c>
      <c r="U1838" t="s">
        <v>1031</v>
      </c>
      <c r="V1838" t="s">
        <v>74</v>
      </c>
      <c r="W1838" t="s">
        <v>1031</v>
      </c>
      <c r="AE1838" s="2"/>
      <c r="AF1838" s="2"/>
      <c r="AG1838" s="2"/>
      <c r="AH1838" s="2"/>
      <c r="AK1838" t="s">
        <v>67</v>
      </c>
      <c r="AL1838" s="2">
        <v>2312700</v>
      </c>
      <c r="AM1838" s="2">
        <v>0</v>
      </c>
      <c r="AN1838" s="2"/>
      <c r="AO1838" s="2">
        <v>0</v>
      </c>
      <c r="AP1838" s="2">
        <v>2312700</v>
      </c>
      <c r="AQ1838" s="2">
        <v>2312700</v>
      </c>
      <c r="AR1838" s="2">
        <v>2312700</v>
      </c>
      <c r="AS1838" s="2">
        <v>0</v>
      </c>
      <c r="AT1838" s="2">
        <v>0</v>
      </c>
      <c r="AU1838" s="2">
        <v>0</v>
      </c>
      <c r="AV1838" s="2">
        <v>0</v>
      </c>
      <c r="AW1838" s="4"/>
      <c r="AX1838" t="s">
        <v>75</v>
      </c>
      <c r="AZ1838" t="s">
        <v>424</v>
      </c>
      <c r="BA1838" t="s">
        <v>67</v>
      </c>
      <c r="BB1838" t="s">
        <v>425</v>
      </c>
      <c r="BC1838" t="s">
        <v>426</v>
      </c>
      <c r="BD1838" t="s">
        <v>79</v>
      </c>
      <c r="BE1838" t="s">
        <v>198</v>
      </c>
      <c r="BF1838" s="5">
        <v>46753</v>
      </c>
      <c r="BG1838" t="s">
        <v>67</v>
      </c>
      <c r="BH1838">
        <v>1</v>
      </c>
      <c r="BI1838" s="6">
        <v>590000</v>
      </c>
      <c r="BJ1838" s="6">
        <v>35</v>
      </c>
      <c r="BK1838" s="6">
        <v>206500</v>
      </c>
      <c r="BL1838" s="6">
        <v>383500</v>
      </c>
      <c r="BM1838" s="2">
        <v>383500</v>
      </c>
      <c r="BN1838">
        <f>InvoiceTable[[#This Row],[Giảm giá]]*InvoiceTable[[#This Row],[Số lượng]]</f>
        <v>206500</v>
      </c>
    </row>
    <row r="1839" spans="1:66" x14ac:dyDescent="0.25">
      <c r="A1839" t="s">
        <v>65</v>
      </c>
      <c r="B1839" t="s">
        <v>4481</v>
      </c>
      <c r="F1839" s="2"/>
      <c r="G1839" s="3">
        <v>45996.948201238425</v>
      </c>
      <c r="H1839" s="3">
        <v>45996.948016516202</v>
      </c>
      <c r="I1839" s="4" t="s">
        <v>96</v>
      </c>
      <c r="J1839" t="s">
        <v>4482</v>
      </c>
      <c r="K1839" t="s">
        <v>67</v>
      </c>
      <c r="L1839" t="s">
        <v>4483</v>
      </c>
      <c r="M1839" t="s">
        <v>4484</v>
      </c>
      <c r="N1839" t="s">
        <v>67</v>
      </c>
      <c r="Q1839" t="s">
        <v>67</v>
      </c>
      <c r="R1839" t="s">
        <v>67</v>
      </c>
      <c r="S1839" s="5"/>
      <c r="T1839" t="s">
        <v>72</v>
      </c>
      <c r="U1839" t="s">
        <v>1031</v>
      </c>
      <c r="V1839" t="s">
        <v>74</v>
      </c>
      <c r="W1839" t="s">
        <v>1031</v>
      </c>
      <c r="AE1839" s="2"/>
      <c r="AF1839" s="2"/>
      <c r="AG1839" s="2"/>
      <c r="AH1839" s="2"/>
      <c r="AK1839" t="s">
        <v>67</v>
      </c>
      <c r="AL1839" s="2">
        <v>2312700</v>
      </c>
      <c r="AM1839" s="2">
        <v>0</v>
      </c>
      <c r="AN1839" s="2"/>
      <c r="AO1839" s="2">
        <v>0</v>
      </c>
      <c r="AP1839" s="2">
        <v>2312700</v>
      </c>
      <c r="AQ1839" s="2">
        <v>2312700</v>
      </c>
      <c r="AR1839" s="2">
        <v>2312700</v>
      </c>
      <c r="AS1839" s="2">
        <v>0</v>
      </c>
      <c r="AT1839" s="2">
        <v>0</v>
      </c>
      <c r="AU1839" s="2">
        <v>0</v>
      </c>
      <c r="AV1839" s="2">
        <v>0</v>
      </c>
      <c r="AW1839" s="4"/>
      <c r="AX1839" t="s">
        <v>75</v>
      </c>
      <c r="AZ1839" t="s">
        <v>802</v>
      </c>
      <c r="BA1839" t="s">
        <v>67</v>
      </c>
      <c r="BB1839" t="s">
        <v>803</v>
      </c>
      <c r="BC1839" t="s">
        <v>804</v>
      </c>
      <c r="BD1839" t="s">
        <v>79</v>
      </c>
      <c r="BE1839" t="s">
        <v>159</v>
      </c>
      <c r="BF1839" s="5">
        <v>46478</v>
      </c>
      <c r="BG1839" t="s">
        <v>67</v>
      </c>
      <c r="BH1839">
        <v>1</v>
      </c>
      <c r="BI1839" s="6">
        <v>486000</v>
      </c>
      <c r="BJ1839" s="6">
        <v>30</v>
      </c>
      <c r="BK1839" s="6">
        <v>145800</v>
      </c>
      <c r="BL1839" s="6">
        <v>340200</v>
      </c>
      <c r="BM1839" s="2">
        <v>340200</v>
      </c>
      <c r="BN1839">
        <f>InvoiceTable[[#This Row],[Giảm giá]]*InvoiceTable[[#This Row],[Số lượng]]</f>
        <v>145800</v>
      </c>
    </row>
    <row r="1840" spans="1:66" x14ac:dyDescent="0.25">
      <c r="A1840" t="s">
        <v>65</v>
      </c>
      <c r="B1840" t="s">
        <v>4481</v>
      </c>
      <c r="F1840" s="2"/>
      <c r="G1840" s="3">
        <v>45996.948201238425</v>
      </c>
      <c r="H1840" s="3">
        <v>45996.948016516202</v>
      </c>
      <c r="I1840" s="4" t="s">
        <v>96</v>
      </c>
      <c r="J1840" t="s">
        <v>4482</v>
      </c>
      <c r="K1840" t="s">
        <v>67</v>
      </c>
      <c r="L1840" t="s">
        <v>4483</v>
      </c>
      <c r="M1840" t="s">
        <v>4484</v>
      </c>
      <c r="N1840" t="s">
        <v>67</v>
      </c>
      <c r="Q1840" t="s">
        <v>67</v>
      </c>
      <c r="R1840" t="s">
        <v>67</v>
      </c>
      <c r="S1840" s="5"/>
      <c r="T1840" t="s">
        <v>72</v>
      </c>
      <c r="U1840" t="s">
        <v>1031</v>
      </c>
      <c r="V1840" t="s">
        <v>74</v>
      </c>
      <c r="W1840" t="s">
        <v>1031</v>
      </c>
      <c r="AE1840" s="2"/>
      <c r="AF1840" s="2"/>
      <c r="AG1840" s="2"/>
      <c r="AH1840" s="2"/>
      <c r="AK1840" t="s">
        <v>67</v>
      </c>
      <c r="AL1840" s="2">
        <v>2312700</v>
      </c>
      <c r="AM1840" s="2">
        <v>0</v>
      </c>
      <c r="AN1840" s="2"/>
      <c r="AO1840" s="2">
        <v>0</v>
      </c>
      <c r="AP1840" s="2">
        <v>2312700</v>
      </c>
      <c r="AQ1840" s="2">
        <v>2312700</v>
      </c>
      <c r="AR1840" s="2">
        <v>2312700</v>
      </c>
      <c r="AS1840" s="2">
        <v>0</v>
      </c>
      <c r="AT1840" s="2">
        <v>0</v>
      </c>
      <c r="AU1840" s="2">
        <v>0</v>
      </c>
      <c r="AV1840" s="2">
        <v>0</v>
      </c>
      <c r="AW1840" s="4"/>
      <c r="AX1840" t="s">
        <v>75</v>
      </c>
      <c r="AZ1840" t="s">
        <v>663</v>
      </c>
      <c r="BA1840" t="s">
        <v>67</v>
      </c>
      <c r="BB1840" t="s">
        <v>664</v>
      </c>
      <c r="BC1840" t="s">
        <v>665</v>
      </c>
      <c r="BD1840" t="s">
        <v>79</v>
      </c>
      <c r="BE1840" t="s">
        <v>159</v>
      </c>
      <c r="BF1840" s="5">
        <v>46478</v>
      </c>
      <c r="BG1840" t="s">
        <v>67</v>
      </c>
      <c r="BH1840">
        <v>1</v>
      </c>
      <c r="BI1840" s="6">
        <v>380000</v>
      </c>
      <c r="BJ1840" s="6">
        <v>45</v>
      </c>
      <c r="BK1840" s="6">
        <v>171000</v>
      </c>
      <c r="BL1840" s="6">
        <v>209000</v>
      </c>
      <c r="BM1840" s="2">
        <v>209000</v>
      </c>
      <c r="BN1840">
        <f>InvoiceTable[[#This Row],[Giảm giá]]*InvoiceTable[[#This Row],[Số lượng]]</f>
        <v>171000</v>
      </c>
    </row>
    <row r="1841" spans="1:66" x14ac:dyDescent="0.25">
      <c r="A1841" t="s">
        <v>65</v>
      </c>
      <c r="B1841" t="s">
        <v>4481</v>
      </c>
      <c r="F1841" s="2"/>
      <c r="G1841" s="3">
        <v>45996.948201238425</v>
      </c>
      <c r="H1841" s="3">
        <v>45996.948016516202</v>
      </c>
      <c r="I1841" s="4" t="s">
        <v>96</v>
      </c>
      <c r="J1841" t="s">
        <v>4482</v>
      </c>
      <c r="K1841" t="s">
        <v>67</v>
      </c>
      <c r="L1841" t="s">
        <v>4483</v>
      </c>
      <c r="M1841" t="s">
        <v>4484</v>
      </c>
      <c r="N1841" t="s">
        <v>67</v>
      </c>
      <c r="Q1841" t="s">
        <v>67</v>
      </c>
      <c r="R1841" t="s">
        <v>67</v>
      </c>
      <c r="S1841" s="5"/>
      <c r="T1841" t="s">
        <v>72</v>
      </c>
      <c r="U1841" t="s">
        <v>1031</v>
      </c>
      <c r="V1841" t="s">
        <v>74</v>
      </c>
      <c r="W1841" t="s">
        <v>1031</v>
      </c>
      <c r="AE1841" s="2"/>
      <c r="AF1841" s="2"/>
      <c r="AG1841" s="2"/>
      <c r="AH1841" s="2"/>
      <c r="AK1841" t="s">
        <v>67</v>
      </c>
      <c r="AL1841" s="2">
        <v>2312700</v>
      </c>
      <c r="AM1841" s="2">
        <v>0</v>
      </c>
      <c r="AN1841" s="2"/>
      <c r="AO1841" s="2">
        <v>0</v>
      </c>
      <c r="AP1841" s="2">
        <v>2312700</v>
      </c>
      <c r="AQ1841" s="2">
        <v>2312700</v>
      </c>
      <c r="AR1841" s="2">
        <v>2312700</v>
      </c>
      <c r="AS1841" s="2">
        <v>0</v>
      </c>
      <c r="AT1841" s="2">
        <v>0</v>
      </c>
      <c r="AU1841" s="2">
        <v>0</v>
      </c>
      <c r="AV1841" s="2">
        <v>0</v>
      </c>
      <c r="AW1841" s="4"/>
      <c r="AX1841" t="s">
        <v>75</v>
      </c>
      <c r="AZ1841" t="s">
        <v>340</v>
      </c>
      <c r="BA1841" t="s">
        <v>67</v>
      </c>
      <c r="BB1841" t="s">
        <v>341</v>
      </c>
      <c r="BC1841" t="s">
        <v>204</v>
      </c>
      <c r="BD1841" t="s">
        <v>79</v>
      </c>
      <c r="BE1841" t="s">
        <v>334</v>
      </c>
      <c r="BF1841" s="5">
        <v>47209</v>
      </c>
      <c r="BG1841" t="s">
        <v>67</v>
      </c>
      <c r="BH1841">
        <v>1</v>
      </c>
      <c r="BI1841" s="6">
        <v>710000</v>
      </c>
      <c r="BJ1841" s="6">
        <v>30</v>
      </c>
      <c r="BK1841" s="6">
        <v>213000</v>
      </c>
      <c r="BL1841" s="6">
        <v>497000</v>
      </c>
      <c r="BM1841" s="2">
        <v>497000</v>
      </c>
      <c r="BN1841">
        <f>InvoiceTable[[#This Row],[Giảm giá]]*InvoiceTable[[#This Row],[Số lượng]]</f>
        <v>213000</v>
      </c>
    </row>
    <row r="1842" spans="1:66" x14ac:dyDescent="0.25">
      <c r="A1842" t="s">
        <v>65</v>
      </c>
      <c r="B1842" t="s">
        <v>4481</v>
      </c>
      <c r="F1842" s="2"/>
      <c r="G1842" s="3">
        <v>45996.948201238425</v>
      </c>
      <c r="H1842" s="3">
        <v>45996.948016516202</v>
      </c>
      <c r="I1842" s="4" t="s">
        <v>96</v>
      </c>
      <c r="J1842" t="s">
        <v>4482</v>
      </c>
      <c r="K1842" t="s">
        <v>67</v>
      </c>
      <c r="L1842" t="s">
        <v>4483</v>
      </c>
      <c r="M1842" t="s">
        <v>4484</v>
      </c>
      <c r="N1842" t="s">
        <v>67</v>
      </c>
      <c r="Q1842" t="s">
        <v>67</v>
      </c>
      <c r="R1842" t="s">
        <v>67</v>
      </c>
      <c r="S1842" s="5"/>
      <c r="T1842" t="s">
        <v>72</v>
      </c>
      <c r="U1842" t="s">
        <v>1031</v>
      </c>
      <c r="V1842" t="s">
        <v>74</v>
      </c>
      <c r="W1842" t="s">
        <v>1031</v>
      </c>
      <c r="AE1842" s="2"/>
      <c r="AF1842" s="2"/>
      <c r="AG1842" s="2"/>
      <c r="AH1842" s="2"/>
      <c r="AK1842" t="s">
        <v>67</v>
      </c>
      <c r="AL1842" s="2">
        <v>2312700</v>
      </c>
      <c r="AM1842" s="2">
        <v>0</v>
      </c>
      <c r="AN1842" s="2"/>
      <c r="AO1842" s="2">
        <v>0</v>
      </c>
      <c r="AP1842" s="2">
        <v>2312700</v>
      </c>
      <c r="AQ1842" s="2">
        <v>2312700</v>
      </c>
      <c r="AR1842" s="2">
        <v>2312700</v>
      </c>
      <c r="AS1842" s="2">
        <v>0</v>
      </c>
      <c r="AT1842" s="2">
        <v>0</v>
      </c>
      <c r="AU1842" s="2">
        <v>0</v>
      </c>
      <c r="AV1842" s="2">
        <v>0</v>
      </c>
      <c r="AW1842" s="4"/>
      <c r="AX1842" t="s">
        <v>75</v>
      </c>
      <c r="AZ1842" t="s">
        <v>1470</v>
      </c>
      <c r="BA1842" t="s">
        <v>67</v>
      </c>
      <c r="BB1842" t="s">
        <v>1471</v>
      </c>
      <c r="BC1842" t="s">
        <v>204</v>
      </c>
      <c r="BD1842" t="s">
        <v>79</v>
      </c>
      <c r="BE1842" t="s">
        <v>139</v>
      </c>
      <c r="BF1842" s="5">
        <v>46447</v>
      </c>
      <c r="BG1842" t="s">
        <v>67</v>
      </c>
      <c r="BH1842">
        <v>1</v>
      </c>
      <c r="BI1842" s="6">
        <v>330000</v>
      </c>
      <c r="BJ1842" s="6">
        <v>30</v>
      </c>
      <c r="BK1842" s="6">
        <v>99000</v>
      </c>
      <c r="BL1842" s="6">
        <v>231000</v>
      </c>
      <c r="BM1842" s="2">
        <v>231000</v>
      </c>
      <c r="BN1842">
        <f>InvoiceTable[[#This Row],[Giảm giá]]*InvoiceTable[[#This Row],[Số lượng]]</f>
        <v>99000</v>
      </c>
    </row>
    <row r="1843" spans="1:66" x14ac:dyDescent="0.25">
      <c r="A1843" t="s">
        <v>65</v>
      </c>
      <c r="B1843" t="s">
        <v>4481</v>
      </c>
      <c r="F1843" s="2"/>
      <c r="G1843" s="3">
        <v>45996.948201238425</v>
      </c>
      <c r="H1843" s="3">
        <v>45996.948016516202</v>
      </c>
      <c r="I1843" s="4" t="s">
        <v>96</v>
      </c>
      <c r="J1843" t="s">
        <v>4482</v>
      </c>
      <c r="K1843" t="s">
        <v>67</v>
      </c>
      <c r="L1843" t="s">
        <v>4483</v>
      </c>
      <c r="M1843" t="s">
        <v>4484</v>
      </c>
      <c r="N1843" t="s">
        <v>67</v>
      </c>
      <c r="Q1843" t="s">
        <v>67</v>
      </c>
      <c r="R1843" t="s">
        <v>67</v>
      </c>
      <c r="S1843" s="5"/>
      <c r="T1843" t="s">
        <v>72</v>
      </c>
      <c r="U1843" t="s">
        <v>1031</v>
      </c>
      <c r="V1843" t="s">
        <v>74</v>
      </c>
      <c r="W1843" t="s">
        <v>1031</v>
      </c>
      <c r="AE1843" s="2"/>
      <c r="AF1843" s="2"/>
      <c r="AG1843" s="2"/>
      <c r="AH1843" s="2"/>
      <c r="AK1843" t="s">
        <v>67</v>
      </c>
      <c r="AL1843" s="2">
        <v>2312700</v>
      </c>
      <c r="AM1843" s="2">
        <v>0</v>
      </c>
      <c r="AN1843" s="2"/>
      <c r="AO1843" s="2">
        <v>0</v>
      </c>
      <c r="AP1843" s="2">
        <v>2312700</v>
      </c>
      <c r="AQ1843" s="2">
        <v>2312700</v>
      </c>
      <c r="AR1843" s="2">
        <v>2312700</v>
      </c>
      <c r="AS1843" s="2">
        <v>0</v>
      </c>
      <c r="AT1843" s="2">
        <v>0</v>
      </c>
      <c r="AU1843" s="2">
        <v>0</v>
      </c>
      <c r="AV1843" s="2">
        <v>0</v>
      </c>
      <c r="AW1843" s="4"/>
      <c r="AX1843" t="s">
        <v>75</v>
      </c>
      <c r="AZ1843" t="s">
        <v>4434</v>
      </c>
      <c r="BA1843" t="s">
        <v>67</v>
      </c>
      <c r="BB1843" t="s">
        <v>4435</v>
      </c>
      <c r="BC1843" t="s">
        <v>4436</v>
      </c>
      <c r="BD1843" t="s">
        <v>79</v>
      </c>
      <c r="BE1843" t="s">
        <v>168</v>
      </c>
      <c r="BF1843" s="5">
        <v>46388</v>
      </c>
      <c r="BG1843" t="s">
        <v>67</v>
      </c>
      <c r="BH1843">
        <v>1</v>
      </c>
      <c r="BI1843" s="6">
        <v>360000</v>
      </c>
      <c r="BJ1843" s="6">
        <v>30</v>
      </c>
      <c r="BK1843" s="6">
        <v>108000</v>
      </c>
      <c r="BL1843" s="6">
        <v>252000</v>
      </c>
      <c r="BM1843" s="2">
        <v>252000</v>
      </c>
      <c r="BN1843">
        <f>InvoiceTable[[#This Row],[Giảm giá]]*InvoiceTable[[#This Row],[Số lượng]]</f>
        <v>108000</v>
      </c>
    </row>
    <row r="1844" spans="1:66" x14ac:dyDescent="0.25">
      <c r="A1844" t="s">
        <v>65</v>
      </c>
      <c r="B1844" t="s">
        <v>4481</v>
      </c>
      <c r="F1844" s="2"/>
      <c r="G1844" s="3">
        <v>45996.948201238425</v>
      </c>
      <c r="H1844" s="3">
        <v>45996.948016516202</v>
      </c>
      <c r="I1844" s="4" t="s">
        <v>96</v>
      </c>
      <c r="J1844" t="s">
        <v>4482</v>
      </c>
      <c r="K1844" t="s">
        <v>67</v>
      </c>
      <c r="L1844" t="s">
        <v>4483</v>
      </c>
      <c r="M1844" t="s">
        <v>4484</v>
      </c>
      <c r="N1844" t="s">
        <v>67</v>
      </c>
      <c r="Q1844" t="s">
        <v>67</v>
      </c>
      <c r="R1844" t="s">
        <v>67</v>
      </c>
      <c r="S1844" s="5"/>
      <c r="T1844" t="s">
        <v>72</v>
      </c>
      <c r="U1844" t="s">
        <v>1031</v>
      </c>
      <c r="V1844" t="s">
        <v>74</v>
      </c>
      <c r="W1844" t="s">
        <v>1031</v>
      </c>
      <c r="AE1844" s="2"/>
      <c r="AF1844" s="2"/>
      <c r="AG1844" s="2"/>
      <c r="AH1844" s="2"/>
      <c r="AK1844" t="s">
        <v>67</v>
      </c>
      <c r="AL1844" s="2">
        <v>2312700</v>
      </c>
      <c r="AM1844" s="2">
        <v>0</v>
      </c>
      <c r="AN1844" s="2"/>
      <c r="AO1844" s="2">
        <v>0</v>
      </c>
      <c r="AP1844" s="2">
        <v>2312700</v>
      </c>
      <c r="AQ1844" s="2">
        <v>2312700</v>
      </c>
      <c r="AR1844" s="2">
        <v>2312700</v>
      </c>
      <c r="AS1844" s="2">
        <v>0</v>
      </c>
      <c r="AT1844" s="2">
        <v>0</v>
      </c>
      <c r="AU1844" s="2">
        <v>0</v>
      </c>
      <c r="AV1844" s="2">
        <v>0</v>
      </c>
      <c r="AW1844" s="4"/>
      <c r="AX1844" t="s">
        <v>75</v>
      </c>
      <c r="AZ1844" t="s">
        <v>4485</v>
      </c>
      <c r="BA1844" t="s">
        <v>67</v>
      </c>
      <c r="BB1844" t="s">
        <v>4486</v>
      </c>
      <c r="BC1844" t="s">
        <v>90</v>
      </c>
      <c r="BD1844" t="s">
        <v>79</v>
      </c>
      <c r="BE1844" t="s">
        <v>168</v>
      </c>
      <c r="BF1844" s="5">
        <v>46388</v>
      </c>
      <c r="BG1844" t="s">
        <v>67</v>
      </c>
      <c r="BH1844">
        <v>1</v>
      </c>
      <c r="BI1844" s="6">
        <v>1000000</v>
      </c>
      <c r="BJ1844" s="6">
        <v>60</v>
      </c>
      <c r="BK1844" s="6">
        <v>600000</v>
      </c>
      <c r="BL1844" s="6">
        <v>400000</v>
      </c>
      <c r="BM1844" s="2">
        <v>400000</v>
      </c>
      <c r="BN1844">
        <f>InvoiceTable[[#This Row],[Giảm giá]]*InvoiceTable[[#This Row],[Số lượng]]</f>
        <v>600000</v>
      </c>
    </row>
    <row r="1845" spans="1:66" x14ac:dyDescent="0.25">
      <c r="A1845" t="s">
        <v>65</v>
      </c>
      <c r="B1845" t="s">
        <v>4487</v>
      </c>
      <c r="F1845" s="2"/>
      <c r="G1845" s="3">
        <v>45996.754606712966</v>
      </c>
      <c r="H1845" s="3">
        <v>45996.754606828705</v>
      </c>
      <c r="I1845" s="4" t="s">
        <v>67</v>
      </c>
      <c r="J1845" t="s">
        <v>4488</v>
      </c>
      <c r="K1845" t="s">
        <v>67</v>
      </c>
      <c r="L1845" t="s">
        <v>4489</v>
      </c>
      <c r="M1845" t="s">
        <v>4490</v>
      </c>
      <c r="N1845" t="s">
        <v>67</v>
      </c>
      <c r="O1845" t="s">
        <v>4491</v>
      </c>
      <c r="P1845" t="s">
        <v>4492</v>
      </c>
      <c r="Q1845" t="s">
        <v>67</v>
      </c>
      <c r="R1845" t="s">
        <v>67</v>
      </c>
      <c r="S1845" s="5"/>
      <c r="T1845" t="s">
        <v>72</v>
      </c>
      <c r="U1845" t="s">
        <v>73</v>
      </c>
      <c r="V1845" t="s">
        <v>74</v>
      </c>
      <c r="W1845" t="s">
        <v>87</v>
      </c>
      <c r="AE1845" s="2"/>
      <c r="AF1845" s="2"/>
      <c r="AG1845" s="2"/>
      <c r="AH1845" s="2"/>
      <c r="AK1845" t="s">
        <v>4493</v>
      </c>
      <c r="AL1845" s="2">
        <v>4130000</v>
      </c>
      <c r="AM1845" s="2">
        <v>0</v>
      </c>
      <c r="AN1845" s="2"/>
      <c r="AO1845" s="2">
        <v>0</v>
      </c>
      <c r="AP1845" s="2">
        <v>4130000</v>
      </c>
      <c r="AQ1845" s="2">
        <v>4130000</v>
      </c>
      <c r="AR1845" s="2">
        <v>4130000</v>
      </c>
      <c r="AS1845" s="2">
        <v>0</v>
      </c>
      <c r="AT1845" s="2">
        <v>0</v>
      </c>
      <c r="AU1845" s="2">
        <v>0</v>
      </c>
      <c r="AV1845" s="2">
        <v>0</v>
      </c>
      <c r="AW1845" s="4"/>
      <c r="AX1845" t="s">
        <v>75</v>
      </c>
      <c r="AZ1845" t="s">
        <v>748</v>
      </c>
      <c r="BA1845" t="s">
        <v>67</v>
      </c>
      <c r="BB1845" t="s">
        <v>749</v>
      </c>
      <c r="BC1845" t="s">
        <v>750</v>
      </c>
      <c r="BD1845" t="s">
        <v>79</v>
      </c>
      <c r="BE1845" t="s">
        <v>117</v>
      </c>
      <c r="BF1845" s="5">
        <v>46569</v>
      </c>
      <c r="BG1845" t="s">
        <v>67</v>
      </c>
      <c r="BH1845">
        <v>3</v>
      </c>
      <c r="BI1845" s="6">
        <v>1500000</v>
      </c>
      <c r="BJ1845" s="6">
        <v>0</v>
      </c>
      <c r="BK1845" s="6">
        <v>450000</v>
      </c>
      <c r="BL1845" s="6">
        <v>1050000</v>
      </c>
      <c r="BM1845" s="2">
        <v>3150000</v>
      </c>
      <c r="BN1845">
        <f>InvoiceTable[[#This Row],[Giảm giá]]*InvoiceTable[[#This Row],[Số lượng]]</f>
        <v>1350000</v>
      </c>
    </row>
    <row r="1846" spans="1:66" x14ac:dyDescent="0.25">
      <c r="A1846" t="s">
        <v>65</v>
      </c>
      <c r="B1846" t="s">
        <v>4487</v>
      </c>
      <c r="F1846" s="2"/>
      <c r="G1846" s="3">
        <v>45996.754606712966</v>
      </c>
      <c r="H1846" s="3">
        <v>45996.754606828705</v>
      </c>
      <c r="I1846" s="4" t="s">
        <v>67</v>
      </c>
      <c r="J1846" t="s">
        <v>4488</v>
      </c>
      <c r="K1846" t="s">
        <v>67</v>
      </c>
      <c r="L1846" t="s">
        <v>4489</v>
      </c>
      <c r="M1846" t="s">
        <v>4490</v>
      </c>
      <c r="N1846" t="s">
        <v>67</v>
      </c>
      <c r="O1846" t="s">
        <v>4491</v>
      </c>
      <c r="P1846" t="s">
        <v>4492</v>
      </c>
      <c r="Q1846" t="s">
        <v>67</v>
      </c>
      <c r="R1846" t="s">
        <v>67</v>
      </c>
      <c r="S1846" s="5"/>
      <c r="T1846" t="s">
        <v>72</v>
      </c>
      <c r="U1846" t="s">
        <v>73</v>
      </c>
      <c r="V1846" t="s">
        <v>74</v>
      </c>
      <c r="W1846" t="s">
        <v>87</v>
      </c>
      <c r="AE1846" s="2"/>
      <c r="AF1846" s="2"/>
      <c r="AG1846" s="2"/>
      <c r="AH1846" s="2"/>
      <c r="AK1846" t="s">
        <v>4493</v>
      </c>
      <c r="AL1846" s="2">
        <v>4130000</v>
      </c>
      <c r="AM1846" s="2">
        <v>0</v>
      </c>
      <c r="AN1846" s="2"/>
      <c r="AO1846" s="2">
        <v>0</v>
      </c>
      <c r="AP1846" s="2">
        <v>4130000</v>
      </c>
      <c r="AQ1846" s="2">
        <v>4130000</v>
      </c>
      <c r="AR1846" s="2">
        <v>4130000</v>
      </c>
      <c r="AS1846" s="2">
        <v>0</v>
      </c>
      <c r="AT1846" s="2">
        <v>0</v>
      </c>
      <c r="AU1846" s="2">
        <v>0</v>
      </c>
      <c r="AV1846" s="2">
        <v>0</v>
      </c>
      <c r="AW1846" s="4"/>
      <c r="AX1846" t="s">
        <v>75</v>
      </c>
      <c r="AZ1846" t="s">
        <v>480</v>
      </c>
      <c r="BA1846" t="s">
        <v>67</v>
      </c>
      <c r="BB1846" t="s">
        <v>481</v>
      </c>
      <c r="BC1846" t="s">
        <v>90</v>
      </c>
      <c r="BD1846" t="s">
        <v>79</v>
      </c>
      <c r="BE1846" t="s">
        <v>482</v>
      </c>
      <c r="BF1846" s="5">
        <v>46773</v>
      </c>
      <c r="BG1846" t="s">
        <v>67</v>
      </c>
      <c r="BH1846">
        <v>1</v>
      </c>
      <c r="BI1846" s="6">
        <v>1800000</v>
      </c>
      <c r="BJ1846" s="6">
        <v>0</v>
      </c>
      <c r="BK1846" s="6">
        <v>820000</v>
      </c>
      <c r="BL1846" s="6">
        <v>980000</v>
      </c>
      <c r="BM1846" s="2">
        <v>980000</v>
      </c>
      <c r="BN1846">
        <f>InvoiceTable[[#This Row],[Giảm giá]]*InvoiceTable[[#This Row],[Số lượng]]</f>
        <v>820000</v>
      </c>
    </row>
    <row r="1847" spans="1:66" x14ac:dyDescent="0.25">
      <c r="A1847" t="s">
        <v>65</v>
      </c>
      <c r="B1847" t="s">
        <v>4494</v>
      </c>
      <c r="F1847" s="2"/>
      <c r="G1847" s="3">
        <v>45996.737859456021</v>
      </c>
      <c r="H1847" s="3">
        <v>45996.73785957176</v>
      </c>
      <c r="I1847" s="4" t="s">
        <v>67</v>
      </c>
      <c r="J1847" t="s">
        <v>67</v>
      </c>
      <c r="K1847" t="s">
        <v>67</v>
      </c>
      <c r="L1847" t="s">
        <v>1935</v>
      </c>
      <c r="M1847" t="s">
        <v>1936</v>
      </c>
      <c r="N1847" t="s">
        <v>67</v>
      </c>
      <c r="O1847" t="s">
        <v>1937</v>
      </c>
      <c r="P1847" t="s">
        <v>1938</v>
      </c>
      <c r="S1847" s="5"/>
      <c r="T1847" t="s">
        <v>72</v>
      </c>
      <c r="U1847" t="s">
        <v>87</v>
      </c>
      <c r="V1847" t="s">
        <v>74</v>
      </c>
      <c r="W1847" t="s">
        <v>87</v>
      </c>
      <c r="AE1847" s="2"/>
      <c r="AF1847" s="2"/>
      <c r="AG1847" s="2"/>
      <c r="AH1847" s="2"/>
      <c r="AL1847" s="2">
        <v>2306388</v>
      </c>
      <c r="AM1847" s="2">
        <v>0</v>
      </c>
      <c r="AN1847" s="2"/>
      <c r="AO1847" s="2">
        <v>0</v>
      </c>
      <c r="AP1847" s="2">
        <v>2306388</v>
      </c>
      <c r="AQ1847" s="2">
        <v>0</v>
      </c>
      <c r="AR1847" s="2">
        <v>0</v>
      </c>
      <c r="AS1847" s="2">
        <v>0</v>
      </c>
      <c r="AT1847" s="2">
        <v>0</v>
      </c>
      <c r="AU1847" s="2">
        <v>0</v>
      </c>
      <c r="AV1847" s="2">
        <v>0</v>
      </c>
      <c r="AW1847" s="4"/>
      <c r="AX1847" t="s">
        <v>75</v>
      </c>
      <c r="AZ1847" t="s">
        <v>1945</v>
      </c>
      <c r="BA1847" t="s">
        <v>67</v>
      </c>
      <c r="BB1847" t="s">
        <v>1946</v>
      </c>
      <c r="BC1847" t="s">
        <v>173</v>
      </c>
      <c r="BD1847" t="s">
        <v>79</v>
      </c>
      <c r="BE1847" t="s">
        <v>1947</v>
      </c>
      <c r="BF1847" s="5">
        <v>47335</v>
      </c>
      <c r="BG1847" t="s">
        <v>67</v>
      </c>
      <c r="BH1847">
        <v>2</v>
      </c>
      <c r="BI1847" s="6">
        <v>1364727</v>
      </c>
      <c r="BJ1847" s="6">
        <v>44</v>
      </c>
      <c r="BK1847" s="6">
        <v>600479.88</v>
      </c>
      <c r="BL1847" s="6">
        <v>764247.12</v>
      </c>
      <c r="BM1847" s="2">
        <v>1528494</v>
      </c>
      <c r="BN1847">
        <f>InvoiceTable[[#This Row],[Giảm giá]]*InvoiceTable[[#This Row],[Số lượng]]</f>
        <v>1200959.76</v>
      </c>
    </row>
    <row r="1848" spans="1:66" x14ac:dyDescent="0.25">
      <c r="A1848" t="s">
        <v>65</v>
      </c>
      <c r="B1848" t="s">
        <v>4494</v>
      </c>
      <c r="F1848" s="2"/>
      <c r="G1848" s="3">
        <v>45996.737859456021</v>
      </c>
      <c r="H1848" s="3">
        <v>45996.73785957176</v>
      </c>
      <c r="I1848" s="4" t="s">
        <v>67</v>
      </c>
      <c r="J1848" t="s">
        <v>67</v>
      </c>
      <c r="K1848" t="s">
        <v>67</v>
      </c>
      <c r="L1848" t="s">
        <v>1935</v>
      </c>
      <c r="M1848" t="s">
        <v>1936</v>
      </c>
      <c r="N1848" t="s">
        <v>67</v>
      </c>
      <c r="O1848" t="s">
        <v>1937</v>
      </c>
      <c r="P1848" t="s">
        <v>1938</v>
      </c>
      <c r="S1848" s="5"/>
      <c r="T1848" t="s">
        <v>72</v>
      </c>
      <c r="U1848" t="s">
        <v>87</v>
      </c>
      <c r="V1848" t="s">
        <v>74</v>
      </c>
      <c r="W1848" t="s">
        <v>87</v>
      </c>
      <c r="AE1848" s="2"/>
      <c r="AF1848" s="2"/>
      <c r="AG1848" s="2"/>
      <c r="AH1848" s="2"/>
      <c r="AL1848" s="2">
        <v>2306388</v>
      </c>
      <c r="AM1848" s="2">
        <v>0</v>
      </c>
      <c r="AN1848" s="2"/>
      <c r="AO1848" s="2">
        <v>0</v>
      </c>
      <c r="AP1848" s="2">
        <v>2306388</v>
      </c>
      <c r="AQ1848" s="2">
        <v>0</v>
      </c>
      <c r="AR1848" s="2">
        <v>0</v>
      </c>
      <c r="AS1848" s="2">
        <v>0</v>
      </c>
      <c r="AT1848" s="2">
        <v>0</v>
      </c>
      <c r="AU1848" s="2">
        <v>0</v>
      </c>
      <c r="AV1848" s="2">
        <v>0</v>
      </c>
      <c r="AW1848" s="4"/>
      <c r="AX1848" t="s">
        <v>75</v>
      </c>
      <c r="AZ1848" t="s">
        <v>919</v>
      </c>
      <c r="BA1848" t="s">
        <v>67</v>
      </c>
      <c r="BB1848" t="s">
        <v>920</v>
      </c>
      <c r="BC1848" t="s">
        <v>822</v>
      </c>
      <c r="BD1848" t="s">
        <v>79</v>
      </c>
      <c r="BE1848" t="s">
        <v>921</v>
      </c>
      <c r="BF1848" s="5">
        <v>47392</v>
      </c>
      <c r="BG1848" t="s">
        <v>67</v>
      </c>
      <c r="BH1848">
        <v>1</v>
      </c>
      <c r="BI1848" s="6">
        <v>1364727</v>
      </c>
      <c r="BJ1848" s="6">
        <v>43</v>
      </c>
      <c r="BK1848" s="6">
        <v>586832.61</v>
      </c>
      <c r="BL1848" s="6">
        <v>777894.39</v>
      </c>
      <c r="BM1848" s="2">
        <v>777894</v>
      </c>
      <c r="BN1848">
        <f>InvoiceTable[[#This Row],[Giảm giá]]*InvoiceTable[[#This Row],[Số lượng]]</f>
        <v>586832.61</v>
      </c>
    </row>
    <row r="1849" spans="1:66" x14ac:dyDescent="0.25">
      <c r="A1849" t="s">
        <v>65</v>
      </c>
      <c r="B1849" t="s">
        <v>4495</v>
      </c>
      <c r="F1849" s="2"/>
      <c r="G1849" s="3">
        <v>45996.724125844907</v>
      </c>
      <c r="H1849" s="3">
        <v>45996.724126006942</v>
      </c>
      <c r="I1849" s="4" t="s">
        <v>67</v>
      </c>
      <c r="J1849" t="s">
        <v>67</v>
      </c>
      <c r="K1849" t="s">
        <v>67</v>
      </c>
      <c r="L1849" t="s">
        <v>4298</v>
      </c>
      <c r="M1849" t="s">
        <v>4299</v>
      </c>
      <c r="N1849" t="s">
        <v>67</v>
      </c>
      <c r="O1849" t="s">
        <v>4300</v>
      </c>
      <c r="P1849" t="s">
        <v>4301</v>
      </c>
      <c r="Q1849" t="s">
        <v>67</v>
      </c>
      <c r="R1849" t="s">
        <v>67</v>
      </c>
      <c r="S1849" s="5"/>
      <c r="T1849" t="s">
        <v>72</v>
      </c>
      <c r="U1849" t="s">
        <v>87</v>
      </c>
      <c r="V1849" t="s">
        <v>74</v>
      </c>
      <c r="W1849" t="s">
        <v>87</v>
      </c>
      <c r="AE1849" s="2"/>
      <c r="AF1849" s="2"/>
      <c r="AG1849" s="2"/>
      <c r="AH1849" s="2"/>
      <c r="AK1849" t="s">
        <v>4496</v>
      </c>
      <c r="AL1849" s="2">
        <v>4042500</v>
      </c>
      <c r="AM1849" s="2">
        <v>0</v>
      </c>
      <c r="AN1849" s="2"/>
      <c r="AO1849" s="2">
        <v>0</v>
      </c>
      <c r="AP1849" s="2">
        <v>4042500</v>
      </c>
      <c r="AQ1849" s="2">
        <v>0</v>
      </c>
      <c r="AR1849" s="2">
        <v>0</v>
      </c>
      <c r="AS1849" s="2">
        <v>0</v>
      </c>
      <c r="AT1849" s="2">
        <v>0</v>
      </c>
      <c r="AU1849" s="2">
        <v>0</v>
      </c>
      <c r="AV1849" s="2">
        <v>0</v>
      </c>
      <c r="AW1849" s="4"/>
      <c r="AX1849" t="s">
        <v>75</v>
      </c>
      <c r="AZ1849" t="s">
        <v>1663</v>
      </c>
      <c r="BA1849" t="s">
        <v>67</v>
      </c>
      <c r="BB1849" t="s">
        <v>1664</v>
      </c>
      <c r="BC1849" t="s">
        <v>285</v>
      </c>
      <c r="BD1849" t="s">
        <v>79</v>
      </c>
      <c r="BE1849" t="s">
        <v>117</v>
      </c>
      <c r="BF1849" s="5">
        <v>46569</v>
      </c>
      <c r="BG1849" t="s">
        <v>67</v>
      </c>
      <c r="BH1849">
        <v>3</v>
      </c>
      <c r="BI1849" s="6">
        <v>2450000</v>
      </c>
      <c r="BJ1849" s="6">
        <v>45</v>
      </c>
      <c r="BK1849" s="6">
        <v>1102500</v>
      </c>
      <c r="BL1849" s="6">
        <v>1347500</v>
      </c>
      <c r="BM1849" s="2">
        <v>4042500</v>
      </c>
      <c r="BN1849">
        <f>InvoiceTable[[#This Row],[Giảm giá]]*InvoiceTable[[#This Row],[Số lượng]]</f>
        <v>3307500</v>
      </c>
    </row>
    <row r="1850" spans="1:66" x14ac:dyDescent="0.25">
      <c r="A1850" t="s">
        <v>65</v>
      </c>
      <c r="B1850" t="s">
        <v>4497</v>
      </c>
      <c r="F1850" s="2"/>
      <c r="G1850" s="3">
        <v>45996.72351747685</v>
      </c>
      <c r="H1850" s="3">
        <v>45996.723355520837</v>
      </c>
      <c r="I1850" s="4" t="s">
        <v>844</v>
      </c>
      <c r="J1850" t="s">
        <v>67</v>
      </c>
      <c r="K1850" t="s">
        <v>67</v>
      </c>
      <c r="L1850" t="s">
        <v>1141</v>
      </c>
      <c r="M1850" t="s">
        <v>1142</v>
      </c>
      <c r="N1850" t="s">
        <v>67</v>
      </c>
      <c r="O1850" t="s">
        <v>1143</v>
      </c>
      <c r="P1850" t="s">
        <v>1144</v>
      </c>
      <c r="Q1850" t="s">
        <v>1145</v>
      </c>
      <c r="R1850" t="s">
        <v>1146</v>
      </c>
      <c r="S1850" s="5"/>
      <c r="T1850" t="s">
        <v>72</v>
      </c>
      <c r="U1850" t="s">
        <v>87</v>
      </c>
      <c r="V1850" t="s">
        <v>74</v>
      </c>
      <c r="W1850" t="s">
        <v>87</v>
      </c>
      <c r="AE1850" s="2"/>
      <c r="AF1850" s="2"/>
      <c r="AG1850" s="2"/>
      <c r="AH1850" s="2"/>
      <c r="AK1850" t="s">
        <v>4498</v>
      </c>
      <c r="AL1850" s="2">
        <v>24515000</v>
      </c>
      <c r="AM1850" s="2">
        <v>0</v>
      </c>
      <c r="AN1850" s="2"/>
      <c r="AO1850" s="2">
        <v>0</v>
      </c>
      <c r="AP1850" s="2">
        <v>24515000</v>
      </c>
      <c r="AQ1850" s="2">
        <v>0</v>
      </c>
      <c r="AR1850" s="2">
        <v>0</v>
      </c>
      <c r="AS1850" s="2">
        <v>0</v>
      </c>
      <c r="AT1850" s="2">
        <v>0</v>
      </c>
      <c r="AU1850" s="2">
        <v>0</v>
      </c>
      <c r="AV1850" s="2">
        <v>0</v>
      </c>
      <c r="AW1850" s="4"/>
      <c r="AX1850" t="s">
        <v>75</v>
      </c>
      <c r="AZ1850" t="s">
        <v>536</v>
      </c>
      <c r="BA1850" t="s">
        <v>67</v>
      </c>
      <c r="BB1850" t="s">
        <v>537</v>
      </c>
      <c r="BC1850" t="s">
        <v>105</v>
      </c>
      <c r="BD1850" t="s">
        <v>79</v>
      </c>
      <c r="BE1850" t="s">
        <v>216</v>
      </c>
      <c r="BF1850" s="5">
        <v>46784</v>
      </c>
      <c r="BH1850">
        <v>1</v>
      </c>
      <c r="BI1850" s="6">
        <v>7665000</v>
      </c>
      <c r="BJ1850" s="6">
        <v>0</v>
      </c>
      <c r="BK1850" s="6">
        <v>1465000</v>
      </c>
      <c r="BL1850" s="6">
        <v>6200000</v>
      </c>
      <c r="BM1850" s="2">
        <v>6200000</v>
      </c>
      <c r="BN1850">
        <f>InvoiceTable[[#This Row],[Giảm giá]]*InvoiceTable[[#This Row],[Số lượng]]</f>
        <v>1465000</v>
      </c>
    </row>
    <row r="1851" spans="1:66" x14ac:dyDescent="0.25">
      <c r="A1851" t="s">
        <v>65</v>
      </c>
      <c r="B1851" t="s">
        <v>4497</v>
      </c>
      <c r="F1851" s="2"/>
      <c r="G1851" s="3">
        <v>45996.72351747685</v>
      </c>
      <c r="H1851" s="3">
        <v>45996.723355520837</v>
      </c>
      <c r="I1851" s="4" t="s">
        <v>844</v>
      </c>
      <c r="J1851" t="s">
        <v>67</v>
      </c>
      <c r="K1851" t="s">
        <v>67</v>
      </c>
      <c r="L1851" t="s">
        <v>1141</v>
      </c>
      <c r="M1851" t="s">
        <v>1142</v>
      </c>
      <c r="N1851" t="s">
        <v>67</v>
      </c>
      <c r="O1851" t="s">
        <v>1143</v>
      </c>
      <c r="P1851" t="s">
        <v>1144</v>
      </c>
      <c r="Q1851" t="s">
        <v>1145</v>
      </c>
      <c r="R1851" t="s">
        <v>1146</v>
      </c>
      <c r="S1851" s="5"/>
      <c r="T1851" t="s">
        <v>72</v>
      </c>
      <c r="U1851" t="s">
        <v>87</v>
      </c>
      <c r="V1851" t="s">
        <v>74</v>
      </c>
      <c r="W1851" t="s">
        <v>87</v>
      </c>
      <c r="AE1851" s="2"/>
      <c r="AF1851" s="2"/>
      <c r="AG1851" s="2"/>
      <c r="AH1851" s="2"/>
      <c r="AK1851" t="s">
        <v>4498</v>
      </c>
      <c r="AL1851" s="2">
        <v>24515000</v>
      </c>
      <c r="AM1851" s="2">
        <v>0</v>
      </c>
      <c r="AN1851" s="2"/>
      <c r="AO1851" s="2">
        <v>0</v>
      </c>
      <c r="AP1851" s="2">
        <v>24515000</v>
      </c>
      <c r="AQ1851" s="2">
        <v>0</v>
      </c>
      <c r="AR1851" s="2">
        <v>0</v>
      </c>
      <c r="AS1851" s="2">
        <v>0</v>
      </c>
      <c r="AT1851" s="2">
        <v>0</v>
      </c>
      <c r="AU1851" s="2">
        <v>0</v>
      </c>
      <c r="AV1851" s="2">
        <v>0</v>
      </c>
      <c r="AW1851" s="4"/>
      <c r="AX1851" t="s">
        <v>75</v>
      </c>
      <c r="AZ1851" t="s">
        <v>103</v>
      </c>
      <c r="BB1851" t="s">
        <v>104</v>
      </c>
      <c r="BC1851" t="s">
        <v>105</v>
      </c>
      <c r="BD1851" t="s">
        <v>79</v>
      </c>
      <c r="BE1851" t="s">
        <v>106</v>
      </c>
      <c r="BF1851" s="5">
        <v>46327</v>
      </c>
      <c r="BH1851">
        <v>1</v>
      </c>
      <c r="BI1851" s="6">
        <v>6930000</v>
      </c>
      <c r="BJ1851" s="6">
        <v>0</v>
      </c>
      <c r="BK1851" s="6">
        <v>2830000</v>
      </c>
      <c r="BL1851" s="6">
        <v>4100000</v>
      </c>
      <c r="BM1851" s="2">
        <v>4100000</v>
      </c>
      <c r="BN1851">
        <f>InvoiceTable[[#This Row],[Giảm giá]]*InvoiceTable[[#This Row],[Số lượng]]</f>
        <v>2830000</v>
      </c>
    </row>
    <row r="1852" spans="1:66" x14ac:dyDescent="0.25">
      <c r="A1852" t="s">
        <v>65</v>
      </c>
      <c r="B1852" t="s">
        <v>4497</v>
      </c>
      <c r="F1852" s="2"/>
      <c r="G1852" s="3">
        <v>45996.72351747685</v>
      </c>
      <c r="H1852" s="3">
        <v>45996.723355520837</v>
      </c>
      <c r="I1852" s="4" t="s">
        <v>844</v>
      </c>
      <c r="J1852" t="s">
        <v>67</v>
      </c>
      <c r="K1852" t="s">
        <v>67</v>
      </c>
      <c r="L1852" t="s">
        <v>1141</v>
      </c>
      <c r="M1852" t="s">
        <v>1142</v>
      </c>
      <c r="N1852" t="s">
        <v>67</v>
      </c>
      <c r="O1852" t="s">
        <v>1143</v>
      </c>
      <c r="P1852" t="s">
        <v>1144</v>
      </c>
      <c r="Q1852" t="s">
        <v>1145</v>
      </c>
      <c r="R1852" t="s">
        <v>1146</v>
      </c>
      <c r="S1852" s="5"/>
      <c r="T1852" t="s">
        <v>72</v>
      </c>
      <c r="U1852" t="s">
        <v>87</v>
      </c>
      <c r="V1852" t="s">
        <v>74</v>
      </c>
      <c r="W1852" t="s">
        <v>87</v>
      </c>
      <c r="AE1852" s="2"/>
      <c r="AF1852" s="2"/>
      <c r="AG1852" s="2"/>
      <c r="AH1852" s="2"/>
      <c r="AK1852" t="s">
        <v>4498</v>
      </c>
      <c r="AL1852" s="2">
        <v>24515000</v>
      </c>
      <c r="AM1852" s="2">
        <v>0</v>
      </c>
      <c r="AN1852" s="2"/>
      <c r="AO1852" s="2">
        <v>0</v>
      </c>
      <c r="AP1852" s="2">
        <v>24515000</v>
      </c>
      <c r="AQ1852" s="2">
        <v>0</v>
      </c>
      <c r="AR1852" s="2">
        <v>0</v>
      </c>
      <c r="AS1852" s="2">
        <v>0</v>
      </c>
      <c r="AT1852" s="2">
        <v>0</v>
      </c>
      <c r="AU1852" s="2">
        <v>0</v>
      </c>
      <c r="AV1852" s="2">
        <v>0</v>
      </c>
      <c r="AW1852" s="4"/>
      <c r="AX1852" t="s">
        <v>75</v>
      </c>
      <c r="AZ1852" t="s">
        <v>601</v>
      </c>
      <c r="BA1852" t="s">
        <v>67</v>
      </c>
      <c r="BB1852" t="s">
        <v>602</v>
      </c>
      <c r="BC1852" t="s">
        <v>301</v>
      </c>
      <c r="BD1852" t="s">
        <v>79</v>
      </c>
      <c r="BE1852" t="s">
        <v>117</v>
      </c>
      <c r="BF1852" s="5">
        <v>46569</v>
      </c>
      <c r="BH1852">
        <v>2</v>
      </c>
      <c r="BI1852" s="6">
        <v>2650000</v>
      </c>
      <c r="BJ1852" s="6">
        <v>45</v>
      </c>
      <c r="BK1852" s="6">
        <v>1192500</v>
      </c>
      <c r="BL1852" s="6">
        <v>1457500</v>
      </c>
      <c r="BM1852" s="2">
        <v>2915000</v>
      </c>
      <c r="BN1852">
        <f>InvoiceTable[[#This Row],[Giảm giá]]*InvoiceTable[[#This Row],[Số lượng]]</f>
        <v>2385000</v>
      </c>
    </row>
    <row r="1853" spans="1:66" x14ac:dyDescent="0.25">
      <c r="A1853" t="s">
        <v>65</v>
      </c>
      <c r="B1853" t="s">
        <v>4497</v>
      </c>
      <c r="F1853" s="2"/>
      <c r="G1853" s="3">
        <v>45996.72351747685</v>
      </c>
      <c r="H1853" s="3">
        <v>45996.723355520837</v>
      </c>
      <c r="I1853" s="4" t="s">
        <v>844</v>
      </c>
      <c r="J1853" t="s">
        <v>67</v>
      </c>
      <c r="K1853" t="s">
        <v>67</v>
      </c>
      <c r="L1853" t="s">
        <v>1141</v>
      </c>
      <c r="M1853" t="s">
        <v>1142</v>
      </c>
      <c r="N1853" t="s">
        <v>67</v>
      </c>
      <c r="O1853" t="s">
        <v>1143</v>
      </c>
      <c r="P1853" t="s">
        <v>1144</v>
      </c>
      <c r="Q1853" t="s">
        <v>1145</v>
      </c>
      <c r="R1853" t="s">
        <v>1146</v>
      </c>
      <c r="S1853" s="5"/>
      <c r="T1853" t="s">
        <v>72</v>
      </c>
      <c r="U1853" t="s">
        <v>87</v>
      </c>
      <c r="V1853" t="s">
        <v>74</v>
      </c>
      <c r="W1853" t="s">
        <v>87</v>
      </c>
      <c r="AE1853" s="2"/>
      <c r="AF1853" s="2"/>
      <c r="AG1853" s="2"/>
      <c r="AH1853" s="2"/>
      <c r="AK1853" t="s">
        <v>4498</v>
      </c>
      <c r="AL1853" s="2">
        <v>24515000</v>
      </c>
      <c r="AM1853" s="2">
        <v>0</v>
      </c>
      <c r="AN1853" s="2"/>
      <c r="AO1853" s="2">
        <v>0</v>
      </c>
      <c r="AP1853" s="2">
        <v>24515000</v>
      </c>
      <c r="AQ1853" s="2">
        <v>0</v>
      </c>
      <c r="AR1853" s="2">
        <v>0</v>
      </c>
      <c r="AS1853" s="2">
        <v>0</v>
      </c>
      <c r="AT1853" s="2">
        <v>0</v>
      </c>
      <c r="AU1853" s="2">
        <v>0</v>
      </c>
      <c r="AV1853" s="2">
        <v>0</v>
      </c>
      <c r="AW1853" s="4"/>
      <c r="AX1853" t="s">
        <v>75</v>
      </c>
      <c r="AZ1853" t="s">
        <v>2301</v>
      </c>
      <c r="BA1853" t="s">
        <v>67</v>
      </c>
      <c r="BB1853" t="s">
        <v>2302</v>
      </c>
      <c r="BC1853" t="s">
        <v>587</v>
      </c>
      <c r="BD1853" t="s">
        <v>79</v>
      </c>
      <c r="BE1853" t="s">
        <v>434</v>
      </c>
      <c r="BF1853" s="5">
        <v>46661</v>
      </c>
      <c r="BH1853">
        <v>2</v>
      </c>
      <c r="BI1853" s="6">
        <v>3970000</v>
      </c>
      <c r="BJ1853" s="6">
        <v>23.17</v>
      </c>
      <c r="BK1853" s="6">
        <v>920000</v>
      </c>
      <c r="BL1853" s="6">
        <v>3050000</v>
      </c>
      <c r="BM1853" s="2">
        <v>6100000</v>
      </c>
      <c r="BN1853">
        <f>InvoiceTable[[#This Row],[Giảm giá]]*InvoiceTable[[#This Row],[Số lượng]]</f>
        <v>1840000</v>
      </c>
    </row>
    <row r="1854" spans="1:66" x14ac:dyDescent="0.25">
      <c r="A1854" t="s">
        <v>65</v>
      </c>
      <c r="B1854" t="s">
        <v>4497</v>
      </c>
      <c r="F1854" s="2"/>
      <c r="G1854" s="3">
        <v>45996.72351747685</v>
      </c>
      <c r="H1854" s="3">
        <v>45996.723355520837</v>
      </c>
      <c r="I1854" s="4" t="s">
        <v>844</v>
      </c>
      <c r="J1854" t="s">
        <v>67</v>
      </c>
      <c r="K1854" t="s">
        <v>67</v>
      </c>
      <c r="L1854" t="s">
        <v>1141</v>
      </c>
      <c r="M1854" t="s">
        <v>1142</v>
      </c>
      <c r="N1854" t="s">
        <v>67</v>
      </c>
      <c r="O1854" t="s">
        <v>1143</v>
      </c>
      <c r="P1854" t="s">
        <v>1144</v>
      </c>
      <c r="Q1854" t="s">
        <v>1145</v>
      </c>
      <c r="R1854" t="s">
        <v>1146</v>
      </c>
      <c r="S1854" s="5"/>
      <c r="T1854" t="s">
        <v>72</v>
      </c>
      <c r="U1854" t="s">
        <v>87</v>
      </c>
      <c r="V1854" t="s">
        <v>74</v>
      </c>
      <c r="W1854" t="s">
        <v>87</v>
      </c>
      <c r="AE1854" s="2"/>
      <c r="AF1854" s="2"/>
      <c r="AG1854" s="2"/>
      <c r="AH1854" s="2"/>
      <c r="AK1854" t="s">
        <v>4498</v>
      </c>
      <c r="AL1854" s="2">
        <v>24515000</v>
      </c>
      <c r="AM1854" s="2">
        <v>0</v>
      </c>
      <c r="AN1854" s="2"/>
      <c r="AO1854" s="2">
        <v>0</v>
      </c>
      <c r="AP1854" s="2">
        <v>24515000</v>
      </c>
      <c r="AQ1854" s="2">
        <v>0</v>
      </c>
      <c r="AR1854" s="2">
        <v>0</v>
      </c>
      <c r="AS1854" s="2">
        <v>0</v>
      </c>
      <c r="AT1854" s="2">
        <v>0</v>
      </c>
      <c r="AU1854" s="2">
        <v>0</v>
      </c>
      <c r="AV1854" s="2">
        <v>0</v>
      </c>
      <c r="AW1854" s="4"/>
      <c r="AX1854" t="s">
        <v>75</v>
      </c>
      <c r="AZ1854" t="s">
        <v>585</v>
      </c>
      <c r="BA1854" t="s">
        <v>67</v>
      </c>
      <c r="BB1854" t="s">
        <v>586</v>
      </c>
      <c r="BC1854" t="s">
        <v>587</v>
      </c>
      <c r="BD1854" t="s">
        <v>79</v>
      </c>
      <c r="BE1854" t="s">
        <v>273</v>
      </c>
      <c r="BF1854" s="5">
        <v>46266</v>
      </c>
      <c r="BG1854" t="s">
        <v>67</v>
      </c>
      <c r="BH1854">
        <v>2</v>
      </c>
      <c r="BI1854" s="6">
        <v>3740000</v>
      </c>
      <c r="BJ1854" s="6">
        <v>30.48</v>
      </c>
      <c r="BK1854" s="6">
        <v>1140000</v>
      </c>
      <c r="BL1854" s="6">
        <v>2600000</v>
      </c>
      <c r="BM1854" s="2">
        <v>5200000</v>
      </c>
      <c r="BN1854">
        <f>InvoiceTable[[#This Row],[Giảm giá]]*InvoiceTable[[#This Row],[Số lượng]]</f>
        <v>2280000</v>
      </c>
    </row>
    <row r="1855" spans="1:66" x14ac:dyDescent="0.25">
      <c r="A1855" t="s">
        <v>65</v>
      </c>
      <c r="B1855" t="s">
        <v>4499</v>
      </c>
      <c r="F1855" s="2"/>
      <c r="G1855" s="3">
        <v>45996.68611091435</v>
      </c>
      <c r="H1855" s="3">
        <v>45999.396716898147</v>
      </c>
      <c r="I1855" s="4" t="s">
        <v>67</v>
      </c>
      <c r="J1855" t="s">
        <v>67</v>
      </c>
      <c r="K1855" t="s">
        <v>4500</v>
      </c>
      <c r="L1855" t="s">
        <v>4501</v>
      </c>
      <c r="M1855" t="s">
        <v>4502</v>
      </c>
      <c r="N1855" t="s">
        <v>67</v>
      </c>
      <c r="O1855" t="s">
        <v>4503</v>
      </c>
      <c r="P1855" t="s">
        <v>4504</v>
      </c>
      <c r="Q1855" t="s">
        <v>67</v>
      </c>
      <c r="R1855" t="s">
        <v>67</v>
      </c>
      <c r="S1855" s="5"/>
      <c r="T1855" t="s">
        <v>72</v>
      </c>
      <c r="U1855" t="s">
        <v>102</v>
      </c>
      <c r="V1855" t="s">
        <v>74</v>
      </c>
      <c r="W1855" t="s">
        <v>102</v>
      </c>
      <c r="AE1855" s="2"/>
      <c r="AF1855" s="2"/>
      <c r="AG1855" s="2"/>
      <c r="AH1855" s="2"/>
      <c r="AL1855" s="2">
        <v>4153208</v>
      </c>
      <c r="AM1855" s="2">
        <v>0</v>
      </c>
      <c r="AN1855" s="2"/>
      <c r="AO1855" s="2">
        <v>0</v>
      </c>
      <c r="AP1855" s="2">
        <v>4153208</v>
      </c>
      <c r="AQ1855" s="2">
        <v>0</v>
      </c>
      <c r="AR1855" s="2">
        <v>0</v>
      </c>
      <c r="AS1855" s="2">
        <v>0</v>
      </c>
      <c r="AT1855" s="2">
        <v>0</v>
      </c>
      <c r="AU1855" s="2">
        <v>0</v>
      </c>
      <c r="AV1855" s="2">
        <v>0</v>
      </c>
      <c r="AW1855" s="4"/>
      <c r="AX1855" t="s">
        <v>75</v>
      </c>
      <c r="AZ1855" t="s">
        <v>777</v>
      </c>
      <c r="BA1855" t="s">
        <v>67</v>
      </c>
      <c r="BB1855" t="s">
        <v>778</v>
      </c>
      <c r="BC1855" t="s">
        <v>779</v>
      </c>
      <c r="BD1855" t="s">
        <v>79</v>
      </c>
      <c r="BE1855" t="s">
        <v>117</v>
      </c>
      <c r="BF1855" s="5">
        <v>46569</v>
      </c>
      <c r="BH1855">
        <v>1</v>
      </c>
      <c r="BI1855" s="6">
        <v>2937600</v>
      </c>
      <c r="BJ1855" s="6">
        <v>42</v>
      </c>
      <c r="BK1855" s="6">
        <v>1233792</v>
      </c>
      <c r="BL1855" s="6">
        <v>1703808</v>
      </c>
      <c r="BM1855" s="2">
        <v>1703808</v>
      </c>
      <c r="BN1855">
        <f>InvoiceTable[[#This Row],[Giảm giá]]*InvoiceTable[[#This Row],[Số lượng]]</f>
        <v>1233792</v>
      </c>
    </row>
    <row r="1856" spans="1:66" x14ac:dyDescent="0.25">
      <c r="A1856" t="s">
        <v>65</v>
      </c>
      <c r="B1856" t="s">
        <v>4499</v>
      </c>
      <c r="F1856" s="2"/>
      <c r="G1856" s="3">
        <v>45996.68611091435</v>
      </c>
      <c r="H1856" s="3">
        <v>45999.396716898147</v>
      </c>
      <c r="I1856" s="4" t="s">
        <v>67</v>
      </c>
      <c r="J1856" t="s">
        <v>67</v>
      </c>
      <c r="K1856" t="s">
        <v>4500</v>
      </c>
      <c r="L1856" t="s">
        <v>4501</v>
      </c>
      <c r="M1856" t="s">
        <v>4502</v>
      </c>
      <c r="N1856" t="s">
        <v>67</v>
      </c>
      <c r="O1856" t="s">
        <v>4503</v>
      </c>
      <c r="P1856" t="s">
        <v>4504</v>
      </c>
      <c r="Q1856" t="s">
        <v>67</v>
      </c>
      <c r="R1856" t="s">
        <v>67</v>
      </c>
      <c r="S1856" s="5"/>
      <c r="T1856" t="s">
        <v>72</v>
      </c>
      <c r="U1856" t="s">
        <v>102</v>
      </c>
      <c r="V1856" t="s">
        <v>74</v>
      </c>
      <c r="W1856" t="s">
        <v>102</v>
      </c>
      <c r="AE1856" s="2"/>
      <c r="AF1856" s="2"/>
      <c r="AG1856" s="2"/>
      <c r="AH1856" s="2"/>
      <c r="AL1856" s="2">
        <v>4153208</v>
      </c>
      <c r="AM1856" s="2">
        <v>0</v>
      </c>
      <c r="AN1856" s="2"/>
      <c r="AO1856" s="2">
        <v>0</v>
      </c>
      <c r="AP1856" s="2">
        <v>4153208</v>
      </c>
      <c r="AQ1856" s="2">
        <v>0</v>
      </c>
      <c r="AR1856" s="2">
        <v>0</v>
      </c>
      <c r="AS1856" s="2">
        <v>0</v>
      </c>
      <c r="AT1856" s="2">
        <v>0</v>
      </c>
      <c r="AU1856" s="2">
        <v>0</v>
      </c>
      <c r="AV1856" s="2">
        <v>0</v>
      </c>
      <c r="AW1856" s="4"/>
      <c r="AX1856" t="s">
        <v>75</v>
      </c>
      <c r="AZ1856" t="s">
        <v>1634</v>
      </c>
      <c r="BA1856" t="s">
        <v>67</v>
      </c>
      <c r="BB1856" t="s">
        <v>1635</v>
      </c>
      <c r="BC1856" t="s">
        <v>78</v>
      </c>
      <c r="BD1856" t="s">
        <v>79</v>
      </c>
      <c r="BE1856" t="s">
        <v>142</v>
      </c>
      <c r="BF1856" s="5">
        <v>46844</v>
      </c>
      <c r="BH1856">
        <v>10</v>
      </c>
      <c r="BI1856" s="6">
        <v>80000</v>
      </c>
      <c r="BJ1856" s="6">
        <v>45</v>
      </c>
      <c r="BK1856" s="6">
        <v>36000</v>
      </c>
      <c r="BL1856" s="6">
        <v>44000</v>
      </c>
      <c r="BM1856" s="2">
        <v>440000</v>
      </c>
      <c r="BN1856">
        <f>InvoiceTable[[#This Row],[Giảm giá]]*InvoiceTable[[#This Row],[Số lượng]]</f>
        <v>360000</v>
      </c>
    </row>
    <row r="1857" spans="1:66" x14ac:dyDescent="0.25">
      <c r="A1857" t="s">
        <v>65</v>
      </c>
      <c r="B1857" t="s">
        <v>4499</v>
      </c>
      <c r="F1857" s="2"/>
      <c r="G1857" s="3">
        <v>45996.68611091435</v>
      </c>
      <c r="H1857" s="3">
        <v>45999.396716898147</v>
      </c>
      <c r="I1857" s="4" t="s">
        <v>67</v>
      </c>
      <c r="J1857" t="s">
        <v>67</v>
      </c>
      <c r="K1857" t="s">
        <v>4500</v>
      </c>
      <c r="L1857" t="s">
        <v>4501</v>
      </c>
      <c r="M1857" t="s">
        <v>4502</v>
      </c>
      <c r="N1857" t="s">
        <v>67</v>
      </c>
      <c r="O1857" t="s">
        <v>4503</v>
      </c>
      <c r="P1857" t="s">
        <v>4504</v>
      </c>
      <c r="Q1857" t="s">
        <v>67</v>
      </c>
      <c r="R1857" t="s">
        <v>67</v>
      </c>
      <c r="S1857" s="5"/>
      <c r="T1857" t="s">
        <v>72</v>
      </c>
      <c r="U1857" t="s">
        <v>102</v>
      </c>
      <c r="V1857" t="s">
        <v>74</v>
      </c>
      <c r="W1857" t="s">
        <v>102</v>
      </c>
      <c r="AE1857" s="2"/>
      <c r="AF1857" s="2"/>
      <c r="AG1857" s="2"/>
      <c r="AH1857" s="2"/>
      <c r="AL1857" s="2">
        <v>4153208</v>
      </c>
      <c r="AM1857" s="2">
        <v>0</v>
      </c>
      <c r="AN1857" s="2"/>
      <c r="AO1857" s="2">
        <v>0</v>
      </c>
      <c r="AP1857" s="2">
        <v>4153208</v>
      </c>
      <c r="AQ1857" s="2">
        <v>0</v>
      </c>
      <c r="AR1857" s="2">
        <v>0</v>
      </c>
      <c r="AS1857" s="2">
        <v>0</v>
      </c>
      <c r="AT1857" s="2">
        <v>0</v>
      </c>
      <c r="AU1857" s="2">
        <v>0</v>
      </c>
      <c r="AV1857" s="2">
        <v>0</v>
      </c>
      <c r="AW1857" s="4"/>
      <c r="AX1857" t="s">
        <v>75</v>
      </c>
      <c r="AZ1857" t="s">
        <v>4505</v>
      </c>
      <c r="BA1857" t="s">
        <v>67</v>
      </c>
      <c r="BB1857" t="s">
        <v>4506</v>
      </c>
      <c r="BC1857" t="s">
        <v>251</v>
      </c>
      <c r="BD1857" t="s">
        <v>79</v>
      </c>
      <c r="BE1857" t="s">
        <v>155</v>
      </c>
      <c r="BF1857" s="5">
        <v>46600</v>
      </c>
      <c r="BG1857" t="s">
        <v>67</v>
      </c>
      <c r="BH1857">
        <v>1</v>
      </c>
      <c r="BI1857" s="6">
        <v>1790000</v>
      </c>
      <c r="BJ1857" s="6">
        <v>44</v>
      </c>
      <c r="BK1857" s="6">
        <v>787600</v>
      </c>
      <c r="BL1857" s="6">
        <v>1002400</v>
      </c>
      <c r="BM1857" s="2">
        <v>1002400</v>
      </c>
      <c r="BN1857">
        <f>InvoiceTable[[#This Row],[Giảm giá]]*InvoiceTable[[#This Row],[Số lượng]]</f>
        <v>787600</v>
      </c>
    </row>
    <row r="1858" spans="1:66" x14ac:dyDescent="0.25">
      <c r="A1858" t="s">
        <v>65</v>
      </c>
      <c r="B1858" t="s">
        <v>4499</v>
      </c>
      <c r="F1858" s="2"/>
      <c r="G1858" s="3">
        <v>45996.68611091435</v>
      </c>
      <c r="H1858" s="3">
        <v>45999.396716898147</v>
      </c>
      <c r="I1858" s="4" t="s">
        <v>67</v>
      </c>
      <c r="J1858" t="s">
        <v>67</v>
      </c>
      <c r="K1858" t="s">
        <v>4500</v>
      </c>
      <c r="L1858" t="s">
        <v>4501</v>
      </c>
      <c r="M1858" t="s">
        <v>4502</v>
      </c>
      <c r="N1858" t="s">
        <v>67</v>
      </c>
      <c r="O1858" t="s">
        <v>4503</v>
      </c>
      <c r="P1858" t="s">
        <v>4504</v>
      </c>
      <c r="Q1858" t="s">
        <v>67</v>
      </c>
      <c r="R1858" t="s">
        <v>67</v>
      </c>
      <c r="S1858" s="5"/>
      <c r="T1858" t="s">
        <v>72</v>
      </c>
      <c r="U1858" t="s">
        <v>102</v>
      </c>
      <c r="V1858" t="s">
        <v>74</v>
      </c>
      <c r="W1858" t="s">
        <v>102</v>
      </c>
      <c r="AE1858" s="2"/>
      <c r="AF1858" s="2"/>
      <c r="AG1858" s="2"/>
      <c r="AH1858" s="2"/>
      <c r="AL1858" s="2">
        <v>4153208</v>
      </c>
      <c r="AM1858" s="2">
        <v>0</v>
      </c>
      <c r="AN1858" s="2"/>
      <c r="AO1858" s="2">
        <v>0</v>
      </c>
      <c r="AP1858" s="2">
        <v>4153208</v>
      </c>
      <c r="AQ1858" s="2">
        <v>0</v>
      </c>
      <c r="AR1858" s="2">
        <v>0</v>
      </c>
      <c r="AS1858" s="2">
        <v>0</v>
      </c>
      <c r="AT1858" s="2">
        <v>0</v>
      </c>
      <c r="AU1858" s="2">
        <v>0</v>
      </c>
      <c r="AV1858" s="2">
        <v>0</v>
      </c>
      <c r="AW1858" s="4"/>
      <c r="AX1858" t="s">
        <v>75</v>
      </c>
      <c r="AZ1858" t="s">
        <v>4507</v>
      </c>
      <c r="BA1858" t="s">
        <v>67</v>
      </c>
      <c r="BB1858" t="s">
        <v>4508</v>
      </c>
      <c r="BC1858" t="s">
        <v>158</v>
      </c>
      <c r="BD1858" t="s">
        <v>79</v>
      </c>
      <c r="BE1858" t="s">
        <v>177</v>
      </c>
      <c r="BF1858" s="5">
        <v>47027</v>
      </c>
      <c r="BG1858" t="s">
        <v>67</v>
      </c>
      <c r="BH1858">
        <v>1</v>
      </c>
      <c r="BI1858" s="6">
        <v>1900000</v>
      </c>
      <c r="BJ1858" s="6">
        <v>47</v>
      </c>
      <c r="BK1858" s="6">
        <v>893000</v>
      </c>
      <c r="BL1858" s="6">
        <v>1007000</v>
      </c>
      <c r="BM1858" s="2">
        <v>1007000</v>
      </c>
      <c r="BN1858">
        <f>InvoiceTable[[#This Row],[Giảm giá]]*InvoiceTable[[#This Row],[Số lượng]]</f>
        <v>893000</v>
      </c>
    </row>
    <row r="1859" spans="1:66" x14ac:dyDescent="0.25">
      <c r="A1859" t="s">
        <v>65</v>
      </c>
      <c r="B1859" t="s">
        <v>4509</v>
      </c>
      <c r="F1859" s="2"/>
      <c r="G1859" s="3">
        <v>45996.67973221065</v>
      </c>
      <c r="H1859" s="3">
        <v>45996.679732638891</v>
      </c>
      <c r="I1859" s="4" t="s">
        <v>4510</v>
      </c>
      <c r="J1859" t="s">
        <v>4511</v>
      </c>
      <c r="K1859" t="s">
        <v>67</v>
      </c>
      <c r="L1859" t="s">
        <v>3712</v>
      </c>
      <c r="M1859" t="s">
        <v>3713</v>
      </c>
      <c r="N1859" t="s">
        <v>67</v>
      </c>
      <c r="O1859" t="s">
        <v>3714</v>
      </c>
      <c r="P1859" t="s">
        <v>3715</v>
      </c>
      <c r="S1859" s="5"/>
      <c r="T1859" t="s">
        <v>72</v>
      </c>
      <c r="U1859" t="s">
        <v>73</v>
      </c>
      <c r="V1859" t="s">
        <v>74</v>
      </c>
      <c r="W1859" t="s">
        <v>87</v>
      </c>
      <c r="AE1859" s="2"/>
      <c r="AF1859" s="2"/>
      <c r="AG1859" s="2"/>
      <c r="AH1859" s="2"/>
      <c r="AK1859" t="s">
        <v>3445</v>
      </c>
      <c r="AL1859" s="2">
        <v>544950</v>
      </c>
      <c r="AM1859" s="2">
        <v>0</v>
      </c>
      <c r="AN1859" s="2"/>
      <c r="AO1859" s="2">
        <v>0</v>
      </c>
      <c r="AP1859" s="2">
        <v>544950</v>
      </c>
      <c r="AQ1859" s="2">
        <v>544950</v>
      </c>
      <c r="AR1859" s="2">
        <v>544950</v>
      </c>
      <c r="AS1859" s="2">
        <v>0</v>
      </c>
      <c r="AT1859" s="2">
        <v>0</v>
      </c>
      <c r="AU1859" s="2">
        <v>0</v>
      </c>
      <c r="AV1859" s="2">
        <v>0</v>
      </c>
      <c r="AW1859" s="4"/>
      <c r="AX1859" t="s">
        <v>75</v>
      </c>
      <c r="AZ1859" t="s">
        <v>4512</v>
      </c>
      <c r="BA1859" t="s">
        <v>67</v>
      </c>
      <c r="BB1859" t="s">
        <v>4513</v>
      </c>
      <c r="BC1859" t="s">
        <v>939</v>
      </c>
      <c r="BD1859" t="s">
        <v>79</v>
      </c>
      <c r="BE1859" t="s">
        <v>177</v>
      </c>
      <c r="BF1859" s="5">
        <v>47027</v>
      </c>
      <c r="BG1859" t="s">
        <v>67</v>
      </c>
      <c r="BH1859">
        <v>1</v>
      </c>
      <c r="BI1859" s="6">
        <v>865000</v>
      </c>
      <c r="BJ1859" s="6">
        <v>37</v>
      </c>
      <c r="BK1859" s="6">
        <v>320050</v>
      </c>
      <c r="BL1859" s="6">
        <v>544950</v>
      </c>
      <c r="BM1859" s="2">
        <v>544950</v>
      </c>
      <c r="BN1859">
        <f>InvoiceTable[[#This Row],[Giảm giá]]*InvoiceTable[[#This Row],[Số lượng]]</f>
        <v>320050</v>
      </c>
    </row>
    <row r="1860" spans="1:66" x14ac:dyDescent="0.25">
      <c r="A1860" t="s">
        <v>65</v>
      </c>
      <c r="B1860" t="s">
        <v>4514</v>
      </c>
      <c r="F1860" s="2"/>
      <c r="G1860" s="3">
        <v>45996.678837418978</v>
      </c>
      <c r="H1860" s="3">
        <v>45996.678826238429</v>
      </c>
      <c r="I1860" s="4" t="s">
        <v>3787</v>
      </c>
      <c r="J1860" t="s">
        <v>4515</v>
      </c>
      <c r="K1860" t="s">
        <v>67</v>
      </c>
      <c r="L1860" t="s">
        <v>1244</v>
      </c>
      <c r="M1860" t="s">
        <v>1245</v>
      </c>
      <c r="N1860" t="s">
        <v>67</v>
      </c>
      <c r="O1860" t="s">
        <v>1246</v>
      </c>
      <c r="P1860" t="s">
        <v>1247</v>
      </c>
      <c r="S1860" s="5"/>
      <c r="T1860" t="s">
        <v>72</v>
      </c>
      <c r="U1860" t="s">
        <v>87</v>
      </c>
      <c r="V1860" t="s">
        <v>74</v>
      </c>
      <c r="W1860" t="s">
        <v>87</v>
      </c>
      <c r="AE1860" s="2"/>
      <c r="AF1860" s="2"/>
      <c r="AG1860" s="2"/>
      <c r="AH1860" s="2"/>
      <c r="AK1860" t="s">
        <v>4516</v>
      </c>
      <c r="AL1860" s="2">
        <v>8599400</v>
      </c>
      <c r="AM1860" s="2">
        <v>0</v>
      </c>
      <c r="AN1860" s="2"/>
      <c r="AO1860" s="2">
        <v>0</v>
      </c>
      <c r="AP1860" s="2">
        <v>8599400</v>
      </c>
      <c r="AQ1860" s="2">
        <v>0</v>
      </c>
      <c r="AR1860" s="2">
        <v>0</v>
      </c>
      <c r="AS1860" s="2">
        <v>0</v>
      </c>
      <c r="AT1860" s="2">
        <v>0</v>
      </c>
      <c r="AU1860" s="2">
        <v>0</v>
      </c>
      <c r="AV1860" s="2">
        <v>0</v>
      </c>
      <c r="AW1860" s="4"/>
      <c r="AX1860" t="s">
        <v>75</v>
      </c>
      <c r="AZ1860" t="s">
        <v>4517</v>
      </c>
      <c r="BA1860" t="s">
        <v>67</v>
      </c>
      <c r="BB1860" t="s">
        <v>4518</v>
      </c>
      <c r="BC1860" t="s">
        <v>90</v>
      </c>
      <c r="BD1860" t="s">
        <v>79</v>
      </c>
      <c r="BE1860" t="s">
        <v>168</v>
      </c>
      <c r="BF1860" s="5">
        <v>46388</v>
      </c>
      <c r="BH1860">
        <v>1</v>
      </c>
      <c r="BI1860" s="6">
        <v>35000</v>
      </c>
      <c r="BJ1860" s="6">
        <v>0</v>
      </c>
      <c r="BK1860" s="6">
        <v>0</v>
      </c>
      <c r="BL1860" s="6">
        <v>35000</v>
      </c>
      <c r="BM1860" s="2">
        <v>35000</v>
      </c>
      <c r="BN1860">
        <f>InvoiceTable[[#This Row],[Giảm giá]]*InvoiceTable[[#This Row],[Số lượng]]</f>
        <v>0</v>
      </c>
    </row>
    <row r="1861" spans="1:66" x14ac:dyDescent="0.25">
      <c r="A1861" t="s">
        <v>65</v>
      </c>
      <c r="B1861" t="s">
        <v>4514</v>
      </c>
      <c r="F1861" s="2"/>
      <c r="G1861" s="3">
        <v>45996.678837418978</v>
      </c>
      <c r="H1861" s="3">
        <v>45996.678826238429</v>
      </c>
      <c r="I1861" s="4" t="s">
        <v>3787</v>
      </c>
      <c r="J1861" t="s">
        <v>4515</v>
      </c>
      <c r="K1861" t="s">
        <v>67</v>
      </c>
      <c r="L1861" t="s">
        <v>1244</v>
      </c>
      <c r="M1861" t="s">
        <v>1245</v>
      </c>
      <c r="N1861" t="s">
        <v>67</v>
      </c>
      <c r="O1861" t="s">
        <v>1246</v>
      </c>
      <c r="P1861" t="s">
        <v>1247</v>
      </c>
      <c r="S1861" s="5"/>
      <c r="T1861" t="s">
        <v>72</v>
      </c>
      <c r="U1861" t="s">
        <v>87</v>
      </c>
      <c r="V1861" t="s">
        <v>74</v>
      </c>
      <c r="W1861" t="s">
        <v>87</v>
      </c>
      <c r="AE1861" s="2"/>
      <c r="AF1861" s="2"/>
      <c r="AG1861" s="2"/>
      <c r="AH1861" s="2"/>
      <c r="AK1861" t="s">
        <v>4516</v>
      </c>
      <c r="AL1861" s="2">
        <v>8599400</v>
      </c>
      <c r="AM1861" s="2">
        <v>0</v>
      </c>
      <c r="AN1861" s="2"/>
      <c r="AO1861" s="2">
        <v>0</v>
      </c>
      <c r="AP1861" s="2">
        <v>8599400</v>
      </c>
      <c r="AQ1861" s="2">
        <v>0</v>
      </c>
      <c r="AR1861" s="2">
        <v>0</v>
      </c>
      <c r="AS1861" s="2">
        <v>0</v>
      </c>
      <c r="AT1861" s="2">
        <v>0</v>
      </c>
      <c r="AU1861" s="2">
        <v>0</v>
      </c>
      <c r="AV1861" s="2">
        <v>0</v>
      </c>
      <c r="AW1861" s="4"/>
      <c r="AX1861" t="s">
        <v>75</v>
      </c>
      <c r="AZ1861" t="s">
        <v>340</v>
      </c>
      <c r="BA1861" t="s">
        <v>67</v>
      </c>
      <c r="BB1861" t="s">
        <v>341</v>
      </c>
      <c r="BC1861" t="s">
        <v>204</v>
      </c>
      <c r="BD1861" t="s">
        <v>79</v>
      </c>
      <c r="BE1861" t="s">
        <v>334</v>
      </c>
      <c r="BF1861" s="5">
        <v>47209</v>
      </c>
      <c r="BH1861">
        <v>5</v>
      </c>
      <c r="BI1861" s="6">
        <v>710000</v>
      </c>
      <c r="BJ1861" s="6">
        <v>38</v>
      </c>
      <c r="BK1861" s="6">
        <v>269800</v>
      </c>
      <c r="BL1861" s="6">
        <v>440200</v>
      </c>
      <c r="BM1861" s="2">
        <v>2201000</v>
      </c>
      <c r="BN1861">
        <f>InvoiceTable[[#This Row],[Giảm giá]]*InvoiceTable[[#This Row],[Số lượng]]</f>
        <v>1349000</v>
      </c>
    </row>
    <row r="1862" spans="1:66" x14ac:dyDescent="0.25">
      <c r="A1862" t="s">
        <v>65</v>
      </c>
      <c r="B1862" t="s">
        <v>4514</v>
      </c>
      <c r="F1862" s="2"/>
      <c r="G1862" s="3">
        <v>45996.678837418978</v>
      </c>
      <c r="H1862" s="3">
        <v>45996.678826238429</v>
      </c>
      <c r="I1862" s="4" t="s">
        <v>3787</v>
      </c>
      <c r="J1862" t="s">
        <v>4515</v>
      </c>
      <c r="K1862" t="s">
        <v>67</v>
      </c>
      <c r="L1862" t="s">
        <v>1244</v>
      </c>
      <c r="M1862" t="s">
        <v>1245</v>
      </c>
      <c r="N1862" t="s">
        <v>67</v>
      </c>
      <c r="O1862" t="s">
        <v>1246</v>
      </c>
      <c r="P1862" t="s">
        <v>1247</v>
      </c>
      <c r="S1862" s="5"/>
      <c r="T1862" t="s">
        <v>72</v>
      </c>
      <c r="U1862" t="s">
        <v>87</v>
      </c>
      <c r="V1862" t="s">
        <v>74</v>
      </c>
      <c r="W1862" t="s">
        <v>87</v>
      </c>
      <c r="AE1862" s="2"/>
      <c r="AF1862" s="2"/>
      <c r="AG1862" s="2"/>
      <c r="AH1862" s="2"/>
      <c r="AK1862" t="s">
        <v>4516</v>
      </c>
      <c r="AL1862" s="2">
        <v>8599400</v>
      </c>
      <c r="AM1862" s="2">
        <v>0</v>
      </c>
      <c r="AN1862" s="2"/>
      <c r="AO1862" s="2">
        <v>0</v>
      </c>
      <c r="AP1862" s="2">
        <v>8599400</v>
      </c>
      <c r="AQ1862" s="2">
        <v>0</v>
      </c>
      <c r="AR1862" s="2">
        <v>0</v>
      </c>
      <c r="AS1862" s="2">
        <v>0</v>
      </c>
      <c r="AT1862" s="2">
        <v>0</v>
      </c>
      <c r="AU1862" s="2">
        <v>0</v>
      </c>
      <c r="AV1862" s="2">
        <v>0</v>
      </c>
      <c r="AW1862" s="4"/>
      <c r="AX1862" t="s">
        <v>75</v>
      </c>
      <c r="AZ1862" t="s">
        <v>704</v>
      </c>
      <c r="BA1862" t="s">
        <v>67</v>
      </c>
      <c r="BB1862" t="s">
        <v>705</v>
      </c>
      <c r="BC1862" t="s">
        <v>706</v>
      </c>
      <c r="BD1862" t="s">
        <v>79</v>
      </c>
      <c r="BE1862" t="s">
        <v>378</v>
      </c>
      <c r="BF1862" s="5">
        <v>46997</v>
      </c>
      <c r="BH1862">
        <v>5</v>
      </c>
      <c r="BI1862" s="6">
        <v>860000</v>
      </c>
      <c r="BJ1862" s="6">
        <v>45</v>
      </c>
      <c r="BK1862" s="6">
        <v>387000</v>
      </c>
      <c r="BL1862" s="6">
        <v>473000</v>
      </c>
      <c r="BM1862" s="2">
        <v>2365000</v>
      </c>
      <c r="BN1862">
        <f>InvoiceTable[[#This Row],[Giảm giá]]*InvoiceTable[[#This Row],[Số lượng]]</f>
        <v>1935000</v>
      </c>
    </row>
    <row r="1863" spans="1:66" x14ac:dyDescent="0.25">
      <c r="A1863" t="s">
        <v>65</v>
      </c>
      <c r="B1863" t="s">
        <v>4514</v>
      </c>
      <c r="F1863" s="2"/>
      <c r="G1863" s="3">
        <v>45996.678837418978</v>
      </c>
      <c r="H1863" s="3">
        <v>45996.678826238429</v>
      </c>
      <c r="I1863" s="4" t="s">
        <v>3787</v>
      </c>
      <c r="J1863" t="s">
        <v>4515</v>
      </c>
      <c r="K1863" t="s">
        <v>67</v>
      </c>
      <c r="L1863" t="s">
        <v>1244</v>
      </c>
      <c r="M1863" t="s">
        <v>1245</v>
      </c>
      <c r="N1863" t="s">
        <v>67</v>
      </c>
      <c r="O1863" t="s">
        <v>1246</v>
      </c>
      <c r="P1863" t="s">
        <v>1247</v>
      </c>
      <c r="S1863" s="5"/>
      <c r="T1863" t="s">
        <v>72</v>
      </c>
      <c r="U1863" t="s">
        <v>87</v>
      </c>
      <c r="V1863" t="s">
        <v>74</v>
      </c>
      <c r="W1863" t="s">
        <v>87</v>
      </c>
      <c r="AE1863" s="2"/>
      <c r="AF1863" s="2"/>
      <c r="AG1863" s="2"/>
      <c r="AH1863" s="2"/>
      <c r="AK1863" t="s">
        <v>4516</v>
      </c>
      <c r="AL1863" s="2">
        <v>8599400</v>
      </c>
      <c r="AM1863" s="2">
        <v>0</v>
      </c>
      <c r="AN1863" s="2"/>
      <c r="AO1863" s="2">
        <v>0</v>
      </c>
      <c r="AP1863" s="2">
        <v>8599400</v>
      </c>
      <c r="AQ1863" s="2">
        <v>0</v>
      </c>
      <c r="AR1863" s="2">
        <v>0</v>
      </c>
      <c r="AS1863" s="2">
        <v>0</v>
      </c>
      <c r="AT1863" s="2">
        <v>0</v>
      </c>
      <c r="AU1863" s="2">
        <v>0</v>
      </c>
      <c r="AV1863" s="2">
        <v>0</v>
      </c>
      <c r="AW1863" s="4"/>
      <c r="AX1863" t="s">
        <v>75</v>
      </c>
      <c r="AZ1863" t="s">
        <v>4519</v>
      </c>
      <c r="BA1863" t="s">
        <v>67</v>
      </c>
      <c r="BB1863" t="s">
        <v>4520</v>
      </c>
      <c r="BC1863" t="s">
        <v>215</v>
      </c>
      <c r="BD1863" t="s">
        <v>79</v>
      </c>
      <c r="BE1863" t="s">
        <v>2414</v>
      </c>
      <c r="BF1863" s="5">
        <v>46928</v>
      </c>
      <c r="BG1863" t="s">
        <v>67</v>
      </c>
      <c r="BH1863">
        <v>1</v>
      </c>
      <c r="BI1863" s="6">
        <v>905000</v>
      </c>
      <c r="BJ1863" s="6">
        <v>52</v>
      </c>
      <c r="BK1863" s="6">
        <v>470600</v>
      </c>
      <c r="BL1863" s="6">
        <v>434400</v>
      </c>
      <c r="BM1863" s="2">
        <v>434400</v>
      </c>
      <c r="BN1863">
        <f>InvoiceTable[[#This Row],[Giảm giá]]*InvoiceTable[[#This Row],[Số lượng]]</f>
        <v>470600</v>
      </c>
    </row>
    <row r="1864" spans="1:66" x14ac:dyDescent="0.25">
      <c r="A1864" t="s">
        <v>65</v>
      </c>
      <c r="B1864" t="s">
        <v>4514</v>
      </c>
      <c r="F1864" s="2"/>
      <c r="G1864" s="3">
        <v>45996.678837418978</v>
      </c>
      <c r="H1864" s="3">
        <v>45996.678826238429</v>
      </c>
      <c r="I1864" s="4" t="s">
        <v>3787</v>
      </c>
      <c r="J1864" t="s">
        <v>4515</v>
      </c>
      <c r="K1864" t="s">
        <v>67</v>
      </c>
      <c r="L1864" t="s">
        <v>1244</v>
      </c>
      <c r="M1864" t="s">
        <v>1245</v>
      </c>
      <c r="N1864" t="s">
        <v>67</v>
      </c>
      <c r="O1864" t="s">
        <v>1246</v>
      </c>
      <c r="P1864" t="s">
        <v>1247</v>
      </c>
      <c r="S1864" s="5"/>
      <c r="T1864" t="s">
        <v>72</v>
      </c>
      <c r="U1864" t="s">
        <v>87</v>
      </c>
      <c r="V1864" t="s">
        <v>74</v>
      </c>
      <c r="W1864" t="s">
        <v>87</v>
      </c>
      <c r="AE1864" s="2"/>
      <c r="AF1864" s="2"/>
      <c r="AG1864" s="2"/>
      <c r="AH1864" s="2"/>
      <c r="AK1864" t="s">
        <v>4516</v>
      </c>
      <c r="AL1864" s="2">
        <v>8599400</v>
      </c>
      <c r="AM1864" s="2">
        <v>0</v>
      </c>
      <c r="AN1864" s="2"/>
      <c r="AO1864" s="2">
        <v>0</v>
      </c>
      <c r="AP1864" s="2">
        <v>8599400</v>
      </c>
      <c r="AQ1864" s="2">
        <v>0</v>
      </c>
      <c r="AR1864" s="2">
        <v>0</v>
      </c>
      <c r="AS1864" s="2">
        <v>0</v>
      </c>
      <c r="AT1864" s="2">
        <v>0</v>
      </c>
      <c r="AU1864" s="2">
        <v>0</v>
      </c>
      <c r="AV1864" s="2">
        <v>0</v>
      </c>
      <c r="AW1864" s="4"/>
      <c r="AX1864" t="s">
        <v>75</v>
      </c>
      <c r="AZ1864" t="s">
        <v>1254</v>
      </c>
      <c r="BA1864" t="s">
        <v>67</v>
      </c>
      <c r="BB1864" t="s">
        <v>1255</v>
      </c>
      <c r="BC1864" t="s">
        <v>215</v>
      </c>
      <c r="BD1864" t="s">
        <v>79</v>
      </c>
      <c r="BE1864" t="s">
        <v>378</v>
      </c>
      <c r="BF1864" s="5">
        <v>46997</v>
      </c>
      <c r="BH1864">
        <v>1</v>
      </c>
      <c r="BI1864" s="6">
        <v>1175000</v>
      </c>
      <c r="BJ1864" s="6">
        <v>52</v>
      </c>
      <c r="BK1864" s="6">
        <v>611000</v>
      </c>
      <c r="BL1864" s="6">
        <v>564000</v>
      </c>
      <c r="BM1864" s="2">
        <v>564000</v>
      </c>
      <c r="BN1864">
        <f>InvoiceTable[[#This Row],[Giảm giá]]*InvoiceTable[[#This Row],[Số lượng]]</f>
        <v>611000</v>
      </c>
    </row>
    <row r="1865" spans="1:66" x14ac:dyDescent="0.25">
      <c r="A1865" t="s">
        <v>65</v>
      </c>
      <c r="B1865" t="s">
        <v>4514</v>
      </c>
      <c r="F1865" s="2"/>
      <c r="G1865" s="3">
        <v>45996.678837418978</v>
      </c>
      <c r="H1865" s="3">
        <v>45996.678826238429</v>
      </c>
      <c r="I1865" s="4" t="s">
        <v>3787</v>
      </c>
      <c r="J1865" t="s">
        <v>4515</v>
      </c>
      <c r="K1865" t="s">
        <v>67</v>
      </c>
      <c r="L1865" t="s">
        <v>1244</v>
      </c>
      <c r="M1865" t="s">
        <v>1245</v>
      </c>
      <c r="N1865" t="s">
        <v>67</v>
      </c>
      <c r="O1865" t="s">
        <v>1246</v>
      </c>
      <c r="P1865" t="s">
        <v>1247</v>
      </c>
      <c r="S1865" s="5"/>
      <c r="T1865" t="s">
        <v>72</v>
      </c>
      <c r="U1865" t="s">
        <v>87</v>
      </c>
      <c r="V1865" t="s">
        <v>74</v>
      </c>
      <c r="W1865" t="s">
        <v>87</v>
      </c>
      <c r="AE1865" s="2"/>
      <c r="AF1865" s="2"/>
      <c r="AG1865" s="2"/>
      <c r="AH1865" s="2"/>
      <c r="AK1865" t="s">
        <v>4516</v>
      </c>
      <c r="AL1865" s="2">
        <v>8599400</v>
      </c>
      <c r="AM1865" s="2">
        <v>0</v>
      </c>
      <c r="AN1865" s="2"/>
      <c r="AO1865" s="2">
        <v>0</v>
      </c>
      <c r="AP1865" s="2">
        <v>8599400</v>
      </c>
      <c r="AQ1865" s="2">
        <v>0</v>
      </c>
      <c r="AR1865" s="2">
        <v>0</v>
      </c>
      <c r="AS1865" s="2">
        <v>0</v>
      </c>
      <c r="AT1865" s="2">
        <v>0</v>
      </c>
      <c r="AU1865" s="2">
        <v>0</v>
      </c>
      <c r="AV1865" s="2">
        <v>0</v>
      </c>
      <c r="AW1865" s="4"/>
      <c r="AX1865" t="s">
        <v>75</v>
      </c>
      <c r="AZ1865" t="s">
        <v>1251</v>
      </c>
      <c r="BA1865" t="s">
        <v>67</v>
      </c>
      <c r="BB1865" t="s">
        <v>1252</v>
      </c>
      <c r="BC1865" t="s">
        <v>126</v>
      </c>
      <c r="BD1865" t="s">
        <v>79</v>
      </c>
      <c r="BE1865" t="s">
        <v>155</v>
      </c>
      <c r="BF1865" s="5">
        <v>46600</v>
      </c>
      <c r="BH1865">
        <v>50</v>
      </c>
      <c r="BI1865" s="6">
        <v>270000</v>
      </c>
      <c r="BJ1865" s="6">
        <v>0</v>
      </c>
      <c r="BK1865" s="6">
        <v>210000</v>
      </c>
      <c r="BL1865" s="6">
        <v>60000</v>
      </c>
      <c r="BM1865" s="2">
        <v>3000000</v>
      </c>
      <c r="BN1865">
        <f>InvoiceTable[[#This Row],[Giảm giá]]*InvoiceTable[[#This Row],[Số lượng]]</f>
        <v>10500000</v>
      </c>
    </row>
    <row r="1866" spans="1:66" x14ac:dyDescent="0.25">
      <c r="A1866" t="s">
        <v>65</v>
      </c>
      <c r="B1866" t="s">
        <v>4521</v>
      </c>
      <c r="F1866" s="2"/>
      <c r="G1866" s="3">
        <v>45996.678648067129</v>
      </c>
      <c r="H1866" s="3">
        <v>45996.678648379631</v>
      </c>
      <c r="I1866" s="4" t="s">
        <v>67</v>
      </c>
      <c r="J1866" t="s">
        <v>4522</v>
      </c>
      <c r="K1866" t="s">
        <v>67</v>
      </c>
      <c r="L1866" t="s">
        <v>4523</v>
      </c>
      <c r="M1866" t="s">
        <v>4524</v>
      </c>
      <c r="N1866" t="s">
        <v>4525</v>
      </c>
      <c r="O1866" t="s">
        <v>4526</v>
      </c>
      <c r="P1866" t="s">
        <v>4527</v>
      </c>
      <c r="S1866" s="5"/>
      <c r="T1866" t="s">
        <v>72</v>
      </c>
      <c r="U1866" t="s">
        <v>73</v>
      </c>
      <c r="V1866" t="s">
        <v>74</v>
      </c>
      <c r="W1866" t="s">
        <v>87</v>
      </c>
      <c r="AE1866" s="2"/>
      <c r="AF1866" s="2"/>
      <c r="AG1866" s="2"/>
      <c r="AH1866" s="2"/>
      <c r="AK1866" t="s">
        <v>4528</v>
      </c>
      <c r="AL1866" s="2">
        <v>2500000</v>
      </c>
      <c r="AM1866" s="2">
        <v>0</v>
      </c>
      <c r="AN1866" s="2"/>
      <c r="AO1866" s="2">
        <v>0</v>
      </c>
      <c r="AP1866" s="2">
        <v>2500000</v>
      </c>
      <c r="AQ1866" s="2">
        <v>2500000</v>
      </c>
      <c r="AR1866" s="2">
        <v>2500000</v>
      </c>
      <c r="AS1866" s="2">
        <v>0</v>
      </c>
      <c r="AT1866" s="2">
        <v>0</v>
      </c>
      <c r="AU1866" s="2">
        <v>0</v>
      </c>
      <c r="AV1866" s="2">
        <v>0</v>
      </c>
      <c r="AW1866" s="4"/>
      <c r="AX1866" t="s">
        <v>75</v>
      </c>
      <c r="AZ1866" t="s">
        <v>2915</v>
      </c>
      <c r="BA1866" t="s">
        <v>67</v>
      </c>
      <c r="BB1866" t="s">
        <v>2916</v>
      </c>
      <c r="BC1866" t="s">
        <v>2917</v>
      </c>
      <c r="BD1866" t="s">
        <v>79</v>
      </c>
      <c r="BE1866" t="s">
        <v>155</v>
      </c>
      <c r="BF1866" s="5">
        <v>46600</v>
      </c>
      <c r="BG1866" t="s">
        <v>67</v>
      </c>
      <c r="BH1866">
        <v>2</v>
      </c>
      <c r="BI1866" s="6">
        <v>2250000</v>
      </c>
      <c r="BJ1866" s="6">
        <v>0</v>
      </c>
      <c r="BK1866" s="6">
        <v>1000000</v>
      </c>
      <c r="BL1866" s="6">
        <v>1250000</v>
      </c>
      <c r="BM1866" s="2">
        <v>2500000</v>
      </c>
      <c r="BN1866">
        <f>InvoiceTable[[#This Row],[Giảm giá]]*InvoiceTable[[#This Row],[Số lượng]]</f>
        <v>2000000</v>
      </c>
    </row>
    <row r="1867" spans="1:66" x14ac:dyDescent="0.25">
      <c r="A1867" t="s">
        <v>65</v>
      </c>
      <c r="B1867" t="s">
        <v>4529</v>
      </c>
      <c r="F1867" s="2"/>
      <c r="G1867" s="3">
        <v>45996.678357210651</v>
      </c>
      <c r="H1867" s="3">
        <v>45996.678357326389</v>
      </c>
      <c r="I1867" s="4" t="s">
        <v>67</v>
      </c>
      <c r="J1867" t="s">
        <v>4530</v>
      </c>
      <c r="K1867" t="s">
        <v>67</v>
      </c>
      <c r="L1867" t="s">
        <v>180</v>
      </c>
      <c r="M1867" t="s">
        <v>181</v>
      </c>
      <c r="N1867" t="s">
        <v>67</v>
      </c>
      <c r="O1867" t="s">
        <v>182</v>
      </c>
      <c r="P1867" t="s">
        <v>183</v>
      </c>
      <c r="S1867" s="5"/>
      <c r="T1867" t="s">
        <v>72</v>
      </c>
      <c r="U1867" t="s">
        <v>73</v>
      </c>
      <c r="V1867" t="s">
        <v>74</v>
      </c>
      <c r="W1867" t="s">
        <v>87</v>
      </c>
      <c r="AE1867" s="2"/>
      <c r="AF1867" s="2"/>
      <c r="AG1867" s="2"/>
      <c r="AH1867" s="2"/>
      <c r="AK1867" t="s">
        <v>67</v>
      </c>
      <c r="AL1867" s="2">
        <v>793800</v>
      </c>
      <c r="AM1867" s="2">
        <v>0</v>
      </c>
      <c r="AN1867" s="2"/>
      <c r="AO1867" s="2">
        <v>0</v>
      </c>
      <c r="AP1867" s="2">
        <v>793800</v>
      </c>
      <c r="AQ1867" s="2">
        <v>0</v>
      </c>
      <c r="AR1867" s="2">
        <v>0</v>
      </c>
      <c r="AS1867" s="2">
        <v>0</v>
      </c>
      <c r="AT1867" s="2">
        <v>0</v>
      </c>
      <c r="AU1867" s="2">
        <v>0</v>
      </c>
      <c r="AV1867" s="2">
        <v>0</v>
      </c>
      <c r="AW1867" s="4"/>
      <c r="AX1867" t="s">
        <v>75</v>
      </c>
      <c r="AZ1867" t="s">
        <v>4531</v>
      </c>
      <c r="BA1867" t="s">
        <v>67</v>
      </c>
      <c r="BB1867" t="s">
        <v>4532</v>
      </c>
      <c r="BC1867" t="s">
        <v>3746</v>
      </c>
      <c r="BD1867" t="s">
        <v>79</v>
      </c>
      <c r="BE1867" t="s">
        <v>4533</v>
      </c>
      <c r="BF1867" s="5">
        <v>46909</v>
      </c>
      <c r="BG1867" t="s">
        <v>67</v>
      </c>
      <c r="BH1867">
        <v>2</v>
      </c>
      <c r="BI1867" s="6">
        <v>630000</v>
      </c>
      <c r="BJ1867" s="6">
        <v>37</v>
      </c>
      <c r="BK1867" s="6">
        <v>233100</v>
      </c>
      <c r="BL1867" s="6">
        <v>396900</v>
      </c>
      <c r="BM1867" s="2">
        <v>793800</v>
      </c>
      <c r="BN1867">
        <f>InvoiceTable[[#This Row],[Giảm giá]]*InvoiceTable[[#This Row],[Số lượng]]</f>
        <v>466200</v>
      </c>
    </row>
    <row r="1868" spans="1:66" x14ac:dyDescent="0.25">
      <c r="A1868" t="s">
        <v>65</v>
      </c>
      <c r="B1868" t="s">
        <v>4534</v>
      </c>
      <c r="F1868" s="2"/>
      <c r="G1868" s="3">
        <v>45996.671535069443</v>
      </c>
      <c r="H1868" s="3">
        <v>45996.67153521991</v>
      </c>
      <c r="I1868" s="4" t="s">
        <v>67</v>
      </c>
      <c r="J1868" t="s">
        <v>4535</v>
      </c>
      <c r="K1868" t="s">
        <v>67</v>
      </c>
      <c r="L1868" t="s">
        <v>3653</v>
      </c>
      <c r="M1868" t="s">
        <v>3654</v>
      </c>
      <c r="N1868" t="s">
        <v>67</v>
      </c>
      <c r="O1868" t="s">
        <v>3655</v>
      </c>
      <c r="P1868" t="s">
        <v>3656</v>
      </c>
      <c r="S1868" s="5"/>
      <c r="T1868" t="s">
        <v>72</v>
      </c>
      <c r="U1868" t="s">
        <v>102</v>
      </c>
      <c r="V1868" t="s">
        <v>74</v>
      </c>
      <c r="W1868" t="s">
        <v>102</v>
      </c>
      <c r="AE1868" s="2"/>
      <c r="AF1868" s="2"/>
      <c r="AG1868" s="2"/>
      <c r="AH1868" s="2"/>
      <c r="AK1868" t="s">
        <v>4536</v>
      </c>
      <c r="AL1868" s="2">
        <v>3465000</v>
      </c>
      <c r="AM1868" s="2">
        <v>0</v>
      </c>
      <c r="AN1868" s="2"/>
      <c r="AO1868" s="2">
        <v>0</v>
      </c>
      <c r="AP1868" s="2">
        <v>3465000</v>
      </c>
      <c r="AQ1868" s="2">
        <v>0</v>
      </c>
      <c r="AR1868" s="2">
        <v>0</v>
      </c>
      <c r="AS1868" s="2">
        <v>0</v>
      </c>
      <c r="AT1868" s="2">
        <v>0</v>
      </c>
      <c r="AU1868" s="2">
        <v>0</v>
      </c>
      <c r="AV1868" s="2">
        <v>0</v>
      </c>
      <c r="AW1868" s="4"/>
      <c r="AX1868" t="s">
        <v>75</v>
      </c>
      <c r="AZ1868" t="s">
        <v>4537</v>
      </c>
      <c r="BA1868" t="s">
        <v>67</v>
      </c>
      <c r="BB1868" t="s">
        <v>4538</v>
      </c>
      <c r="BC1868" t="s">
        <v>1983</v>
      </c>
      <c r="BD1868" t="s">
        <v>79</v>
      </c>
      <c r="BE1868" t="s">
        <v>106</v>
      </c>
      <c r="BF1868" s="5">
        <v>46327</v>
      </c>
      <c r="BG1868" t="s">
        <v>67</v>
      </c>
      <c r="BH1868">
        <v>1</v>
      </c>
      <c r="BI1868" s="6">
        <v>5500000</v>
      </c>
      <c r="BJ1868" s="6">
        <v>37</v>
      </c>
      <c r="BK1868" s="6">
        <v>2035000</v>
      </c>
      <c r="BL1868" s="6">
        <v>3465000</v>
      </c>
      <c r="BM1868" s="2">
        <v>3465000</v>
      </c>
      <c r="BN1868">
        <f>InvoiceTable[[#This Row],[Giảm giá]]*InvoiceTable[[#This Row],[Số lượng]]</f>
        <v>2035000</v>
      </c>
    </row>
    <row r="1869" spans="1:66" x14ac:dyDescent="0.25">
      <c r="A1869" t="s">
        <v>65</v>
      </c>
      <c r="B1869" t="s">
        <v>4539</v>
      </c>
      <c r="F1869" s="2"/>
      <c r="G1869" s="3">
        <v>45996.67094945602</v>
      </c>
      <c r="H1869" s="3">
        <v>45996.670950613428</v>
      </c>
      <c r="I1869" s="4" t="s">
        <v>67</v>
      </c>
      <c r="J1869" t="s">
        <v>4540</v>
      </c>
      <c r="K1869" t="s">
        <v>67</v>
      </c>
      <c r="L1869" t="s">
        <v>4541</v>
      </c>
      <c r="M1869" t="s">
        <v>4542</v>
      </c>
      <c r="N1869" t="s">
        <v>67</v>
      </c>
      <c r="O1869" t="s">
        <v>4543</v>
      </c>
      <c r="P1869" t="s">
        <v>4544</v>
      </c>
      <c r="Q1869" t="s">
        <v>67</v>
      </c>
      <c r="R1869" t="s">
        <v>67</v>
      </c>
      <c r="S1869" s="5"/>
      <c r="T1869" t="s">
        <v>72</v>
      </c>
      <c r="U1869" t="s">
        <v>102</v>
      </c>
      <c r="V1869" t="s">
        <v>74</v>
      </c>
      <c r="W1869" t="s">
        <v>102</v>
      </c>
      <c r="AE1869" s="2"/>
      <c r="AF1869" s="2"/>
      <c r="AG1869" s="2"/>
      <c r="AH1869" s="2"/>
      <c r="AL1869" s="2">
        <v>5282700</v>
      </c>
      <c r="AM1869" s="2">
        <v>0</v>
      </c>
      <c r="AN1869" s="2"/>
      <c r="AO1869" s="2">
        <v>0</v>
      </c>
      <c r="AP1869" s="2">
        <v>5282700</v>
      </c>
      <c r="AQ1869" s="2">
        <v>5282700</v>
      </c>
      <c r="AR1869" s="2">
        <v>0</v>
      </c>
      <c r="AS1869" s="2">
        <v>0</v>
      </c>
      <c r="AT1869" s="2">
        <v>0</v>
      </c>
      <c r="AU1869" s="2">
        <v>5282700</v>
      </c>
      <c r="AV1869" s="2">
        <v>0</v>
      </c>
      <c r="AW1869" s="4"/>
      <c r="AX1869" t="s">
        <v>75</v>
      </c>
      <c r="AZ1869" t="s">
        <v>4164</v>
      </c>
      <c r="BA1869" t="s">
        <v>67</v>
      </c>
      <c r="BB1869" t="s">
        <v>4165</v>
      </c>
      <c r="BC1869" t="s">
        <v>1489</v>
      </c>
      <c r="BD1869" t="s">
        <v>79</v>
      </c>
      <c r="BE1869" t="s">
        <v>94</v>
      </c>
      <c r="BF1869" s="5">
        <v>46692</v>
      </c>
      <c r="BH1869">
        <v>1</v>
      </c>
      <c r="BI1869" s="6">
        <v>1550000</v>
      </c>
      <c r="BJ1869" s="6">
        <v>33</v>
      </c>
      <c r="BK1869" s="6">
        <v>511500</v>
      </c>
      <c r="BL1869" s="6">
        <v>1038500</v>
      </c>
      <c r="BM1869" s="2">
        <v>1038500</v>
      </c>
      <c r="BN1869">
        <f>InvoiceTable[[#This Row],[Giảm giá]]*InvoiceTable[[#This Row],[Số lượng]]</f>
        <v>511500</v>
      </c>
    </row>
    <row r="1870" spans="1:66" x14ac:dyDescent="0.25">
      <c r="A1870" t="s">
        <v>65</v>
      </c>
      <c r="B1870" t="s">
        <v>4539</v>
      </c>
      <c r="F1870" s="2"/>
      <c r="G1870" s="3">
        <v>45996.67094945602</v>
      </c>
      <c r="H1870" s="3">
        <v>45996.670950613428</v>
      </c>
      <c r="I1870" s="4" t="s">
        <v>67</v>
      </c>
      <c r="J1870" t="s">
        <v>4540</v>
      </c>
      <c r="K1870" t="s">
        <v>67</v>
      </c>
      <c r="L1870" t="s">
        <v>4541</v>
      </c>
      <c r="M1870" t="s">
        <v>4542</v>
      </c>
      <c r="N1870" t="s">
        <v>67</v>
      </c>
      <c r="O1870" t="s">
        <v>4543</v>
      </c>
      <c r="P1870" t="s">
        <v>4544</v>
      </c>
      <c r="Q1870" t="s">
        <v>67</v>
      </c>
      <c r="R1870" t="s">
        <v>67</v>
      </c>
      <c r="S1870" s="5"/>
      <c r="T1870" t="s">
        <v>72</v>
      </c>
      <c r="U1870" t="s">
        <v>102</v>
      </c>
      <c r="V1870" t="s">
        <v>74</v>
      </c>
      <c r="W1870" t="s">
        <v>102</v>
      </c>
      <c r="AE1870" s="2"/>
      <c r="AF1870" s="2"/>
      <c r="AG1870" s="2"/>
      <c r="AH1870" s="2"/>
      <c r="AL1870" s="2">
        <v>5282700</v>
      </c>
      <c r="AM1870" s="2">
        <v>0</v>
      </c>
      <c r="AN1870" s="2"/>
      <c r="AO1870" s="2">
        <v>0</v>
      </c>
      <c r="AP1870" s="2">
        <v>5282700</v>
      </c>
      <c r="AQ1870" s="2">
        <v>5282700</v>
      </c>
      <c r="AR1870" s="2">
        <v>0</v>
      </c>
      <c r="AS1870" s="2">
        <v>0</v>
      </c>
      <c r="AT1870" s="2">
        <v>0</v>
      </c>
      <c r="AU1870" s="2">
        <v>5282700</v>
      </c>
      <c r="AV1870" s="2">
        <v>0</v>
      </c>
      <c r="AW1870" s="4"/>
      <c r="AX1870" t="s">
        <v>75</v>
      </c>
      <c r="AZ1870" t="s">
        <v>3873</v>
      </c>
      <c r="BA1870" t="s">
        <v>67</v>
      </c>
      <c r="BB1870" t="s">
        <v>3874</v>
      </c>
      <c r="BC1870" t="s">
        <v>1292</v>
      </c>
      <c r="BD1870" t="s">
        <v>79</v>
      </c>
      <c r="BE1870" t="s">
        <v>201</v>
      </c>
      <c r="BF1870" s="5">
        <v>46966</v>
      </c>
      <c r="BH1870">
        <v>2</v>
      </c>
      <c r="BI1870" s="6">
        <v>1945000</v>
      </c>
      <c r="BJ1870" s="6">
        <v>42</v>
      </c>
      <c r="BK1870" s="6">
        <v>816900</v>
      </c>
      <c r="BL1870" s="6">
        <v>1128100</v>
      </c>
      <c r="BM1870" s="2">
        <v>2256200</v>
      </c>
      <c r="BN1870">
        <f>InvoiceTable[[#This Row],[Giảm giá]]*InvoiceTable[[#This Row],[Số lượng]]</f>
        <v>1633800</v>
      </c>
    </row>
    <row r="1871" spans="1:66" x14ac:dyDescent="0.25">
      <c r="A1871" t="s">
        <v>65</v>
      </c>
      <c r="B1871" t="s">
        <v>4539</v>
      </c>
      <c r="F1871" s="2"/>
      <c r="G1871" s="3">
        <v>45996.67094945602</v>
      </c>
      <c r="H1871" s="3">
        <v>45996.670950613428</v>
      </c>
      <c r="I1871" s="4" t="s">
        <v>67</v>
      </c>
      <c r="J1871" t="s">
        <v>4540</v>
      </c>
      <c r="K1871" t="s">
        <v>67</v>
      </c>
      <c r="L1871" t="s">
        <v>4541</v>
      </c>
      <c r="M1871" t="s">
        <v>4542</v>
      </c>
      <c r="N1871" t="s">
        <v>67</v>
      </c>
      <c r="O1871" t="s">
        <v>4543</v>
      </c>
      <c r="P1871" t="s">
        <v>4544</v>
      </c>
      <c r="Q1871" t="s">
        <v>67</v>
      </c>
      <c r="R1871" t="s">
        <v>67</v>
      </c>
      <c r="S1871" s="5"/>
      <c r="T1871" t="s">
        <v>72</v>
      </c>
      <c r="U1871" t="s">
        <v>102</v>
      </c>
      <c r="V1871" t="s">
        <v>74</v>
      </c>
      <c r="W1871" t="s">
        <v>102</v>
      </c>
      <c r="AE1871" s="2"/>
      <c r="AF1871" s="2"/>
      <c r="AG1871" s="2"/>
      <c r="AH1871" s="2"/>
      <c r="AL1871" s="2">
        <v>5282700</v>
      </c>
      <c r="AM1871" s="2">
        <v>0</v>
      </c>
      <c r="AN1871" s="2"/>
      <c r="AO1871" s="2">
        <v>0</v>
      </c>
      <c r="AP1871" s="2">
        <v>5282700</v>
      </c>
      <c r="AQ1871" s="2">
        <v>5282700</v>
      </c>
      <c r="AR1871" s="2">
        <v>0</v>
      </c>
      <c r="AS1871" s="2">
        <v>0</v>
      </c>
      <c r="AT1871" s="2">
        <v>0</v>
      </c>
      <c r="AU1871" s="2">
        <v>5282700</v>
      </c>
      <c r="AV1871" s="2">
        <v>0</v>
      </c>
      <c r="AW1871" s="4"/>
      <c r="AX1871" t="s">
        <v>75</v>
      </c>
      <c r="AZ1871" t="s">
        <v>4545</v>
      </c>
      <c r="BA1871" t="s">
        <v>67</v>
      </c>
      <c r="BB1871" t="s">
        <v>4546</v>
      </c>
      <c r="BC1871" t="s">
        <v>960</v>
      </c>
      <c r="BD1871" t="s">
        <v>79</v>
      </c>
      <c r="BE1871" t="s">
        <v>177</v>
      </c>
      <c r="BF1871" s="5">
        <v>47027</v>
      </c>
      <c r="BG1871" t="s">
        <v>67</v>
      </c>
      <c r="BH1871">
        <v>1</v>
      </c>
      <c r="BI1871" s="6">
        <v>3550000</v>
      </c>
      <c r="BJ1871" s="6">
        <v>44</v>
      </c>
      <c r="BK1871" s="6">
        <v>1562000</v>
      </c>
      <c r="BL1871" s="6">
        <v>1988000</v>
      </c>
      <c r="BM1871" s="2">
        <v>1988000</v>
      </c>
      <c r="BN1871">
        <f>InvoiceTable[[#This Row],[Giảm giá]]*InvoiceTable[[#This Row],[Số lượng]]</f>
        <v>1562000</v>
      </c>
    </row>
    <row r="1872" spans="1:66" x14ac:dyDescent="0.25">
      <c r="A1872" t="s">
        <v>65</v>
      </c>
      <c r="B1872" t="s">
        <v>4547</v>
      </c>
      <c r="F1872" s="2"/>
      <c r="G1872" s="3">
        <v>45996.666238391204</v>
      </c>
      <c r="H1872" s="3">
        <v>45996.676947256943</v>
      </c>
      <c r="I1872" s="4" t="s">
        <v>1682</v>
      </c>
      <c r="J1872" t="s">
        <v>67</v>
      </c>
      <c r="K1872" t="s">
        <v>67</v>
      </c>
      <c r="L1872" t="s">
        <v>3580</v>
      </c>
      <c r="M1872" t="s">
        <v>3581</v>
      </c>
      <c r="N1872" t="s">
        <v>67</v>
      </c>
      <c r="O1872" t="s">
        <v>3582</v>
      </c>
      <c r="P1872" t="s">
        <v>3583</v>
      </c>
      <c r="Q1872" t="s">
        <v>67</v>
      </c>
      <c r="R1872" t="s">
        <v>67</v>
      </c>
      <c r="S1872" s="5"/>
      <c r="T1872" t="s">
        <v>72</v>
      </c>
      <c r="U1872" t="s">
        <v>87</v>
      </c>
      <c r="V1872" t="s">
        <v>74</v>
      </c>
      <c r="W1872" t="s">
        <v>87</v>
      </c>
      <c r="AE1872" s="2"/>
      <c r="AF1872" s="2"/>
      <c r="AG1872" s="2"/>
      <c r="AH1872" s="2"/>
      <c r="AK1872" t="s">
        <v>4548</v>
      </c>
      <c r="AL1872" s="2">
        <v>10877200</v>
      </c>
      <c r="AM1872" s="2">
        <v>0</v>
      </c>
      <c r="AN1872" s="2"/>
      <c r="AO1872" s="2">
        <v>0</v>
      </c>
      <c r="AP1872" s="2">
        <v>10877200</v>
      </c>
      <c r="AQ1872" s="2">
        <v>0</v>
      </c>
      <c r="AR1872" s="2">
        <v>0</v>
      </c>
      <c r="AS1872" s="2">
        <v>0</v>
      </c>
      <c r="AT1872" s="2">
        <v>0</v>
      </c>
      <c r="AU1872" s="2">
        <v>0</v>
      </c>
      <c r="AV1872" s="2">
        <v>0</v>
      </c>
      <c r="AW1872" s="4"/>
      <c r="AX1872" t="s">
        <v>75</v>
      </c>
      <c r="AZ1872" t="s">
        <v>2467</v>
      </c>
      <c r="BA1872" t="s">
        <v>67</v>
      </c>
      <c r="BB1872" t="s">
        <v>2468</v>
      </c>
      <c r="BC1872" t="s">
        <v>2469</v>
      </c>
      <c r="BD1872" t="s">
        <v>79</v>
      </c>
      <c r="BE1872" t="s">
        <v>142</v>
      </c>
      <c r="BF1872" s="5">
        <v>46844</v>
      </c>
      <c r="BH1872">
        <v>5</v>
      </c>
      <c r="BI1872" s="6">
        <v>585000</v>
      </c>
      <c r="BJ1872" s="6">
        <v>47</v>
      </c>
      <c r="BK1872" s="6">
        <v>274950</v>
      </c>
      <c r="BL1872" s="6">
        <v>310050</v>
      </c>
      <c r="BM1872" s="2">
        <v>1550250</v>
      </c>
      <c r="BN1872">
        <f>InvoiceTable[[#This Row],[Giảm giá]]*InvoiceTable[[#This Row],[Số lượng]]</f>
        <v>1374750</v>
      </c>
    </row>
    <row r="1873" spans="1:66" x14ac:dyDescent="0.25">
      <c r="A1873" t="s">
        <v>65</v>
      </c>
      <c r="B1873" t="s">
        <v>4547</v>
      </c>
      <c r="F1873" s="2"/>
      <c r="G1873" s="3">
        <v>45996.666238391204</v>
      </c>
      <c r="H1873" s="3">
        <v>45996.676947256943</v>
      </c>
      <c r="I1873" s="4" t="s">
        <v>1682</v>
      </c>
      <c r="J1873" t="s">
        <v>67</v>
      </c>
      <c r="K1873" t="s">
        <v>67</v>
      </c>
      <c r="L1873" t="s">
        <v>3580</v>
      </c>
      <c r="M1873" t="s">
        <v>3581</v>
      </c>
      <c r="N1873" t="s">
        <v>67</v>
      </c>
      <c r="O1873" t="s">
        <v>3582</v>
      </c>
      <c r="P1873" t="s">
        <v>3583</v>
      </c>
      <c r="Q1873" t="s">
        <v>67</v>
      </c>
      <c r="R1873" t="s">
        <v>67</v>
      </c>
      <c r="S1873" s="5"/>
      <c r="T1873" t="s">
        <v>72</v>
      </c>
      <c r="U1873" t="s">
        <v>87</v>
      </c>
      <c r="V1873" t="s">
        <v>74</v>
      </c>
      <c r="W1873" t="s">
        <v>87</v>
      </c>
      <c r="AE1873" s="2"/>
      <c r="AF1873" s="2"/>
      <c r="AG1873" s="2"/>
      <c r="AH1873" s="2"/>
      <c r="AK1873" t="s">
        <v>4548</v>
      </c>
      <c r="AL1873" s="2">
        <v>10877200</v>
      </c>
      <c r="AM1873" s="2">
        <v>0</v>
      </c>
      <c r="AN1873" s="2"/>
      <c r="AO1873" s="2">
        <v>0</v>
      </c>
      <c r="AP1873" s="2">
        <v>10877200</v>
      </c>
      <c r="AQ1873" s="2">
        <v>0</v>
      </c>
      <c r="AR1873" s="2">
        <v>0</v>
      </c>
      <c r="AS1873" s="2">
        <v>0</v>
      </c>
      <c r="AT1873" s="2">
        <v>0</v>
      </c>
      <c r="AU1873" s="2">
        <v>0</v>
      </c>
      <c r="AV1873" s="2">
        <v>0</v>
      </c>
      <c r="AW1873" s="4"/>
      <c r="AX1873" t="s">
        <v>75</v>
      </c>
      <c r="AZ1873" t="s">
        <v>1614</v>
      </c>
      <c r="BA1873" t="s">
        <v>67</v>
      </c>
      <c r="BB1873" t="s">
        <v>1615</v>
      </c>
      <c r="BC1873" t="s">
        <v>1616</v>
      </c>
      <c r="BD1873" t="s">
        <v>79</v>
      </c>
      <c r="BE1873" t="s">
        <v>139</v>
      </c>
      <c r="BF1873" s="5">
        <v>46447</v>
      </c>
      <c r="BH1873">
        <v>5</v>
      </c>
      <c r="BI1873" s="6">
        <v>318000</v>
      </c>
      <c r="BJ1873" s="6">
        <v>18</v>
      </c>
      <c r="BK1873" s="6">
        <v>57240</v>
      </c>
      <c r="BL1873" s="6">
        <v>260760</v>
      </c>
      <c r="BM1873" s="2">
        <v>1303800</v>
      </c>
      <c r="BN1873">
        <f>InvoiceTable[[#This Row],[Giảm giá]]*InvoiceTable[[#This Row],[Số lượng]]</f>
        <v>286200</v>
      </c>
    </row>
    <row r="1874" spans="1:66" x14ac:dyDescent="0.25">
      <c r="A1874" t="s">
        <v>65</v>
      </c>
      <c r="B1874" t="s">
        <v>4547</v>
      </c>
      <c r="F1874" s="2"/>
      <c r="G1874" s="3">
        <v>45996.666238391204</v>
      </c>
      <c r="H1874" s="3">
        <v>45996.676947256943</v>
      </c>
      <c r="I1874" s="4" t="s">
        <v>1682</v>
      </c>
      <c r="J1874" t="s">
        <v>67</v>
      </c>
      <c r="K1874" t="s">
        <v>67</v>
      </c>
      <c r="L1874" t="s">
        <v>3580</v>
      </c>
      <c r="M1874" t="s">
        <v>3581</v>
      </c>
      <c r="N1874" t="s">
        <v>67</v>
      </c>
      <c r="O1874" t="s">
        <v>3582</v>
      </c>
      <c r="P1874" t="s">
        <v>3583</v>
      </c>
      <c r="Q1874" t="s">
        <v>67</v>
      </c>
      <c r="R1874" t="s">
        <v>67</v>
      </c>
      <c r="S1874" s="5"/>
      <c r="T1874" t="s">
        <v>72</v>
      </c>
      <c r="U1874" t="s">
        <v>87</v>
      </c>
      <c r="V1874" t="s">
        <v>74</v>
      </c>
      <c r="W1874" t="s">
        <v>87</v>
      </c>
      <c r="AE1874" s="2"/>
      <c r="AF1874" s="2"/>
      <c r="AG1874" s="2"/>
      <c r="AH1874" s="2"/>
      <c r="AK1874" t="s">
        <v>4548</v>
      </c>
      <c r="AL1874" s="2">
        <v>10877200</v>
      </c>
      <c r="AM1874" s="2">
        <v>0</v>
      </c>
      <c r="AN1874" s="2"/>
      <c r="AO1874" s="2">
        <v>0</v>
      </c>
      <c r="AP1874" s="2">
        <v>10877200</v>
      </c>
      <c r="AQ1874" s="2">
        <v>0</v>
      </c>
      <c r="AR1874" s="2">
        <v>0</v>
      </c>
      <c r="AS1874" s="2">
        <v>0</v>
      </c>
      <c r="AT1874" s="2">
        <v>0</v>
      </c>
      <c r="AU1874" s="2">
        <v>0</v>
      </c>
      <c r="AV1874" s="2">
        <v>0</v>
      </c>
      <c r="AW1874" s="4"/>
      <c r="AX1874" t="s">
        <v>75</v>
      </c>
      <c r="AZ1874" t="s">
        <v>3063</v>
      </c>
      <c r="BA1874" t="s">
        <v>67</v>
      </c>
      <c r="BB1874" t="s">
        <v>3064</v>
      </c>
      <c r="BC1874" t="s">
        <v>187</v>
      </c>
      <c r="BD1874" t="s">
        <v>79</v>
      </c>
      <c r="BE1874" t="s">
        <v>188</v>
      </c>
      <c r="BF1874" s="5">
        <v>46905</v>
      </c>
      <c r="BH1874">
        <v>5</v>
      </c>
      <c r="BI1874" s="6">
        <v>590000</v>
      </c>
      <c r="BJ1874" s="6">
        <v>53</v>
      </c>
      <c r="BK1874" s="6">
        <v>312700</v>
      </c>
      <c r="BL1874" s="6">
        <v>277300</v>
      </c>
      <c r="BM1874" s="2">
        <v>1386500</v>
      </c>
      <c r="BN1874">
        <f>InvoiceTable[[#This Row],[Giảm giá]]*InvoiceTable[[#This Row],[Số lượng]]</f>
        <v>1563500</v>
      </c>
    </row>
    <row r="1875" spans="1:66" x14ac:dyDescent="0.25">
      <c r="A1875" t="s">
        <v>65</v>
      </c>
      <c r="B1875" t="s">
        <v>4547</v>
      </c>
      <c r="F1875" s="2"/>
      <c r="G1875" s="3">
        <v>45996.666238391204</v>
      </c>
      <c r="H1875" s="3">
        <v>45996.676947256943</v>
      </c>
      <c r="I1875" s="4" t="s">
        <v>1682</v>
      </c>
      <c r="J1875" t="s">
        <v>67</v>
      </c>
      <c r="K1875" t="s">
        <v>67</v>
      </c>
      <c r="L1875" t="s">
        <v>3580</v>
      </c>
      <c r="M1875" t="s">
        <v>3581</v>
      </c>
      <c r="N1875" t="s">
        <v>67</v>
      </c>
      <c r="O1875" t="s">
        <v>3582</v>
      </c>
      <c r="P1875" t="s">
        <v>3583</v>
      </c>
      <c r="Q1875" t="s">
        <v>67</v>
      </c>
      <c r="R1875" t="s">
        <v>67</v>
      </c>
      <c r="S1875" s="5"/>
      <c r="T1875" t="s">
        <v>72</v>
      </c>
      <c r="U1875" t="s">
        <v>87</v>
      </c>
      <c r="V1875" t="s">
        <v>74</v>
      </c>
      <c r="W1875" t="s">
        <v>87</v>
      </c>
      <c r="AE1875" s="2"/>
      <c r="AF1875" s="2"/>
      <c r="AG1875" s="2"/>
      <c r="AH1875" s="2"/>
      <c r="AK1875" t="s">
        <v>4548</v>
      </c>
      <c r="AL1875" s="2">
        <v>10877200</v>
      </c>
      <c r="AM1875" s="2">
        <v>0</v>
      </c>
      <c r="AN1875" s="2"/>
      <c r="AO1875" s="2">
        <v>0</v>
      </c>
      <c r="AP1875" s="2">
        <v>10877200</v>
      </c>
      <c r="AQ1875" s="2">
        <v>0</v>
      </c>
      <c r="AR1875" s="2">
        <v>0</v>
      </c>
      <c r="AS1875" s="2">
        <v>0</v>
      </c>
      <c r="AT1875" s="2">
        <v>0</v>
      </c>
      <c r="AU1875" s="2">
        <v>0</v>
      </c>
      <c r="AV1875" s="2">
        <v>0</v>
      </c>
      <c r="AW1875" s="4"/>
      <c r="AX1875" t="s">
        <v>75</v>
      </c>
      <c r="AZ1875" t="s">
        <v>4549</v>
      </c>
      <c r="BA1875" t="s">
        <v>67</v>
      </c>
      <c r="BB1875" t="s">
        <v>4550</v>
      </c>
      <c r="BC1875" t="s">
        <v>4138</v>
      </c>
      <c r="BD1875" t="s">
        <v>79</v>
      </c>
      <c r="BE1875" t="s">
        <v>142</v>
      </c>
      <c r="BF1875" s="5">
        <v>46844</v>
      </c>
      <c r="BH1875">
        <v>5</v>
      </c>
      <c r="BI1875" s="6">
        <v>389000</v>
      </c>
      <c r="BJ1875" s="6">
        <v>35</v>
      </c>
      <c r="BK1875" s="6">
        <v>136150</v>
      </c>
      <c r="BL1875" s="6">
        <v>252850</v>
      </c>
      <c r="BM1875" s="2">
        <v>1264250</v>
      </c>
      <c r="BN1875">
        <f>InvoiceTable[[#This Row],[Giảm giá]]*InvoiceTable[[#This Row],[Số lượng]]</f>
        <v>680750</v>
      </c>
    </row>
    <row r="1876" spans="1:66" x14ac:dyDescent="0.25">
      <c r="A1876" t="s">
        <v>65</v>
      </c>
      <c r="B1876" t="s">
        <v>4547</v>
      </c>
      <c r="F1876" s="2"/>
      <c r="G1876" s="3">
        <v>45996.666238391204</v>
      </c>
      <c r="H1876" s="3">
        <v>45996.676947256943</v>
      </c>
      <c r="I1876" s="4" t="s">
        <v>1682</v>
      </c>
      <c r="J1876" t="s">
        <v>67</v>
      </c>
      <c r="K1876" t="s">
        <v>67</v>
      </c>
      <c r="L1876" t="s">
        <v>3580</v>
      </c>
      <c r="M1876" t="s">
        <v>3581</v>
      </c>
      <c r="N1876" t="s">
        <v>67</v>
      </c>
      <c r="O1876" t="s">
        <v>3582</v>
      </c>
      <c r="P1876" t="s">
        <v>3583</v>
      </c>
      <c r="Q1876" t="s">
        <v>67</v>
      </c>
      <c r="R1876" t="s">
        <v>67</v>
      </c>
      <c r="S1876" s="5"/>
      <c r="T1876" t="s">
        <v>72</v>
      </c>
      <c r="U1876" t="s">
        <v>87</v>
      </c>
      <c r="V1876" t="s">
        <v>74</v>
      </c>
      <c r="W1876" t="s">
        <v>87</v>
      </c>
      <c r="AE1876" s="2"/>
      <c r="AF1876" s="2"/>
      <c r="AG1876" s="2"/>
      <c r="AH1876" s="2"/>
      <c r="AK1876" t="s">
        <v>4548</v>
      </c>
      <c r="AL1876" s="2">
        <v>10877200</v>
      </c>
      <c r="AM1876" s="2">
        <v>0</v>
      </c>
      <c r="AN1876" s="2"/>
      <c r="AO1876" s="2">
        <v>0</v>
      </c>
      <c r="AP1876" s="2">
        <v>10877200</v>
      </c>
      <c r="AQ1876" s="2">
        <v>0</v>
      </c>
      <c r="AR1876" s="2">
        <v>0</v>
      </c>
      <c r="AS1876" s="2">
        <v>0</v>
      </c>
      <c r="AT1876" s="2">
        <v>0</v>
      </c>
      <c r="AU1876" s="2">
        <v>0</v>
      </c>
      <c r="AV1876" s="2">
        <v>0</v>
      </c>
      <c r="AW1876" s="4"/>
      <c r="AX1876" t="s">
        <v>75</v>
      </c>
      <c r="AZ1876" t="s">
        <v>189</v>
      </c>
      <c r="BA1876" t="s">
        <v>67</v>
      </c>
      <c r="BB1876" t="s">
        <v>190</v>
      </c>
      <c r="BC1876" t="s">
        <v>191</v>
      </c>
      <c r="BD1876" t="s">
        <v>79</v>
      </c>
      <c r="BE1876" t="s">
        <v>228</v>
      </c>
      <c r="BF1876" s="5">
        <v>46813</v>
      </c>
      <c r="BH1876">
        <v>5</v>
      </c>
      <c r="BI1876" s="6">
        <v>972000</v>
      </c>
      <c r="BJ1876" s="6">
        <v>42</v>
      </c>
      <c r="BK1876" s="6">
        <v>408240</v>
      </c>
      <c r="BL1876" s="6">
        <v>563760</v>
      </c>
      <c r="BM1876" s="2">
        <v>2818800</v>
      </c>
      <c r="BN1876">
        <f>InvoiceTable[[#This Row],[Giảm giá]]*InvoiceTable[[#This Row],[Số lượng]]</f>
        <v>2041200</v>
      </c>
    </row>
    <row r="1877" spans="1:66" x14ac:dyDescent="0.25">
      <c r="A1877" t="s">
        <v>65</v>
      </c>
      <c r="B1877" t="s">
        <v>4547</v>
      </c>
      <c r="F1877" s="2"/>
      <c r="G1877" s="3">
        <v>45996.666238391204</v>
      </c>
      <c r="H1877" s="3">
        <v>45996.676947256943</v>
      </c>
      <c r="I1877" s="4" t="s">
        <v>1682</v>
      </c>
      <c r="J1877" t="s">
        <v>67</v>
      </c>
      <c r="K1877" t="s">
        <v>67</v>
      </c>
      <c r="L1877" t="s">
        <v>3580</v>
      </c>
      <c r="M1877" t="s">
        <v>3581</v>
      </c>
      <c r="N1877" t="s">
        <v>67</v>
      </c>
      <c r="O1877" t="s">
        <v>3582</v>
      </c>
      <c r="P1877" t="s">
        <v>3583</v>
      </c>
      <c r="Q1877" t="s">
        <v>67</v>
      </c>
      <c r="R1877" t="s">
        <v>67</v>
      </c>
      <c r="S1877" s="5"/>
      <c r="T1877" t="s">
        <v>72</v>
      </c>
      <c r="U1877" t="s">
        <v>87</v>
      </c>
      <c r="V1877" t="s">
        <v>74</v>
      </c>
      <c r="W1877" t="s">
        <v>87</v>
      </c>
      <c r="AE1877" s="2"/>
      <c r="AF1877" s="2"/>
      <c r="AG1877" s="2"/>
      <c r="AH1877" s="2"/>
      <c r="AK1877" t="s">
        <v>4548</v>
      </c>
      <c r="AL1877" s="2">
        <v>10877200</v>
      </c>
      <c r="AM1877" s="2">
        <v>0</v>
      </c>
      <c r="AN1877" s="2"/>
      <c r="AO1877" s="2">
        <v>0</v>
      </c>
      <c r="AP1877" s="2">
        <v>10877200</v>
      </c>
      <c r="AQ1877" s="2">
        <v>0</v>
      </c>
      <c r="AR1877" s="2">
        <v>0</v>
      </c>
      <c r="AS1877" s="2">
        <v>0</v>
      </c>
      <c r="AT1877" s="2">
        <v>0</v>
      </c>
      <c r="AU1877" s="2">
        <v>0</v>
      </c>
      <c r="AV1877" s="2">
        <v>0</v>
      </c>
      <c r="AW1877" s="4"/>
      <c r="AX1877" t="s">
        <v>75</v>
      </c>
      <c r="AZ1877" t="s">
        <v>3881</v>
      </c>
      <c r="BA1877" t="s">
        <v>67</v>
      </c>
      <c r="BB1877" t="s">
        <v>3882</v>
      </c>
      <c r="BC1877" t="s">
        <v>1219</v>
      </c>
      <c r="BD1877" t="s">
        <v>79</v>
      </c>
      <c r="BE1877" t="s">
        <v>177</v>
      </c>
      <c r="BF1877" s="5">
        <v>47027</v>
      </c>
      <c r="BG1877" t="s">
        <v>67</v>
      </c>
      <c r="BH1877">
        <v>2</v>
      </c>
      <c r="BI1877" s="6">
        <v>680000</v>
      </c>
      <c r="BJ1877" s="6">
        <v>43</v>
      </c>
      <c r="BK1877" s="6">
        <v>292400</v>
      </c>
      <c r="BL1877" s="6">
        <v>387600</v>
      </c>
      <c r="BM1877" s="2">
        <v>775200</v>
      </c>
      <c r="BN1877">
        <f>InvoiceTable[[#This Row],[Giảm giá]]*InvoiceTable[[#This Row],[Số lượng]]</f>
        <v>584800</v>
      </c>
    </row>
    <row r="1878" spans="1:66" x14ac:dyDescent="0.25">
      <c r="A1878" t="s">
        <v>65</v>
      </c>
      <c r="B1878" t="s">
        <v>4547</v>
      </c>
      <c r="F1878" s="2"/>
      <c r="G1878" s="3">
        <v>45996.666238391204</v>
      </c>
      <c r="H1878" s="3">
        <v>45996.676947256943</v>
      </c>
      <c r="I1878" s="4" t="s">
        <v>1682</v>
      </c>
      <c r="J1878" t="s">
        <v>67</v>
      </c>
      <c r="K1878" t="s">
        <v>67</v>
      </c>
      <c r="L1878" t="s">
        <v>3580</v>
      </c>
      <c r="M1878" t="s">
        <v>3581</v>
      </c>
      <c r="N1878" t="s">
        <v>67</v>
      </c>
      <c r="O1878" t="s">
        <v>3582</v>
      </c>
      <c r="P1878" t="s">
        <v>3583</v>
      </c>
      <c r="Q1878" t="s">
        <v>67</v>
      </c>
      <c r="R1878" t="s">
        <v>67</v>
      </c>
      <c r="S1878" s="5"/>
      <c r="T1878" t="s">
        <v>72</v>
      </c>
      <c r="U1878" t="s">
        <v>87</v>
      </c>
      <c r="V1878" t="s">
        <v>74</v>
      </c>
      <c r="W1878" t="s">
        <v>87</v>
      </c>
      <c r="AE1878" s="2"/>
      <c r="AF1878" s="2"/>
      <c r="AG1878" s="2"/>
      <c r="AH1878" s="2"/>
      <c r="AK1878" t="s">
        <v>4548</v>
      </c>
      <c r="AL1878" s="2">
        <v>10877200</v>
      </c>
      <c r="AM1878" s="2">
        <v>0</v>
      </c>
      <c r="AN1878" s="2"/>
      <c r="AO1878" s="2">
        <v>0</v>
      </c>
      <c r="AP1878" s="2">
        <v>10877200</v>
      </c>
      <c r="AQ1878" s="2">
        <v>0</v>
      </c>
      <c r="AR1878" s="2">
        <v>0</v>
      </c>
      <c r="AS1878" s="2">
        <v>0</v>
      </c>
      <c r="AT1878" s="2">
        <v>0</v>
      </c>
      <c r="AU1878" s="2">
        <v>0</v>
      </c>
      <c r="AV1878" s="2">
        <v>0</v>
      </c>
      <c r="AW1878" s="4"/>
      <c r="AX1878" t="s">
        <v>75</v>
      </c>
      <c r="AZ1878" t="s">
        <v>4416</v>
      </c>
      <c r="BA1878" t="s">
        <v>67</v>
      </c>
      <c r="BB1878" t="s">
        <v>4417</v>
      </c>
      <c r="BC1878" t="s">
        <v>1219</v>
      </c>
      <c r="BD1878" t="s">
        <v>79</v>
      </c>
      <c r="BE1878" t="s">
        <v>177</v>
      </c>
      <c r="BF1878" s="5">
        <v>47027</v>
      </c>
      <c r="BG1878" t="s">
        <v>67</v>
      </c>
      <c r="BH1878">
        <v>2</v>
      </c>
      <c r="BI1878" s="6">
        <v>880000</v>
      </c>
      <c r="BJ1878" s="6">
        <v>43</v>
      </c>
      <c r="BK1878" s="6">
        <v>378400</v>
      </c>
      <c r="BL1878" s="6">
        <v>501600</v>
      </c>
      <c r="BM1878" s="2">
        <v>1003200</v>
      </c>
      <c r="BN1878">
        <f>InvoiceTable[[#This Row],[Giảm giá]]*InvoiceTable[[#This Row],[Số lượng]]</f>
        <v>756800</v>
      </c>
    </row>
    <row r="1879" spans="1:66" x14ac:dyDescent="0.25">
      <c r="A1879" t="s">
        <v>65</v>
      </c>
      <c r="B1879" t="s">
        <v>4547</v>
      </c>
      <c r="F1879" s="2"/>
      <c r="G1879" s="3">
        <v>45996.666238391204</v>
      </c>
      <c r="H1879" s="3">
        <v>45996.676947256943</v>
      </c>
      <c r="I1879" s="4" t="s">
        <v>1682</v>
      </c>
      <c r="J1879" t="s">
        <v>67</v>
      </c>
      <c r="K1879" t="s">
        <v>67</v>
      </c>
      <c r="L1879" t="s">
        <v>3580</v>
      </c>
      <c r="M1879" t="s">
        <v>3581</v>
      </c>
      <c r="N1879" t="s">
        <v>67</v>
      </c>
      <c r="O1879" t="s">
        <v>3582</v>
      </c>
      <c r="P1879" t="s">
        <v>3583</v>
      </c>
      <c r="Q1879" t="s">
        <v>67</v>
      </c>
      <c r="R1879" t="s">
        <v>67</v>
      </c>
      <c r="S1879" s="5"/>
      <c r="T1879" t="s">
        <v>72</v>
      </c>
      <c r="U1879" t="s">
        <v>87</v>
      </c>
      <c r="V1879" t="s">
        <v>74</v>
      </c>
      <c r="W1879" t="s">
        <v>87</v>
      </c>
      <c r="AE1879" s="2"/>
      <c r="AF1879" s="2"/>
      <c r="AG1879" s="2"/>
      <c r="AH1879" s="2"/>
      <c r="AK1879" t="s">
        <v>4548</v>
      </c>
      <c r="AL1879" s="2">
        <v>10877200</v>
      </c>
      <c r="AM1879" s="2">
        <v>0</v>
      </c>
      <c r="AN1879" s="2"/>
      <c r="AO1879" s="2">
        <v>0</v>
      </c>
      <c r="AP1879" s="2">
        <v>10877200</v>
      </c>
      <c r="AQ1879" s="2">
        <v>0</v>
      </c>
      <c r="AR1879" s="2">
        <v>0</v>
      </c>
      <c r="AS1879" s="2">
        <v>0</v>
      </c>
      <c r="AT1879" s="2">
        <v>0</v>
      </c>
      <c r="AU1879" s="2">
        <v>0</v>
      </c>
      <c r="AV1879" s="2">
        <v>0</v>
      </c>
      <c r="AW1879" s="4"/>
      <c r="AX1879" t="s">
        <v>75</v>
      </c>
      <c r="AZ1879" t="s">
        <v>4551</v>
      </c>
      <c r="BA1879" t="s">
        <v>67</v>
      </c>
      <c r="BB1879" t="s">
        <v>4552</v>
      </c>
      <c r="BC1879" t="s">
        <v>1219</v>
      </c>
      <c r="BD1879" t="s">
        <v>79</v>
      </c>
      <c r="BE1879" t="s">
        <v>177</v>
      </c>
      <c r="BF1879" s="5">
        <v>47027</v>
      </c>
      <c r="BG1879" t="s">
        <v>67</v>
      </c>
      <c r="BH1879">
        <v>2</v>
      </c>
      <c r="BI1879" s="6">
        <v>680000</v>
      </c>
      <c r="BJ1879" s="6">
        <v>43</v>
      </c>
      <c r="BK1879" s="6">
        <v>292400</v>
      </c>
      <c r="BL1879" s="6">
        <v>387600</v>
      </c>
      <c r="BM1879" s="2">
        <v>775200</v>
      </c>
      <c r="BN1879">
        <f>InvoiceTable[[#This Row],[Giảm giá]]*InvoiceTable[[#This Row],[Số lượng]]</f>
        <v>584800</v>
      </c>
    </row>
    <row r="1880" spans="1:66" x14ac:dyDescent="0.25">
      <c r="A1880" t="s">
        <v>65</v>
      </c>
      <c r="B1880" t="s">
        <v>4553</v>
      </c>
      <c r="F1880" s="2"/>
      <c r="G1880" s="3">
        <v>45996.662195752317</v>
      </c>
      <c r="H1880" s="3">
        <v>45996.677086886571</v>
      </c>
      <c r="I1880" s="4" t="s">
        <v>67</v>
      </c>
      <c r="J1880" t="s">
        <v>67</v>
      </c>
      <c r="K1880" t="s">
        <v>67</v>
      </c>
      <c r="L1880" t="s">
        <v>726</v>
      </c>
      <c r="M1880" t="s">
        <v>727</v>
      </c>
      <c r="N1880" t="s">
        <v>67</v>
      </c>
      <c r="O1880" t="s">
        <v>728</v>
      </c>
      <c r="P1880" t="s">
        <v>729</v>
      </c>
      <c r="S1880" s="5"/>
      <c r="T1880" t="s">
        <v>72</v>
      </c>
      <c r="U1880" t="s">
        <v>87</v>
      </c>
      <c r="V1880" t="s">
        <v>74</v>
      </c>
      <c r="W1880" t="s">
        <v>87</v>
      </c>
      <c r="AE1880" s="2"/>
      <c r="AF1880" s="2"/>
      <c r="AG1880" s="2"/>
      <c r="AH1880" s="2"/>
      <c r="AL1880" s="2">
        <v>7153500</v>
      </c>
      <c r="AM1880" s="2">
        <v>0</v>
      </c>
      <c r="AN1880" s="2"/>
      <c r="AO1880" s="2">
        <v>0</v>
      </c>
      <c r="AP1880" s="2">
        <v>7153500</v>
      </c>
      <c r="AQ1880" s="2">
        <v>0</v>
      </c>
      <c r="AR1880" s="2">
        <v>0</v>
      </c>
      <c r="AS1880" s="2">
        <v>0</v>
      </c>
      <c r="AT1880" s="2">
        <v>0</v>
      </c>
      <c r="AU1880" s="2">
        <v>0</v>
      </c>
      <c r="AV1880" s="2">
        <v>0</v>
      </c>
      <c r="AW1880" s="4"/>
      <c r="AX1880" t="s">
        <v>75</v>
      </c>
      <c r="AZ1880" t="s">
        <v>761</v>
      </c>
      <c r="BB1880" t="s">
        <v>762</v>
      </c>
      <c r="BC1880" t="s">
        <v>251</v>
      </c>
      <c r="BD1880" t="s">
        <v>79</v>
      </c>
      <c r="BE1880" t="s">
        <v>715</v>
      </c>
      <c r="BF1880" s="5">
        <v>46631</v>
      </c>
      <c r="BH1880">
        <v>10</v>
      </c>
      <c r="BI1880" s="6">
        <v>385000</v>
      </c>
      <c r="BJ1880" s="6">
        <v>43</v>
      </c>
      <c r="BK1880" s="6">
        <v>165550</v>
      </c>
      <c r="BL1880" s="6">
        <v>219450</v>
      </c>
      <c r="BM1880" s="2">
        <v>2194500</v>
      </c>
      <c r="BN1880">
        <f>InvoiceTable[[#This Row],[Giảm giá]]*InvoiceTable[[#This Row],[Số lượng]]</f>
        <v>1655500</v>
      </c>
    </row>
    <row r="1881" spans="1:66" x14ac:dyDescent="0.25">
      <c r="A1881" t="s">
        <v>65</v>
      </c>
      <c r="B1881" t="s">
        <v>4553</v>
      </c>
      <c r="F1881" s="2"/>
      <c r="G1881" s="3">
        <v>45996.662195752317</v>
      </c>
      <c r="H1881" s="3">
        <v>45996.677086886571</v>
      </c>
      <c r="I1881" s="4" t="s">
        <v>67</v>
      </c>
      <c r="J1881" t="s">
        <v>67</v>
      </c>
      <c r="K1881" t="s">
        <v>67</v>
      </c>
      <c r="L1881" t="s">
        <v>726</v>
      </c>
      <c r="M1881" t="s">
        <v>727</v>
      </c>
      <c r="N1881" t="s">
        <v>67</v>
      </c>
      <c r="O1881" t="s">
        <v>728</v>
      </c>
      <c r="P1881" t="s">
        <v>729</v>
      </c>
      <c r="S1881" s="5"/>
      <c r="T1881" t="s">
        <v>72</v>
      </c>
      <c r="U1881" t="s">
        <v>87</v>
      </c>
      <c r="V1881" t="s">
        <v>74</v>
      </c>
      <c r="W1881" t="s">
        <v>87</v>
      </c>
      <c r="AE1881" s="2"/>
      <c r="AF1881" s="2"/>
      <c r="AG1881" s="2"/>
      <c r="AH1881" s="2"/>
      <c r="AL1881" s="2">
        <v>7153500</v>
      </c>
      <c r="AM1881" s="2">
        <v>0</v>
      </c>
      <c r="AN1881" s="2"/>
      <c r="AO1881" s="2">
        <v>0</v>
      </c>
      <c r="AP1881" s="2">
        <v>7153500</v>
      </c>
      <c r="AQ1881" s="2">
        <v>0</v>
      </c>
      <c r="AR1881" s="2">
        <v>0</v>
      </c>
      <c r="AS1881" s="2">
        <v>0</v>
      </c>
      <c r="AT1881" s="2">
        <v>0</v>
      </c>
      <c r="AU1881" s="2">
        <v>0</v>
      </c>
      <c r="AV1881" s="2">
        <v>0</v>
      </c>
      <c r="AW1881" s="4"/>
      <c r="AX1881" t="s">
        <v>75</v>
      </c>
      <c r="AZ1881" t="s">
        <v>763</v>
      </c>
      <c r="BA1881" t="s">
        <v>67</v>
      </c>
      <c r="BB1881" t="s">
        <v>764</v>
      </c>
      <c r="BC1881" t="s">
        <v>251</v>
      </c>
      <c r="BD1881" t="s">
        <v>79</v>
      </c>
      <c r="BE1881" t="s">
        <v>715</v>
      </c>
      <c r="BF1881" s="5">
        <v>46631</v>
      </c>
      <c r="BG1881" t="s">
        <v>67</v>
      </c>
      <c r="BH1881">
        <v>20</v>
      </c>
      <c r="BI1881" s="6">
        <v>435000</v>
      </c>
      <c r="BJ1881" s="6">
        <v>43</v>
      </c>
      <c r="BK1881" s="6">
        <v>187050</v>
      </c>
      <c r="BL1881" s="6">
        <v>247950</v>
      </c>
      <c r="BM1881" s="2">
        <v>4959000</v>
      </c>
      <c r="BN1881">
        <f>InvoiceTable[[#This Row],[Giảm giá]]*InvoiceTable[[#This Row],[Số lượng]]</f>
        <v>3741000</v>
      </c>
    </row>
    <row r="1882" spans="1:66" x14ac:dyDescent="0.25">
      <c r="A1882" t="s">
        <v>65</v>
      </c>
      <c r="B1882" t="s">
        <v>4554</v>
      </c>
      <c r="F1882" s="2"/>
      <c r="G1882" s="3">
        <v>45996.642580011576</v>
      </c>
      <c r="H1882" s="3">
        <v>45996.642580243053</v>
      </c>
      <c r="I1882" s="4" t="s">
        <v>67</v>
      </c>
      <c r="J1882" t="s">
        <v>67</v>
      </c>
      <c r="K1882" t="s">
        <v>67</v>
      </c>
      <c r="L1882" t="s">
        <v>4555</v>
      </c>
      <c r="M1882" t="s">
        <v>4556</v>
      </c>
      <c r="N1882" t="s">
        <v>67</v>
      </c>
      <c r="O1882" t="s">
        <v>4557</v>
      </c>
      <c r="P1882" t="s">
        <v>4558</v>
      </c>
      <c r="Q1882" t="s">
        <v>67</v>
      </c>
      <c r="R1882" t="s">
        <v>67</v>
      </c>
      <c r="S1882" s="5"/>
      <c r="T1882" t="s">
        <v>72</v>
      </c>
      <c r="U1882" t="s">
        <v>87</v>
      </c>
      <c r="V1882" t="s">
        <v>74</v>
      </c>
      <c r="W1882" t="s">
        <v>87</v>
      </c>
      <c r="AE1882" s="2"/>
      <c r="AF1882" s="2"/>
      <c r="AG1882" s="2"/>
      <c r="AH1882" s="2"/>
      <c r="AL1882" s="2">
        <v>2951234</v>
      </c>
      <c r="AM1882" s="2">
        <v>0</v>
      </c>
      <c r="AN1882" s="2"/>
      <c r="AO1882" s="2">
        <v>0</v>
      </c>
      <c r="AP1882" s="2">
        <v>2951234</v>
      </c>
      <c r="AQ1882" s="2">
        <v>1081450</v>
      </c>
      <c r="AR1882" s="2">
        <v>0</v>
      </c>
      <c r="AS1882" s="2">
        <v>0</v>
      </c>
      <c r="AT1882" s="2">
        <v>0</v>
      </c>
      <c r="AU1882" s="2">
        <v>1081450</v>
      </c>
      <c r="AV1882" s="2">
        <v>0</v>
      </c>
      <c r="AW1882" s="4"/>
      <c r="AX1882" t="s">
        <v>75</v>
      </c>
      <c r="AZ1882" t="s">
        <v>4559</v>
      </c>
      <c r="BA1882" t="s">
        <v>67</v>
      </c>
      <c r="BB1882" t="s">
        <v>4560</v>
      </c>
      <c r="BC1882" t="s">
        <v>681</v>
      </c>
      <c r="BD1882" t="s">
        <v>79</v>
      </c>
      <c r="BE1882" t="s">
        <v>106</v>
      </c>
      <c r="BF1882" s="5">
        <v>46327</v>
      </c>
      <c r="BG1882" t="s">
        <v>67</v>
      </c>
      <c r="BH1882">
        <v>1</v>
      </c>
      <c r="BI1882" s="6">
        <v>3950000</v>
      </c>
      <c r="BJ1882" s="6">
        <v>45</v>
      </c>
      <c r="BK1882" s="6">
        <v>1777500</v>
      </c>
      <c r="BL1882" s="6">
        <v>2172500</v>
      </c>
      <c r="BM1882" s="2">
        <v>2172500</v>
      </c>
      <c r="BN1882">
        <f>InvoiceTable[[#This Row],[Giảm giá]]*InvoiceTable[[#This Row],[Số lượng]]</f>
        <v>1777500</v>
      </c>
    </row>
    <row r="1883" spans="1:66" x14ac:dyDescent="0.25">
      <c r="A1883" t="s">
        <v>65</v>
      </c>
      <c r="B1883" t="s">
        <v>4554</v>
      </c>
      <c r="F1883" s="2"/>
      <c r="G1883" s="3">
        <v>45996.642580011576</v>
      </c>
      <c r="H1883" s="3">
        <v>45996.642580243053</v>
      </c>
      <c r="I1883" s="4" t="s">
        <v>67</v>
      </c>
      <c r="J1883" t="s">
        <v>67</v>
      </c>
      <c r="K1883" t="s">
        <v>67</v>
      </c>
      <c r="L1883" t="s">
        <v>4555</v>
      </c>
      <c r="M1883" t="s">
        <v>4556</v>
      </c>
      <c r="N1883" t="s">
        <v>67</v>
      </c>
      <c r="O1883" t="s">
        <v>4557</v>
      </c>
      <c r="P1883" t="s">
        <v>4558</v>
      </c>
      <c r="Q1883" t="s">
        <v>67</v>
      </c>
      <c r="R1883" t="s">
        <v>67</v>
      </c>
      <c r="S1883" s="5"/>
      <c r="T1883" t="s">
        <v>72</v>
      </c>
      <c r="U1883" t="s">
        <v>87</v>
      </c>
      <c r="V1883" t="s">
        <v>74</v>
      </c>
      <c r="W1883" t="s">
        <v>87</v>
      </c>
      <c r="AE1883" s="2"/>
      <c r="AF1883" s="2"/>
      <c r="AG1883" s="2"/>
      <c r="AH1883" s="2"/>
      <c r="AL1883" s="2">
        <v>2951234</v>
      </c>
      <c r="AM1883" s="2">
        <v>0</v>
      </c>
      <c r="AN1883" s="2"/>
      <c r="AO1883" s="2">
        <v>0</v>
      </c>
      <c r="AP1883" s="2">
        <v>2951234</v>
      </c>
      <c r="AQ1883" s="2">
        <v>1081450</v>
      </c>
      <c r="AR1883" s="2">
        <v>0</v>
      </c>
      <c r="AS1883" s="2">
        <v>0</v>
      </c>
      <c r="AT1883" s="2">
        <v>0</v>
      </c>
      <c r="AU1883" s="2">
        <v>1081450</v>
      </c>
      <c r="AV1883" s="2">
        <v>0</v>
      </c>
      <c r="AW1883" s="4"/>
      <c r="AX1883" t="s">
        <v>75</v>
      </c>
      <c r="AZ1883" t="s">
        <v>3667</v>
      </c>
      <c r="BA1883" t="s">
        <v>67</v>
      </c>
      <c r="BB1883" t="s">
        <v>3668</v>
      </c>
      <c r="BC1883" t="s">
        <v>1851</v>
      </c>
      <c r="BD1883" t="s">
        <v>79</v>
      </c>
      <c r="BE1883" t="s">
        <v>145</v>
      </c>
      <c r="BF1883" s="5">
        <v>46508</v>
      </c>
      <c r="BH1883">
        <v>1</v>
      </c>
      <c r="BI1883" s="6">
        <v>1366200</v>
      </c>
      <c r="BJ1883" s="6">
        <v>43</v>
      </c>
      <c r="BK1883" s="6">
        <v>587466</v>
      </c>
      <c r="BL1883" s="6">
        <v>778734</v>
      </c>
      <c r="BM1883" s="2">
        <v>778734</v>
      </c>
      <c r="BN1883">
        <f>InvoiceTable[[#This Row],[Giảm giá]]*InvoiceTable[[#This Row],[Số lượng]]</f>
        <v>587466</v>
      </c>
    </row>
    <row r="1884" spans="1:66" x14ac:dyDescent="0.25">
      <c r="A1884" t="s">
        <v>65</v>
      </c>
      <c r="B1884" t="s">
        <v>4561</v>
      </c>
      <c r="F1884" s="2"/>
      <c r="G1884" s="3">
        <v>45996.630657638889</v>
      </c>
      <c r="H1884" s="3">
        <v>45996.630657754627</v>
      </c>
      <c r="I1884" s="4" t="s">
        <v>67</v>
      </c>
      <c r="J1884" t="s">
        <v>4562</v>
      </c>
      <c r="K1884" t="s">
        <v>67</v>
      </c>
      <c r="L1884" t="s">
        <v>1109</v>
      </c>
      <c r="M1884" t="s">
        <v>1110</v>
      </c>
      <c r="N1884" t="s">
        <v>1111</v>
      </c>
      <c r="O1884" t="s">
        <v>1112</v>
      </c>
      <c r="P1884" t="s">
        <v>1113</v>
      </c>
      <c r="Q1884" t="s">
        <v>1114</v>
      </c>
      <c r="R1884" t="s">
        <v>1115</v>
      </c>
      <c r="S1884" s="5"/>
      <c r="T1884" t="s">
        <v>72</v>
      </c>
      <c r="U1884" t="s">
        <v>102</v>
      </c>
      <c r="V1884" t="s">
        <v>74</v>
      </c>
      <c r="W1884" t="s">
        <v>102</v>
      </c>
      <c r="AE1884" s="2"/>
      <c r="AF1884" s="2"/>
      <c r="AG1884" s="2"/>
      <c r="AH1884" s="2"/>
      <c r="AK1884" t="s">
        <v>1390</v>
      </c>
      <c r="AL1884" s="2">
        <v>1300000</v>
      </c>
      <c r="AM1884" s="2">
        <v>0</v>
      </c>
      <c r="AN1884" s="2"/>
      <c r="AO1884" s="2">
        <v>0</v>
      </c>
      <c r="AP1884" s="2">
        <v>1300000</v>
      </c>
      <c r="AQ1884" s="2">
        <v>0</v>
      </c>
      <c r="AR1884" s="2">
        <v>0</v>
      </c>
      <c r="AS1884" s="2">
        <v>0</v>
      </c>
      <c r="AT1884" s="2">
        <v>0</v>
      </c>
      <c r="AU1884" s="2">
        <v>0</v>
      </c>
      <c r="AV1884" s="2">
        <v>0</v>
      </c>
      <c r="AW1884" s="4"/>
      <c r="AX1884" t="s">
        <v>75</v>
      </c>
      <c r="AZ1884" t="s">
        <v>663</v>
      </c>
      <c r="BA1884" t="s">
        <v>67</v>
      </c>
      <c r="BB1884" t="s">
        <v>664</v>
      </c>
      <c r="BC1884" t="s">
        <v>665</v>
      </c>
      <c r="BD1884" t="s">
        <v>79</v>
      </c>
      <c r="BE1884" t="s">
        <v>159</v>
      </c>
      <c r="BF1884" s="5">
        <v>46478</v>
      </c>
      <c r="BH1884">
        <v>2</v>
      </c>
      <c r="BI1884" s="6">
        <v>380000</v>
      </c>
      <c r="BJ1884" s="6">
        <v>0</v>
      </c>
      <c r="BK1884" s="6">
        <v>220000</v>
      </c>
      <c r="BL1884" s="6">
        <v>160000</v>
      </c>
      <c r="BM1884" s="2">
        <v>320000</v>
      </c>
      <c r="BN1884">
        <f>InvoiceTable[[#This Row],[Giảm giá]]*InvoiceTable[[#This Row],[Số lượng]]</f>
        <v>440000</v>
      </c>
    </row>
    <row r="1885" spans="1:66" x14ac:dyDescent="0.25">
      <c r="A1885" t="s">
        <v>65</v>
      </c>
      <c r="B1885" t="s">
        <v>4561</v>
      </c>
      <c r="F1885" s="2"/>
      <c r="G1885" s="3">
        <v>45996.630657638889</v>
      </c>
      <c r="H1885" s="3">
        <v>45996.630657754627</v>
      </c>
      <c r="I1885" s="4" t="s">
        <v>67</v>
      </c>
      <c r="J1885" t="s">
        <v>4562</v>
      </c>
      <c r="K1885" t="s">
        <v>67</v>
      </c>
      <c r="L1885" t="s">
        <v>1109</v>
      </c>
      <c r="M1885" t="s">
        <v>1110</v>
      </c>
      <c r="N1885" t="s">
        <v>1111</v>
      </c>
      <c r="O1885" t="s">
        <v>1112</v>
      </c>
      <c r="P1885" t="s">
        <v>1113</v>
      </c>
      <c r="Q1885" t="s">
        <v>1114</v>
      </c>
      <c r="R1885" t="s">
        <v>1115</v>
      </c>
      <c r="S1885" s="5"/>
      <c r="T1885" t="s">
        <v>72</v>
      </c>
      <c r="U1885" t="s">
        <v>102</v>
      </c>
      <c r="V1885" t="s">
        <v>74</v>
      </c>
      <c r="W1885" t="s">
        <v>102</v>
      </c>
      <c r="AE1885" s="2"/>
      <c r="AF1885" s="2"/>
      <c r="AG1885" s="2"/>
      <c r="AH1885" s="2"/>
      <c r="AK1885" t="s">
        <v>1390</v>
      </c>
      <c r="AL1885" s="2">
        <v>1300000</v>
      </c>
      <c r="AM1885" s="2">
        <v>0</v>
      </c>
      <c r="AN1885" s="2"/>
      <c r="AO1885" s="2">
        <v>0</v>
      </c>
      <c r="AP1885" s="2">
        <v>1300000</v>
      </c>
      <c r="AQ1885" s="2">
        <v>0</v>
      </c>
      <c r="AR1885" s="2">
        <v>0</v>
      </c>
      <c r="AS1885" s="2">
        <v>0</v>
      </c>
      <c r="AT1885" s="2">
        <v>0</v>
      </c>
      <c r="AU1885" s="2">
        <v>0</v>
      </c>
      <c r="AV1885" s="2">
        <v>0</v>
      </c>
      <c r="AW1885" s="4"/>
      <c r="AX1885" t="s">
        <v>75</v>
      </c>
      <c r="AZ1885" t="s">
        <v>480</v>
      </c>
      <c r="BA1885" t="s">
        <v>67</v>
      </c>
      <c r="BB1885" t="s">
        <v>481</v>
      </c>
      <c r="BC1885" t="s">
        <v>90</v>
      </c>
      <c r="BD1885" t="s">
        <v>79</v>
      </c>
      <c r="BE1885" t="s">
        <v>482</v>
      </c>
      <c r="BF1885" s="5">
        <v>46773</v>
      </c>
      <c r="BG1885" t="s">
        <v>67</v>
      </c>
      <c r="BH1885">
        <v>1</v>
      </c>
      <c r="BI1885" s="6">
        <v>1800000</v>
      </c>
      <c r="BJ1885" s="6">
        <v>0</v>
      </c>
      <c r="BK1885" s="6">
        <v>820000</v>
      </c>
      <c r="BL1885" s="6">
        <v>980000</v>
      </c>
      <c r="BM1885" s="2">
        <v>980000</v>
      </c>
      <c r="BN1885">
        <f>InvoiceTable[[#This Row],[Giảm giá]]*InvoiceTable[[#This Row],[Số lượng]]</f>
        <v>820000</v>
      </c>
    </row>
    <row r="1886" spans="1:66" x14ac:dyDescent="0.25">
      <c r="A1886" t="s">
        <v>65</v>
      </c>
      <c r="B1886" t="s">
        <v>4563</v>
      </c>
      <c r="F1886" s="2"/>
      <c r="G1886" s="3">
        <v>45996.608871331016</v>
      </c>
      <c r="H1886" s="3">
        <v>45996.608871493052</v>
      </c>
      <c r="I1886" s="4" t="s">
        <v>67</v>
      </c>
      <c r="J1886" t="s">
        <v>4564</v>
      </c>
      <c r="K1886" t="s">
        <v>67</v>
      </c>
      <c r="L1886" t="s">
        <v>4565</v>
      </c>
      <c r="M1886" t="s">
        <v>4566</v>
      </c>
      <c r="N1886" t="s">
        <v>67</v>
      </c>
      <c r="O1886" t="s">
        <v>4567</v>
      </c>
      <c r="P1886" t="s">
        <v>4568</v>
      </c>
      <c r="Q1886" t="s">
        <v>67</v>
      </c>
      <c r="R1886" t="s">
        <v>67</v>
      </c>
      <c r="S1886" s="5"/>
      <c r="T1886" t="s">
        <v>72</v>
      </c>
      <c r="U1886" t="s">
        <v>73</v>
      </c>
      <c r="V1886" t="s">
        <v>74</v>
      </c>
      <c r="W1886" t="s">
        <v>87</v>
      </c>
      <c r="AE1886" s="2"/>
      <c r="AF1886" s="2"/>
      <c r="AG1886" s="2"/>
      <c r="AH1886" s="2"/>
      <c r="AK1886" t="s">
        <v>4569</v>
      </c>
      <c r="AL1886" s="2">
        <v>1401150</v>
      </c>
      <c r="AM1886" s="2">
        <v>0</v>
      </c>
      <c r="AN1886" s="2"/>
      <c r="AO1886" s="2">
        <v>0</v>
      </c>
      <c r="AP1886" s="2">
        <v>1401150</v>
      </c>
      <c r="AQ1886" s="2">
        <v>423750</v>
      </c>
      <c r="AR1886" s="2">
        <v>423750</v>
      </c>
      <c r="AS1886" s="2">
        <v>0</v>
      </c>
      <c r="AT1886" s="2">
        <v>0</v>
      </c>
      <c r="AU1886" s="2">
        <v>0</v>
      </c>
      <c r="AV1886" s="2">
        <v>0</v>
      </c>
      <c r="AW1886" s="4"/>
      <c r="AX1886" t="s">
        <v>75</v>
      </c>
      <c r="AZ1886" t="s">
        <v>483</v>
      </c>
      <c r="BA1886" t="s">
        <v>67</v>
      </c>
      <c r="BB1886" t="s">
        <v>484</v>
      </c>
      <c r="BC1886" t="s">
        <v>485</v>
      </c>
      <c r="BD1886" t="s">
        <v>79</v>
      </c>
      <c r="BE1886" t="s">
        <v>117</v>
      </c>
      <c r="BF1886" s="5">
        <v>46569</v>
      </c>
      <c r="BG1886" t="s">
        <v>67</v>
      </c>
      <c r="BH1886">
        <v>3</v>
      </c>
      <c r="BI1886" s="6">
        <v>600000</v>
      </c>
      <c r="BJ1886" s="6">
        <v>37</v>
      </c>
      <c r="BK1886" s="6">
        <v>222000</v>
      </c>
      <c r="BL1886" s="6">
        <v>378000</v>
      </c>
      <c r="BM1886" s="2">
        <v>1134000</v>
      </c>
      <c r="BN1886">
        <f>InvoiceTable[[#This Row],[Giảm giá]]*InvoiceTable[[#This Row],[Số lượng]]</f>
        <v>666000</v>
      </c>
    </row>
    <row r="1887" spans="1:66" x14ac:dyDescent="0.25">
      <c r="A1887" t="s">
        <v>65</v>
      </c>
      <c r="B1887" t="s">
        <v>4563</v>
      </c>
      <c r="F1887" s="2"/>
      <c r="G1887" s="3">
        <v>45996.608871331016</v>
      </c>
      <c r="H1887" s="3">
        <v>45996.608871493052</v>
      </c>
      <c r="I1887" s="4" t="s">
        <v>67</v>
      </c>
      <c r="J1887" t="s">
        <v>4564</v>
      </c>
      <c r="K1887" t="s">
        <v>67</v>
      </c>
      <c r="L1887" t="s">
        <v>4565</v>
      </c>
      <c r="M1887" t="s">
        <v>4566</v>
      </c>
      <c r="N1887" t="s">
        <v>67</v>
      </c>
      <c r="O1887" t="s">
        <v>4567</v>
      </c>
      <c r="P1887" t="s">
        <v>4568</v>
      </c>
      <c r="Q1887" t="s">
        <v>67</v>
      </c>
      <c r="R1887" t="s">
        <v>67</v>
      </c>
      <c r="S1887" s="5"/>
      <c r="T1887" t="s">
        <v>72</v>
      </c>
      <c r="U1887" t="s">
        <v>73</v>
      </c>
      <c r="V1887" t="s">
        <v>74</v>
      </c>
      <c r="W1887" t="s">
        <v>87</v>
      </c>
      <c r="AE1887" s="2"/>
      <c r="AF1887" s="2"/>
      <c r="AG1887" s="2"/>
      <c r="AH1887" s="2"/>
      <c r="AK1887" t="s">
        <v>4569</v>
      </c>
      <c r="AL1887" s="2">
        <v>1401150</v>
      </c>
      <c r="AM1887" s="2">
        <v>0</v>
      </c>
      <c r="AN1887" s="2"/>
      <c r="AO1887" s="2">
        <v>0</v>
      </c>
      <c r="AP1887" s="2">
        <v>1401150</v>
      </c>
      <c r="AQ1887" s="2">
        <v>423750</v>
      </c>
      <c r="AR1887" s="2">
        <v>423750</v>
      </c>
      <c r="AS1887" s="2">
        <v>0</v>
      </c>
      <c r="AT1887" s="2">
        <v>0</v>
      </c>
      <c r="AU1887" s="2">
        <v>0</v>
      </c>
      <c r="AV1887" s="2">
        <v>0</v>
      </c>
      <c r="AW1887" s="4"/>
      <c r="AX1887" t="s">
        <v>75</v>
      </c>
      <c r="AZ1887" t="s">
        <v>3958</v>
      </c>
      <c r="BA1887" t="s">
        <v>67</v>
      </c>
      <c r="BB1887" t="s">
        <v>3959</v>
      </c>
      <c r="BC1887" t="s">
        <v>3960</v>
      </c>
      <c r="BD1887" t="s">
        <v>79</v>
      </c>
      <c r="BE1887" t="s">
        <v>1012</v>
      </c>
      <c r="BF1887" s="5">
        <v>46296</v>
      </c>
      <c r="BG1887" t="s">
        <v>67</v>
      </c>
      <c r="BH1887">
        <v>1</v>
      </c>
      <c r="BI1887" s="6">
        <v>411000</v>
      </c>
      <c r="BJ1887" s="6">
        <v>35</v>
      </c>
      <c r="BK1887" s="6">
        <v>143850</v>
      </c>
      <c r="BL1887" s="6">
        <v>267150</v>
      </c>
      <c r="BM1887" s="2">
        <v>267150</v>
      </c>
      <c r="BN1887">
        <f>InvoiceTable[[#This Row],[Giảm giá]]*InvoiceTable[[#This Row],[Số lượng]]</f>
        <v>143850</v>
      </c>
    </row>
    <row r="1888" spans="1:66" x14ac:dyDescent="0.25">
      <c r="A1888" t="s">
        <v>65</v>
      </c>
      <c r="B1888" t="s">
        <v>4570</v>
      </c>
      <c r="F1888" s="2"/>
      <c r="G1888" s="3">
        <v>45996.604136111113</v>
      </c>
      <c r="H1888" s="3">
        <v>45996.604136307869</v>
      </c>
      <c r="I1888" s="4" t="s">
        <v>67</v>
      </c>
      <c r="J1888" t="s">
        <v>4571</v>
      </c>
      <c r="K1888" t="s">
        <v>67</v>
      </c>
      <c r="L1888" t="s">
        <v>1166</v>
      </c>
      <c r="M1888" t="s">
        <v>1167</v>
      </c>
      <c r="N1888" t="s">
        <v>67</v>
      </c>
      <c r="O1888" t="s">
        <v>1168</v>
      </c>
      <c r="P1888" t="s">
        <v>1169</v>
      </c>
      <c r="Q1888" t="s">
        <v>1170</v>
      </c>
      <c r="R1888" t="s">
        <v>1171</v>
      </c>
      <c r="S1888" s="5"/>
      <c r="T1888" t="s">
        <v>72</v>
      </c>
      <c r="U1888" t="s">
        <v>102</v>
      </c>
      <c r="V1888" t="s">
        <v>74</v>
      </c>
      <c r="W1888" t="s">
        <v>87</v>
      </c>
      <c r="AE1888" s="2"/>
      <c r="AF1888" s="2"/>
      <c r="AG1888" s="2"/>
      <c r="AH1888" s="2"/>
      <c r="AK1888" t="s">
        <v>4572</v>
      </c>
      <c r="AL1888" s="2">
        <v>1041960</v>
      </c>
      <c r="AM1888" s="2">
        <v>0</v>
      </c>
      <c r="AN1888" s="2"/>
      <c r="AO1888" s="2">
        <v>0</v>
      </c>
      <c r="AP1888" s="2">
        <v>1041960</v>
      </c>
      <c r="AQ1888" s="2">
        <v>0</v>
      </c>
      <c r="AR1888" s="2">
        <v>0</v>
      </c>
      <c r="AS1888" s="2">
        <v>0</v>
      </c>
      <c r="AT1888" s="2">
        <v>0</v>
      </c>
      <c r="AU1888" s="2">
        <v>0</v>
      </c>
      <c r="AV1888" s="2">
        <v>0</v>
      </c>
      <c r="AW1888" s="4"/>
      <c r="AX1888" t="s">
        <v>75</v>
      </c>
      <c r="AZ1888" t="s">
        <v>723</v>
      </c>
      <c r="BA1888" t="s">
        <v>67</v>
      </c>
      <c r="BB1888" t="s">
        <v>724</v>
      </c>
      <c r="BC1888" t="s">
        <v>285</v>
      </c>
      <c r="BD1888" t="s">
        <v>79</v>
      </c>
      <c r="BE1888" t="s">
        <v>117</v>
      </c>
      <c r="BF1888" s="5">
        <v>46569</v>
      </c>
      <c r="BH1888">
        <v>1</v>
      </c>
      <c r="BI1888" s="6">
        <v>1200000</v>
      </c>
      <c r="BJ1888" s="6">
        <v>42</v>
      </c>
      <c r="BK1888" s="6">
        <v>504000</v>
      </c>
      <c r="BL1888" s="6">
        <v>696000</v>
      </c>
      <c r="BM1888" s="2">
        <v>696000</v>
      </c>
      <c r="BN1888">
        <f>InvoiceTable[[#This Row],[Giảm giá]]*InvoiceTable[[#This Row],[Số lượng]]</f>
        <v>504000</v>
      </c>
    </row>
    <row r="1889" spans="1:66" x14ac:dyDescent="0.25">
      <c r="A1889" t="s">
        <v>65</v>
      </c>
      <c r="B1889" t="s">
        <v>4570</v>
      </c>
      <c r="F1889" s="2"/>
      <c r="G1889" s="3">
        <v>45996.604136111113</v>
      </c>
      <c r="H1889" s="3">
        <v>45996.604136307869</v>
      </c>
      <c r="I1889" s="4" t="s">
        <v>67</v>
      </c>
      <c r="J1889" t="s">
        <v>4571</v>
      </c>
      <c r="K1889" t="s">
        <v>67</v>
      </c>
      <c r="L1889" t="s">
        <v>1166</v>
      </c>
      <c r="M1889" t="s">
        <v>1167</v>
      </c>
      <c r="N1889" t="s">
        <v>67</v>
      </c>
      <c r="O1889" t="s">
        <v>1168</v>
      </c>
      <c r="P1889" t="s">
        <v>1169</v>
      </c>
      <c r="Q1889" t="s">
        <v>1170</v>
      </c>
      <c r="R1889" t="s">
        <v>1171</v>
      </c>
      <c r="S1889" s="5"/>
      <c r="T1889" t="s">
        <v>72</v>
      </c>
      <c r="U1889" t="s">
        <v>102</v>
      </c>
      <c r="V1889" t="s">
        <v>74</v>
      </c>
      <c r="W1889" t="s">
        <v>87</v>
      </c>
      <c r="AE1889" s="2"/>
      <c r="AF1889" s="2"/>
      <c r="AG1889" s="2"/>
      <c r="AH1889" s="2"/>
      <c r="AK1889" t="s">
        <v>4572</v>
      </c>
      <c r="AL1889" s="2">
        <v>1041960</v>
      </c>
      <c r="AM1889" s="2">
        <v>0</v>
      </c>
      <c r="AN1889" s="2"/>
      <c r="AO1889" s="2">
        <v>0</v>
      </c>
      <c r="AP1889" s="2">
        <v>1041960</v>
      </c>
      <c r="AQ1889" s="2">
        <v>0</v>
      </c>
      <c r="AR1889" s="2">
        <v>0</v>
      </c>
      <c r="AS1889" s="2">
        <v>0</v>
      </c>
      <c r="AT1889" s="2">
        <v>0</v>
      </c>
      <c r="AU1889" s="2">
        <v>0</v>
      </c>
      <c r="AV1889" s="2">
        <v>0</v>
      </c>
      <c r="AW1889" s="4"/>
      <c r="AX1889" t="s">
        <v>75</v>
      </c>
      <c r="AZ1889" t="s">
        <v>2153</v>
      </c>
      <c r="BA1889" t="s">
        <v>67</v>
      </c>
      <c r="BB1889" t="s">
        <v>2154</v>
      </c>
      <c r="BC1889" t="s">
        <v>1714</v>
      </c>
      <c r="BD1889" t="s">
        <v>79</v>
      </c>
      <c r="BE1889" t="s">
        <v>228</v>
      </c>
      <c r="BF1889" s="5">
        <v>46813</v>
      </c>
      <c r="BH1889">
        <v>1</v>
      </c>
      <c r="BI1889" s="6">
        <v>558000</v>
      </c>
      <c r="BJ1889" s="6">
        <v>38</v>
      </c>
      <c r="BK1889" s="6">
        <v>212040</v>
      </c>
      <c r="BL1889" s="6">
        <v>345960</v>
      </c>
      <c r="BM1889" s="2">
        <v>345960</v>
      </c>
      <c r="BN1889">
        <f>InvoiceTable[[#This Row],[Giảm giá]]*InvoiceTable[[#This Row],[Số lượng]]</f>
        <v>212040</v>
      </c>
    </row>
    <row r="1890" spans="1:66" x14ac:dyDescent="0.25">
      <c r="A1890" t="s">
        <v>65</v>
      </c>
      <c r="B1890" t="s">
        <v>4573</v>
      </c>
      <c r="F1890" s="2"/>
      <c r="G1890" s="3">
        <v>45996.589913854164</v>
      </c>
      <c r="H1890" s="3">
        <v>45996.589914039352</v>
      </c>
      <c r="I1890" s="4" t="s">
        <v>67</v>
      </c>
      <c r="J1890" t="s">
        <v>67</v>
      </c>
      <c r="K1890" t="s">
        <v>67</v>
      </c>
      <c r="L1890" t="s">
        <v>615</v>
      </c>
      <c r="M1890" t="s">
        <v>616</v>
      </c>
      <c r="N1890" t="s">
        <v>617</v>
      </c>
      <c r="O1890" t="s">
        <v>618</v>
      </c>
      <c r="P1890" t="s">
        <v>619</v>
      </c>
      <c r="S1890" s="5"/>
      <c r="T1890" t="s">
        <v>72</v>
      </c>
      <c r="U1890" t="s">
        <v>87</v>
      </c>
      <c r="V1890" t="s">
        <v>74</v>
      </c>
      <c r="W1890" t="s">
        <v>87</v>
      </c>
      <c r="AE1890" s="2"/>
      <c r="AF1890" s="2"/>
      <c r="AG1890" s="2"/>
      <c r="AH1890" s="2"/>
      <c r="AL1890" s="2">
        <v>12500000</v>
      </c>
      <c r="AM1890" s="2">
        <v>0</v>
      </c>
      <c r="AN1890" s="2"/>
      <c r="AO1890" s="2">
        <v>0</v>
      </c>
      <c r="AP1890" s="2">
        <v>12500000</v>
      </c>
      <c r="AQ1890" s="2">
        <v>0</v>
      </c>
      <c r="AR1890" s="2">
        <v>0</v>
      </c>
      <c r="AS1890" s="2">
        <v>0</v>
      </c>
      <c r="AT1890" s="2">
        <v>0</v>
      </c>
      <c r="AU1890" s="2">
        <v>0</v>
      </c>
      <c r="AV1890" s="2">
        <v>0</v>
      </c>
      <c r="AW1890" s="4"/>
      <c r="AX1890" t="s">
        <v>75</v>
      </c>
      <c r="AZ1890" t="s">
        <v>107</v>
      </c>
      <c r="BA1890" t="s">
        <v>67</v>
      </c>
      <c r="BB1890" t="s">
        <v>108</v>
      </c>
      <c r="BC1890" t="s">
        <v>109</v>
      </c>
      <c r="BD1890" t="s">
        <v>79</v>
      </c>
      <c r="BE1890" t="s">
        <v>94</v>
      </c>
      <c r="BF1890" s="5">
        <v>46692</v>
      </c>
      <c r="BH1890">
        <v>5</v>
      </c>
      <c r="BI1890" s="6">
        <v>4500000</v>
      </c>
      <c r="BJ1890" s="6">
        <v>0</v>
      </c>
      <c r="BK1890" s="6">
        <v>2000000</v>
      </c>
      <c r="BL1890" s="6">
        <v>2500000</v>
      </c>
      <c r="BM1890" s="2">
        <v>12500000</v>
      </c>
      <c r="BN1890">
        <f>InvoiceTable[[#This Row],[Giảm giá]]*InvoiceTable[[#This Row],[Số lượng]]</f>
        <v>10000000</v>
      </c>
    </row>
    <row r="1891" spans="1:66" x14ac:dyDescent="0.25">
      <c r="A1891" t="s">
        <v>65</v>
      </c>
      <c r="B1891" t="s">
        <v>4574</v>
      </c>
      <c r="F1891" s="2"/>
      <c r="G1891" s="3">
        <v>45996.566708182872</v>
      </c>
      <c r="H1891" s="3">
        <v>45996.566708483799</v>
      </c>
      <c r="I1891" s="4" t="s">
        <v>67</v>
      </c>
      <c r="J1891" t="s">
        <v>67</v>
      </c>
      <c r="K1891" t="s">
        <v>67</v>
      </c>
      <c r="L1891" t="s">
        <v>1195</v>
      </c>
      <c r="M1891" t="s">
        <v>1196</v>
      </c>
      <c r="N1891" t="s">
        <v>67</v>
      </c>
      <c r="Q1891" t="s">
        <v>67</v>
      </c>
      <c r="R1891" t="s">
        <v>67</v>
      </c>
      <c r="S1891" s="5"/>
      <c r="T1891" t="s">
        <v>72</v>
      </c>
      <c r="U1891" t="s">
        <v>87</v>
      </c>
      <c r="V1891" t="s">
        <v>74</v>
      </c>
      <c r="W1891" t="s">
        <v>87</v>
      </c>
      <c r="AE1891" s="2"/>
      <c r="AF1891" s="2"/>
      <c r="AG1891" s="2"/>
      <c r="AH1891" s="2"/>
      <c r="AL1891" s="2">
        <v>10900000</v>
      </c>
      <c r="AM1891" s="2">
        <v>5450000</v>
      </c>
      <c r="AN1891" s="2"/>
      <c r="AO1891" s="2">
        <v>0</v>
      </c>
      <c r="AP1891" s="2">
        <v>5450000</v>
      </c>
      <c r="AQ1891" s="2">
        <v>0</v>
      </c>
      <c r="AR1891" s="2">
        <v>0</v>
      </c>
      <c r="AS1891" s="2">
        <v>0</v>
      </c>
      <c r="AT1891" s="2">
        <v>0</v>
      </c>
      <c r="AU1891" s="2">
        <v>0</v>
      </c>
      <c r="AV1891" s="2">
        <v>0</v>
      </c>
      <c r="AW1891" s="4"/>
      <c r="AX1891" t="s">
        <v>75</v>
      </c>
      <c r="AZ1891" t="s">
        <v>518</v>
      </c>
      <c r="BA1891" t="s">
        <v>67</v>
      </c>
      <c r="BB1891" t="s">
        <v>519</v>
      </c>
      <c r="BC1891" t="s">
        <v>78</v>
      </c>
      <c r="BD1891" t="s">
        <v>79</v>
      </c>
      <c r="BE1891" t="s">
        <v>80</v>
      </c>
      <c r="BF1891" s="5">
        <v>47300</v>
      </c>
      <c r="BH1891">
        <v>1</v>
      </c>
      <c r="BI1891" s="6">
        <v>3500000</v>
      </c>
      <c r="BJ1891" s="6">
        <v>0</v>
      </c>
      <c r="BK1891" s="6">
        <v>0</v>
      </c>
      <c r="BL1891" s="6">
        <v>3500000</v>
      </c>
      <c r="BM1891" s="2">
        <v>3500000</v>
      </c>
      <c r="BN1891">
        <f>InvoiceTable[[#This Row],[Giảm giá]]*InvoiceTable[[#This Row],[Số lượng]]</f>
        <v>0</v>
      </c>
    </row>
    <row r="1892" spans="1:66" x14ac:dyDescent="0.25">
      <c r="A1892" t="s">
        <v>65</v>
      </c>
      <c r="B1892" t="s">
        <v>4574</v>
      </c>
      <c r="F1892" s="2"/>
      <c r="G1892" s="3">
        <v>45996.566708182872</v>
      </c>
      <c r="H1892" s="3">
        <v>45996.566708483799</v>
      </c>
      <c r="I1892" s="4" t="s">
        <v>67</v>
      </c>
      <c r="J1892" t="s">
        <v>67</v>
      </c>
      <c r="K1892" t="s">
        <v>67</v>
      </c>
      <c r="L1892" t="s">
        <v>1195</v>
      </c>
      <c r="M1892" t="s">
        <v>1196</v>
      </c>
      <c r="N1892" t="s">
        <v>67</v>
      </c>
      <c r="Q1892" t="s">
        <v>67</v>
      </c>
      <c r="R1892" t="s">
        <v>67</v>
      </c>
      <c r="S1892" s="5"/>
      <c r="T1892" t="s">
        <v>72</v>
      </c>
      <c r="U1892" t="s">
        <v>87</v>
      </c>
      <c r="V1892" t="s">
        <v>74</v>
      </c>
      <c r="W1892" t="s">
        <v>87</v>
      </c>
      <c r="AE1892" s="2"/>
      <c r="AF1892" s="2"/>
      <c r="AG1892" s="2"/>
      <c r="AH1892" s="2"/>
      <c r="AL1892" s="2">
        <v>10900000</v>
      </c>
      <c r="AM1892" s="2">
        <v>5450000</v>
      </c>
      <c r="AN1892" s="2"/>
      <c r="AO1892" s="2">
        <v>0</v>
      </c>
      <c r="AP1892" s="2">
        <v>5450000</v>
      </c>
      <c r="AQ1892" s="2">
        <v>0</v>
      </c>
      <c r="AR1892" s="2">
        <v>0</v>
      </c>
      <c r="AS1892" s="2">
        <v>0</v>
      </c>
      <c r="AT1892" s="2">
        <v>0</v>
      </c>
      <c r="AU1892" s="2">
        <v>0</v>
      </c>
      <c r="AV1892" s="2">
        <v>0</v>
      </c>
      <c r="AW1892" s="4"/>
      <c r="AX1892" t="s">
        <v>75</v>
      </c>
      <c r="AZ1892" t="s">
        <v>515</v>
      </c>
      <c r="BA1892" t="s">
        <v>67</v>
      </c>
      <c r="BB1892" t="s">
        <v>516</v>
      </c>
      <c r="BC1892" t="s">
        <v>78</v>
      </c>
      <c r="BD1892" t="s">
        <v>79</v>
      </c>
      <c r="BE1892" t="s">
        <v>517</v>
      </c>
      <c r="BF1892" s="5">
        <v>47665</v>
      </c>
      <c r="BG1892" t="s">
        <v>67</v>
      </c>
      <c r="BH1892">
        <v>2</v>
      </c>
      <c r="BI1892" s="6">
        <v>3700000</v>
      </c>
      <c r="BJ1892" s="6">
        <v>0</v>
      </c>
      <c r="BK1892" s="6">
        <v>0</v>
      </c>
      <c r="BL1892" s="6">
        <v>3700000</v>
      </c>
      <c r="BM1892" s="2">
        <v>7400000</v>
      </c>
      <c r="BN1892">
        <f>InvoiceTable[[#This Row],[Giảm giá]]*InvoiceTable[[#This Row],[Số lượng]]</f>
        <v>0</v>
      </c>
    </row>
    <row r="1893" spans="1:66" x14ac:dyDescent="0.25">
      <c r="A1893" t="s">
        <v>65</v>
      </c>
      <c r="B1893" t="s">
        <v>4575</v>
      </c>
      <c r="F1893" s="2"/>
      <c r="G1893" s="3">
        <v>45996.558310381944</v>
      </c>
      <c r="H1893" s="3">
        <v>45996.558310451386</v>
      </c>
      <c r="I1893" s="4" t="s">
        <v>67</v>
      </c>
      <c r="J1893" t="s">
        <v>67</v>
      </c>
      <c r="K1893" t="s">
        <v>67</v>
      </c>
      <c r="L1893" t="s">
        <v>876</v>
      </c>
      <c r="M1893" t="s">
        <v>877</v>
      </c>
      <c r="N1893" t="s">
        <v>67</v>
      </c>
      <c r="O1893" t="s">
        <v>878</v>
      </c>
      <c r="P1893" t="s">
        <v>879</v>
      </c>
      <c r="Q1893" t="s">
        <v>880</v>
      </c>
      <c r="R1893" t="s">
        <v>881</v>
      </c>
      <c r="S1893" s="5"/>
      <c r="T1893" t="s">
        <v>72</v>
      </c>
      <c r="U1893" t="s">
        <v>87</v>
      </c>
      <c r="V1893" t="s">
        <v>74</v>
      </c>
      <c r="W1893" t="s">
        <v>87</v>
      </c>
      <c r="AE1893" s="2"/>
      <c r="AF1893" s="2"/>
      <c r="AG1893" s="2"/>
      <c r="AH1893" s="2"/>
      <c r="AL1893" s="2">
        <v>31132000</v>
      </c>
      <c r="AM1893" s="2">
        <v>0</v>
      </c>
      <c r="AN1893" s="2"/>
      <c r="AO1893" s="2">
        <v>0</v>
      </c>
      <c r="AP1893" s="2">
        <v>31132000</v>
      </c>
      <c r="AQ1893" s="2">
        <v>0</v>
      </c>
      <c r="AR1893" s="2">
        <v>0</v>
      </c>
      <c r="AS1893" s="2">
        <v>0</v>
      </c>
      <c r="AT1893" s="2">
        <v>0</v>
      </c>
      <c r="AU1893" s="2">
        <v>0</v>
      </c>
      <c r="AV1893" s="2">
        <v>0</v>
      </c>
      <c r="AW1893" s="4"/>
      <c r="AX1893" t="s">
        <v>75</v>
      </c>
      <c r="AZ1893" t="s">
        <v>283</v>
      </c>
      <c r="BA1893" t="s">
        <v>67</v>
      </c>
      <c r="BB1893" t="s">
        <v>284</v>
      </c>
      <c r="BC1893" t="s">
        <v>285</v>
      </c>
      <c r="BD1893" t="s">
        <v>79</v>
      </c>
      <c r="BE1893" t="s">
        <v>117</v>
      </c>
      <c r="BF1893" s="5">
        <v>46569</v>
      </c>
      <c r="BH1893">
        <v>5</v>
      </c>
      <c r="BI1893" s="6">
        <v>1680000</v>
      </c>
      <c r="BJ1893" s="6">
        <v>47</v>
      </c>
      <c r="BK1893" s="6">
        <v>789600</v>
      </c>
      <c r="BL1893" s="6">
        <v>890400</v>
      </c>
      <c r="BM1893" s="2">
        <v>4452000</v>
      </c>
      <c r="BN1893">
        <f>InvoiceTable[[#This Row],[Giảm giá]]*InvoiceTable[[#This Row],[Số lượng]]</f>
        <v>3948000</v>
      </c>
    </row>
    <row r="1894" spans="1:66" x14ac:dyDescent="0.25">
      <c r="A1894" t="s">
        <v>65</v>
      </c>
      <c r="B1894" t="s">
        <v>4575</v>
      </c>
      <c r="F1894" s="2"/>
      <c r="G1894" s="3">
        <v>45996.558310381944</v>
      </c>
      <c r="H1894" s="3">
        <v>45996.558310451386</v>
      </c>
      <c r="I1894" s="4" t="s">
        <v>67</v>
      </c>
      <c r="J1894" t="s">
        <v>67</v>
      </c>
      <c r="K1894" t="s">
        <v>67</v>
      </c>
      <c r="L1894" t="s">
        <v>876</v>
      </c>
      <c r="M1894" t="s">
        <v>877</v>
      </c>
      <c r="N1894" t="s">
        <v>67</v>
      </c>
      <c r="O1894" t="s">
        <v>878</v>
      </c>
      <c r="P1894" t="s">
        <v>879</v>
      </c>
      <c r="Q1894" t="s">
        <v>880</v>
      </c>
      <c r="R1894" t="s">
        <v>881</v>
      </c>
      <c r="S1894" s="5"/>
      <c r="T1894" t="s">
        <v>72</v>
      </c>
      <c r="U1894" t="s">
        <v>87</v>
      </c>
      <c r="V1894" t="s">
        <v>74</v>
      </c>
      <c r="W1894" t="s">
        <v>87</v>
      </c>
      <c r="AE1894" s="2"/>
      <c r="AF1894" s="2"/>
      <c r="AG1894" s="2"/>
      <c r="AH1894" s="2"/>
      <c r="AL1894" s="2">
        <v>31132000</v>
      </c>
      <c r="AM1894" s="2">
        <v>0</v>
      </c>
      <c r="AN1894" s="2"/>
      <c r="AO1894" s="2">
        <v>0</v>
      </c>
      <c r="AP1894" s="2">
        <v>31132000</v>
      </c>
      <c r="AQ1894" s="2">
        <v>0</v>
      </c>
      <c r="AR1894" s="2">
        <v>0</v>
      </c>
      <c r="AS1894" s="2">
        <v>0</v>
      </c>
      <c r="AT1894" s="2">
        <v>0</v>
      </c>
      <c r="AU1894" s="2">
        <v>0</v>
      </c>
      <c r="AV1894" s="2">
        <v>0</v>
      </c>
      <c r="AW1894" s="4"/>
      <c r="AX1894" t="s">
        <v>75</v>
      </c>
      <c r="AZ1894" t="s">
        <v>2467</v>
      </c>
      <c r="BA1894" t="s">
        <v>67</v>
      </c>
      <c r="BB1894" t="s">
        <v>2468</v>
      </c>
      <c r="BC1894" t="s">
        <v>2469</v>
      </c>
      <c r="BD1894" t="s">
        <v>79</v>
      </c>
      <c r="BE1894" t="s">
        <v>142</v>
      </c>
      <c r="BF1894" s="5">
        <v>46844</v>
      </c>
      <c r="BH1894">
        <v>20</v>
      </c>
      <c r="BI1894" s="6">
        <v>585000</v>
      </c>
      <c r="BJ1894" s="6">
        <v>53</v>
      </c>
      <c r="BK1894" s="6">
        <v>310050</v>
      </c>
      <c r="BL1894" s="6">
        <v>274950</v>
      </c>
      <c r="BM1894" s="2">
        <v>5499000</v>
      </c>
      <c r="BN1894">
        <f>InvoiceTable[[#This Row],[Giảm giá]]*InvoiceTable[[#This Row],[Số lượng]]</f>
        <v>6201000</v>
      </c>
    </row>
    <row r="1895" spans="1:66" x14ac:dyDescent="0.25">
      <c r="A1895" t="s">
        <v>65</v>
      </c>
      <c r="B1895" t="s">
        <v>4575</v>
      </c>
      <c r="F1895" s="2"/>
      <c r="G1895" s="3">
        <v>45996.558310381944</v>
      </c>
      <c r="H1895" s="3">
        <v>45996.558310451386</v>
      </c>
      <c r="I1895" s="4" t="s">
        <v>67</v>
      </c>
      <c r="J1895" t="s">
        <v>67</v>
      </c>
      <c r="K1895" t="s">
        <v>67</v>
      </c>
      <c r="L1895" t="s">
        <v>876</v>
      </c>
      <c r="M1895" t="s">
        <v>877</v>
      </c>
      <c r="N1895" t="s">
        <v>67</v>
      </c>
      <c r="O1895" t="s">
        <v>878</v>
      </c>
      <c r="P1895" t="s">
        <v>879</v>
      </c>
      <c r="Q1895" t="s">
        <v>880</v>
      </c>
      <c r="R1895" t="s">
        <v>881</v>
      </c>
      <c r="S1895" s="5"/>
      <c r="T1895" t="s">
        <v>72</v>
      </c>
      <c r="U1895" t="s">
        <v>87</v>
      </c>
      <c r="V1895" t="s">
        <v>74</v>
      </c>
      <c r="W1895" t="s">
        <v>87</v>
      </c>
      <c r="AE1895" s="2"/>
      <c r="AF1895" s="2"/>
      <c r="AG1895" s="2"/>
      <c r="AH1895" s="2"/>
      <c r="AL1895" s="2">
        <v>31132000</v>
      </c>
      <c r="AM1895" s="2">
        <v>0</v>
      </c>
      <c r="AN1895" s="2"/>
      <c r="AO1895" s="2">
        <v>0</v>
      </c>
      <c r="AP1895" s="2">
        <v>31132000</v>
      </c>
      <c r="AQ1895" s="2">
        <v>0</v>
      </c>
      <c r="AR1895" s="2">
        <v>0</v>
      </c>
      <c r="AS1895" s="2">
        <v>0</v>
      </c>
      <c r="AT1895" s="2">
        <v>0</v>
      </c>
      <c r="AU1895" s="2">
        <v>0</v>
      </c>
      <c r="AV1895" s="2">
        <v>0</v>
      </c>
      <c r="AW1895" s="4"/>
      <c r="AX1895" t="s">
        <v>75</v>
      </c>
      <c r="AZ1895" t="s">
        <v>1215</v>
      </c>
      <c r="BA1895" t="s">
        <v>67</v>
      </c>
      <c r="BB1895" t="s">
        <v>1216</v>
      </c>
      <c r="BC1895" t="s">
        <v>770</v>
      </c>
      <c r="BD1895" t="s">
        <v>79</v>
      </c>
      <c r="BE1895" t="s">
        <v>201</v>
      </c>
      <c r="BF1895" s="5">
        <v>46966</v>
      </c>
      <c r="BH1895">
        <v>10</v>
      </c>
      <c r="BI1895" s="6">
        <v>250000</v>
      </c>
      <c r="BJ1895" s="6">
        <v>48</v>
      </c>
      <c r="BK1895" s="6">
        <v>120000</v>
      </c>
      <c r="BL1895" s="6">
        <v>130000</v>
      </c>
      <c r="BM1895" s="2">
        <v>1300000</v>
      </c>
      <c r="BN1895">
        <f>InvoiceTable[[#This Row],[Giảm giá]]*InvoiceTable[[#This Row],[Số lượng]]</f>
        <v>1200000</v>
      </c>
    </row>
    <row r="1896" spans="1:66" x14ac:dyDescent="0.25">
      <c r="A1896" t="s">
        <v>65</v>
      </c>
      <c r="B1896" t="s">
        <v>4575</v>
      </c>
      <c r="F1896" s="2"/>
      <c r="G1896" s="3">
        <v>45996.558310381944</v>
      </c>
      <c r="H1896" s="3">
        <v>45996.558310451386</v>
      </c>
      <c r="I1896" s="4" t="s">
        <v>67</v>
      </c>
      <c r="J1896" t="s">
        <v>67</v>
      </c>
      <c r="K1896" t="s">
        <v>67</v>
      </c>
      <c r="L1896" t="s">
        <v>876</v>
      </c>
      <c r="M1896" t="s">
        <v>877</v>
      </c>
      <c r="N1896" t="s">
        <v>67</v>
      </c>
      <c r="O1896" t="s">
        <v>878</v>
      </c>
      <c r="P1896" t="s">
        <v>879</v>
      </c>
      <c r="Q1896" t="s">
        <v>880</v>
      </c>
      <c r="R1896" t="s">
        <v>881</v>
      </c>
      <c r="S1896" s="5"/>
      <c r="T1896" t="s">
        <v>72</v>
      </c>
      <c r="U1896" t="s">
        <v>87</v>
      </c>
      <c r="V1896" t="s">
        <v>74</v>
      </c>
      <c r="W1896" t="s">
        <v>87</v>
      </c>
      <c r="AE1896" s="2"/>
      <c r="AF1896" s="2"/>
      <c r="AG1896" s="2"/>
      <c r="AH1896" s="2"/>
      <c r="AL1896" s="2">
        <v>31132000</v>
      </c>
      <c r="AM1896" s="2">
        <v>0</v>
      </c>
      <c r="AN1896" s="2"/>
      <c r="AO1896" s="2">
        <v>0</v>
      </c>
      <c r="AP1896" s="2">
        <v>31132000</v>
      </c>
      <c r="AQ1896" s="2">
        <v>0</v>
      </c>
      <c r="AR1896" s="2">
        <v>0</v>
      </c>
      <c r="AS1896" s="2">
        <v>0</v>
      </c>
      <c r="AT1896" s="2">
        <v>0</v>
      </c>
      <c r="AU1896" s="2">
        <v>0</v>
      </c>
      <c r="AV1896" s="2">
        <v>0</v>
      </c>
      <c r="AW1896" s="4"/>
      <c r="AX1896" t="s">
        <v>75</v>
      </c>
      <c r="AZ1896" t="s">
        <v>518</v>
      </c>
      <c r="BA1896" t="s">
        <v>67</v>
      </c>
      <c r="BB1896" t="s">
        <v>519</v>
      </c>
      <c r="BC1896" t="s">
        <v>78</v>
      </c>
      <c r="BD1896" t="s">
        <v>79</v>
      </c>
      <c r="BE1896" t="s">
        <v>80</v>
      </c>
      <c r="BF1896" s="5">
        <v>47300</v>
      </c>
      <c r="BH1896">
        <v>3</v>
      </c>
      <c r="BI1896" s="6">
        <v>3500000</v>
      </c>
      <c r="BJ1896" s="6">
        <v>53</v>
      </c>
      <c r="BK1896" s="6">
        <v>1855000</v>
      </c>
      <c r="BL1896" s="6">
        <v>1645000</v>
      </c>
      <c r="BM1896" s="2">
        <v>4935000</v>
      </c>
      <c r="BN1896">
        <f>InvoiceTable[[#This Row],[Giảm giá]]*InvoiceTable[[#This Row],[Số lượng]]</f>
        <v>5565000</v>
      </c>
    </row>
    <row r="1897" spans="1:66" x14ac:dyDescent="0.25">
      <c r="A1897" t="s">
        <v>65</v>
      </c>
      <c r="B1897" t="s">
        <v>4575</v>
      </c>
      <c r="F1897" s="2"/>
      <c r="G1897" s="3">
        <v>45996.558310381944</v>
      </c>
      <c r="H1897" s="3">
        <v>45996.558310451386</v>
      </c>
      <c r="I1897" s="4" t="s">
        <v>67</v>
      </c>
      <c r="J1897" t="s">
        <v>67</v>
      </c>
      <c r="K1897" t="s">
        <v>67</v>
      </c>
      <c r="L1897" t="s">
        <v>876</v>
      </c>
      <c r="M1897" t="s">
        <v>877</v>
      </c>
      <c r="N1897" t="s">
        <v>67</v>
      </c>
      <c r="O1897" t="s">
        <v>878</v>
      </c>
      <c r="P1897" t="s">
        <v>879</v>
      </c>
      <c r="Q1897" t="s">
        <v>880</v>
      </c>
      <c r="R1897" t="s">
        <v>881</v>
      </c>
      <c r="S1897" s="5"/>
      <c r="T1897" t="s">
        <v>72</v>
      </c>
      <c r="U1897" t="s">
        <v>87</v>
      </c>
      <c r="V1897" t="s">
        <v>74</v>
      </c>
      <c r="W1897" t="s">
        <v>87</v>
      </c>
      <c r="AE1897" s="2"/>
      <c r="AF1897" s="2"/>
      <c r="AG1897" s="2"/>
      <c r="AH1897" s="2"/>
      <c r="AL1897" s="2">
        <v>31132000</v>
      </c>
      <c r="AM1897" s="2">
        <v>0</v>
      </c>
      <c r="AN1897" s="2"/>
      <c r="AO1897" s="2">
        <v>0</v>
      </c>
      <c r="AP1897" s="2">
        <v>31132000</v>
      </c>
      <c r="AQ1897" s="2">
        <v>0</v>
      </c>
      <c r="AR1897" s="2">
        <v>0</v>
      </c>
      <c r="AS1897" s="2">
        <v>0</v>
      </c>
      <c r="AT1897" s="2">
        <v>0</v>
      </c>
      <c r="AU1897" s="2">
        <v>0</v>
      </c>
      <c r="AV1897" s="2">
        <v>0</v>
      </c>
      <c r="AW1897" s="4"/>
      <c r="AX1897" t="s">
        <v>75</v>
      </c>
      <c r="AZ1897" t="s">
        <v>806</v>
      </c>
      <c r="BA1897" t="s">
        <v>67</v>
      </c>
      <c r="BB1897" t="s">
        <v>807</v>
      </c>
      <c r="BC1897" t="s">
        <v>78</v>
      </c>
      <c r="BD1897" t="s">
        <v>79</v>
      </c>
      <c r="BE1897" t="s">
        <v>188</v>
      </c>
      <c r="BF1897" s="5">
        <v>46905</v>
      </c>
      <c r="BH1897">
        <v>6</v>
      </c>
      <c r="BI1897" s="6">
        <v>5300000</v>
      </c>
      <c r="BJ1897" s="6">
        <v>53</v>
      </c>
      <c r="BK1897" s="6">
        <v>2809000</v>
      </c>
      <c r="BL1897" s="6">
        <v>2491000</v>
      </c>
      <c r="BM1897" s="2">
        <v>14946000</v>
      </c>
      <c r="BN1897">
        <f>InvoiceTable[[#This Row],[Giảm giá]]*InvoiceTable[[#This Row],[Số lượng]]</f>
        <v>16854000</v>
      </c>
    </row>
    <row r="1898" spans="1:66" x14ac:dyDescent="0.25">
      <c r="A1898" t="s">
        <v>65</v>
      </c>
      <c r="B1898" t="s">
        <v>4576</v>
      </c>
      <c r="F1898" s="2"/>
      <c r="G1898" s="3">
        <v>45996.546959143518</v>
      </c>
      <c r="H1898" s="3">
        <v>45996.546959224535</v>
      </c>
      <c r="I1898" s="4" t="s">
        <v>67</v>
      </c>
      <c r="J1898" t="s">
        <v>67</v>
      </c>
      <c r="K1898" t="s">
        <v>67</v>
      </c>
      <c r="L1898" t="s">
        <v>1099</v>
      </c>
      <c r="M1898" t="s">
        <v>1100</v>
      </c>
      <c r="N1898" t="s">
        <v>67</v>
      </c>
      <c r="O1898" t="s">
        <v>1101</v>
      </c>
      <c r="P1898" t="s">
        <v>1102</v>
      </c>
      <c r="S1898" s="5"/>
      <c r="T1898" t="s">
        <v>72</v>
      </c>
      <c r="U1898" t="s">
        <v>87</v>
      </c>
      <c r="V1898" t="s">
        <v>74</v>
      </c>
      <c r="W1898" t="s">
        <v>87</v>
      </c>
      <c r="AE1898" s="2"/>
      <c r="AF1898" s="2"/>
      <c r="AG1898" s="2"/>
      <c r="AH1898" s="2"/>
      <c r="AL1898" s="2">
        <v>5100000</v>
      </c>
      <c r="AM1898" s="2">
        <v>0</v>
      </c>
      <c r="AN1898" s="2"/>
      <c r="AO1898" s="2">
        <v>0</v>
      </c>
      <c r="AP1898" s="2">
        <v>5100000</v>
      </c>
      <c r="AQ1898" s="2">
        <v>0</v>
      </c>
      <c r="AR1898" s="2">
        <v>0</v>
      </c>
      <c r="AS1898" s="2">
        <v>0</v>
      </c>
      <c r="AT1898" s="2">
        <v>0</v>
      </c>
      <c r="AU1898" s="2">
        <v>0</v>
      </c>
      <c r="AV1898" s="2">
        <v>0</v>
      </c>
      <c r="AW1898" s="4"/>
      <c r="AX1898" t="s">
        <v>75</v>
      </c>
      <c r="AZ1898" t="s">
        <v>107</v>
      </c>
      <c r="BA1898" t="s">
        <v>67</v>
      </c>
      <c r="BB1898" t="s">
        <v>108</v>
      </c>
      <c r="BC1898" t="s">
        <v>109</v>
      </c>
      <c r="BD1898" t="s">
        <v>79</v>
      </c>
      <c r="BE1898" t="s">
        <v>94</v>
      </c>
      <c r="BF1898" s="5">
        <v>46692</v>
      </c>
      <c r="BH1898">
        <v>2</v>
      </c>
      <c r="BI1898" s="6">
        <v>4500000</v>
      </c>
      <c r="BJ1898" s="6">
        <v>0</v>
      </c>
      <c r="BK1898" s="6">
        <v>1950000</v>
      </c>
      <c r="BL1898" s="6">
        <v>2550000</v>
      </c>
      <c r="BM1898" s="2">
        <v>5100000</v>
      </c>
      <c r="BN1898">
        <f>InvoiceTable[[#This Row],[Giảm giá]]*InvoiceTable[[#This Row],[Số lượng]]</f>
        <v>3900000</v>
      </c>
    </row>
    <row r="1899" spans="1:66" x14ac:dyDescent="0.25">
      <c r="A1899" t="s">
        <v>65</v>
      </c>
      <c r="B1899" t="s">
        <v>4577</v>
      </c>
      <c r="F1899" s="2"/>
      <c r="G1899" s="3">
        <v>45996.543558020836</v>
      </c>
      <c r="H1899" s="3">
        <v>45996.543558182871</v>
      </c>
      <c r="I1899" s="4" t="s">
        <v>67</v>
      </c>
      <c r="J1899" t="s">
        <v>4578</v>
      </c>
      <c r="K1899" t="s">
        <v>67</v>
      </c>
      <c r="L1899" t="s">
        <v>4579</v>
      </c>
      <c r="M1899" t="s">
        <v>4580</v>
      </c>
      <c r="N1899" t="s">
        <v>4581</v>
      </c>
      <c r="O1899" t="s">
        <v>4582</v>
      </c>
      <c r="P1899" t="s">
        <v>4583</v>
      </c>
      <c r="S1899" s="5"/>
      <c r="T1899" t="s">
        <v>72</v>
      </c>
      <c r="U1899" t="s">
        <v>87</v>
      </c>
      <c r="V1899" t="s">
        <v>74</v>
      </c>
      <c r="W1899" t="s">
        <v>87</v>
      </c>
      <c r="AE1899" s="2"/>
      <c r="AF1899" s="2"/>
      <c r="AG1899" s="2"/>
      <c r="AH1899" s="2"/>
      <c r="AK1899" t="s">
        <v>67</v>
      </c>
      <c r="AL1899" s="2">
        <v>1375000</v>
      </c>
      <c r="AM1899" s="2">
        <v>0</v>
      </c>
      <c r="AN1899" s="2"/>
      <c r="AO1899" s="2">
        <v>0</v>
      </c>
      <c r="AP1899" s="2">
        <v>1375000</v>
      </c>
      <c r="AQ1899" s="2">
        <v>1375000</v>
      </c>
      <c r="AR1899" s="2">
        <v>0</v>
      </c>
      <c r="AS1899" s="2">
        <v>0</v>
      </c>
      <c r="AT1899" s="2">
        <v>0</v>
      </c>
      <c r="AU1899" s="2">
        <v>1375000</v>
      </c>
      <c r="AV1899" s="2">
        <v>0</v>
      </c>
      <c r="AW1899" s="4"/>
      <c r="AX1899" t="s">
        <v>75</v>
      </c>
      <c r="AZ1899" t="s">
        <v>4584</v>
      </c>
      <c r="BA1899" t="s">
        <v>67</v>
      </c>
      <c r="BB1899" t="s">
        <v>4585</v>
      </c>
      <c r="BC1899" t="s">
        <v>1164</v>
      </c>
      <c r="BD1899" t="s">
        <v>79</v>
      </c>
      <c r="BE1899" t="s">
        <v>139</v>
      </c>
      <c r="BF1899" s="5">
        <v>46447</v>
      </c>
      <c r="BG1899" t="s">
        <v>67</v>
      </c>
      <c r="BH1899">
        <v>2</v>
      </c>
      <c r="BI1899" s="6">
        <v>1250000</v>
      </c>
      <c r="BJ1899" s="6">
        <v>45</v>
      </c>
      <c r="BK1899" s="6">
        <v>562500</v>
      </c>
      <c r="BL1899" s="6">
        <v>687500</v>
      </c>
      <c r="BM1899" s="2">
        <v>1375000</v>
      </c>
      <c r="BN1899">
        <f>InvoiceTable[[#This Row],[Giảm giá]]*InvoiceTable[[#This Row],[Số lượng]]</f>
        <v>1125000</v>
      </c>
    </row>
    <row r="1900" spans="1:66" x14ac:dyDescent="0.25">
      <c r="A1900" t="s">
        <v>65</v>
      </c>
      <c r="B1900" t="s">
        <v>4586</v>
      </c>
      <c r="F1900" s="2"/>
      <c r="G1900" s="3">
        <v>45996.5431497338</v>
      </c>
      <c r="H1900" s="3">
        <v>45996.543149803241</v>
      </c>
      <c r="I1900" s="4" t="s">
        <v>67</v>
      </c>
      <c r="J1900" t="s">
        <v>4587</v>
      </c>
      <c r="K1900" t="s">
        <v>67</v>
      </c>
      <c r="L1900" t="s">
        <v>2118</v>
      </c>
      <c r="M1900" t="s">
        <v>2119</v>
      </c>
      <c r="N1900" t="s">
        <v>2120</v>
      </c>
      <c r="O1900" t="s">
        <v>2121</v>
      </c>
      <c r="P1900" t="s">
        <v>2122</v>
      </c>
      <c r="S1900" s="5"/>
      <c r="T1900" t="s">
        <v>72</v>
      </c>
      <c r="U1900" t="s">
        <v>73</v>
      </c>
      <c r="V1900" t="s">
        <v>74</v>
      </c>
      <c r="W1900" t="s">
        <v>87</v>
      </c>
      <c r="AE1900" s="2"/>
      <c r="AF1900" s="2"/>
      <c r="AG1900" s="2"/>
      <c r="AH1900" s="2"/>
      <c r="AK1900" t="s">
        <v>613</v>
      </c>
      <c r="AL1900" s="2">
        <v>1282106</v>
      </c>
      <c r="AM1900" s="2">
        <v>0</v>
      </c>
      <c r="AN1900" s="2"/>
      <c r="AO1900" s="2">
        <v>0</v>
      </c>
      <c r="AP1900" s="2">
        <v>1282106</v>
      </c>
      <c r="AQ1900" s="2">
        <v>1282106</v>
      </c>
      <c r="AR1900" s="2">
        <v>1282106</v>
      </c>
      <c r="AS1900" s="2">
        <v>0</v>
      </c>
      <c r="AT1900" s="2">
        <v>0</v>
      </c>
      <c r="AU1900" s="2">
        <v>0</v>
      </c>
      <c r="AV1900" s="2">
        <v>0</v>
      </c>
      <c r="AW1900" s="4"/>
      <c r="AX1900" t="s">
        <v>75</v>
      </c>
      <c r="AZ1900" t="s">
        <v>2193</v>
      </c>
      <c r="BA1900" t="s">
        <v>67</v>
      </c>
      <c r="BB1900" t="s">
        <v>2194</v>
      </c>
      <c r="BC1900" t="s">
        <v>191</v>
      </c>
      <c r="BD1900" t="s">
        <v>79</v>
      </c>
      <c r="BE1900" t="s">
        <v>823</v>
      </c>
      <c r="BF1900" s="5">
        <v>47574</v>
      </c>
      <c r="BH1900">
        <v>1</v>
      </c>
      <c r="BI1900" s="6">
        <v>584182</v>
      </c>
      <c r="BJ1900" s="6">
        <v>42</v>
      </c>
      <c r="BK1900" s="6">
        <v>245356.44</v>
      </c>
      <c r="BL1900" s="6">
        <v>338825.56</v>
      </c>
      <c r="BM1900" s="2">
        <v>338826</v>
      </c>
      <c r="BN1900">
        <f>InvoiceTable[[#This Row],[Giảm giá]]*InvoiceTable[[#This Row],[Số lượng]]</f>
        <v>245356.44</v>
      </c>
    </row>
    <row r="1901" spans="1:66" x14ac:dyDescent="0.25">
      <c r="A1901" t="s">
        <v>65</v>
      </c>
      <c r="B1901" t="s">
        <v>4586</v>
      </c>
      <c r="F1901" s="2"/>
      <c r="G1901" s="3">
        <v>45996.5431497338</v>
      </c>
      <c r="H1901" s="3">
        <v>45996.543149803241</v>
      </c>
      <c r="I1901" s="4" t="s">
        <v>67</v>
      </c>
      <c r="J1901" t="s">
        <v>4587</v>
      </c>
      <c r="K1901" t="s">
        <v>67</v>
      </c>
      <c r="L1901" t="s">
        <v>2118</v>
      </c>
      <c r="M1901" t="s">
        <v>2119</v>
      </c>
      <c r="N1901" t="s">
        <v>2120</v>
      </c>
      <c r="O1901" t="s">
        <v>2121</v>
      </c>
      <c r="P1901" t="s">
        <v>2122</v>
      </c>
      <c r="S1901" s="5"/>
      <c r="T1901" t="s">
        <v>72</v>
      </c>
      <c r="U1901" t="s">
        <v>73</v>
      </c>
      <c r="V1901" t="s">
        <v>74</v>
      </c>
      <c r="W1901" t="s">
        <v>87</v>
      </c>
      <c r="AE1901" s="2"/>
      <c r="AF1901" s="2"/>
      <c r="AG1901" s="2"/>
      <c r="AH1901" s="2"/>
      <c r="AK1901" t="s">
        <v>613</v>
      </c>
      <c r="AL1901" s="2">
        <v>1282106</v>
      </c>
      <c r="AM1901" s="2">
        <v>0</v>
      </c>
      <c r="AN1901" s="2"/>
      <c r="AO1901" s="2">
        <v>0</v>
      </c>
      <c r="AP1901" s="2">
        <v>1282106</v>
      </c>
      <c r="AQ1901" s="2">
        <v>1282106</v>
      </c>
      <c r="AR1901" s="2">
        <v>1282106</v>
      </c>
      <c r="AS1901" s="2">
        <v>0</v>
      </c>
      <c r="AT1901" s="2">
        <v>0</v>
      </c>
      <c r="AU1901" s="2">
        <v>0</v>
      </c>
      <c r="AV1901" s="2">
        <v>0</v>
      </c>
      <c r="AW1901" s="4"/>
      <c r="AX1901" t="s">
        <v>75</v>
      </c>
      <c r="AZ1901" t="s">
        <v>4350</v>
      </c>
      <c r="BA1901" t="s">
        <v>67</v>
      </c>
      <c r="BB1901" t="s">
        <v>4351</v>
      </c>
      <c r="BD1901" t="s">
        <v>79</v>
      </c>
      <c r="BE1901" t="s">
        <v>348</v>
      </c>
      <c r="BF1901" s="5">
        <v>47484</v>
      </c>
      <c r="BH1901">
        <v>1</v>
      </c>
      <c r="BI1901" s="6">
        <v>30000</v>
      </c>
      <c r="BJ1901" s="6">
        <v>0</v>
      </c>
      <c r="BK1901" s="6">
        <v>0</v>
      </c>
      <c r="BL1901" s="6">
        <v>30000</v>
      </c>
      <c r="BM1901" s="2">
        <v>30000</v>
      </c>
      <c r="BN1901">
        <f>InvoiceTable[[#This Row],[Giảm giá]]*InvoiceTable[[#This Row],[Số lượng]]</f>
        <v>0</v>
      </c>
    </row>
    <row r="1902" spans="1:66" x14ac:dyDescent="0.25">
      <c r="A1902" t="s">
        <v>65</v>
      </c>
      <c r="B1902" t="s">
        <v>4586</v>
      </c>
      <c r="F1902" s="2"/>
      <c r="G1902" s="3">
        <v>45996.5431497338</v>
      </c>
      <c r="H1902" s="3">
        <v>45996.543149803241</v>
      </c>
      <c r="I1902" s="4" t="s">
        <v>67</v>
      </c>
      <c r="J1902" t="s">
        <v>4587</v>
      </c>
      <c r="K1902" t="s">
        <v>67</v>
      </c>
      <c r="L1902" t="s">
        <v>2118</v>
      </c>
      <c r="M1902" t="s">
        <v>2119</v>
      </c>
      <c r="N1902" t="s">
        <v>2120</v>
      </c>
      <c r="O1902" t="s">
        <v>2121</v>
      </c>
      <c r="P1902" t="s">
        <v>2122</v>
      </c>
      <c r="S1902" s="5"/>
      <c r="T1902" t="s">
        <v>72</v>
      </c>
      <c r="U1902" t="s">
        <v>73</v>
      </c>
      <c r="V1902" t="s">
        <v>74</v>
      </c>
      <c r="W1902" t="s">
        <v>87</v>
      </c>
      <c r="AE1902" s="2"/>
      <c r="AF1902" s="2"/>
      <c r="AG1902" s="2"/>
      <c r="AH1902" s="2"/>
      <c r="AK1902" t="s">
        <v>613</v>
      </c>
      <c r="AL1902" s="2">
        <v>1282106</v>
      </c>
      <c r="AM1902" s="2">
        <v>0</v>
      </c>
      <c r="AN1902" s="2"/>
      <c r="AO1902" s="2">
        <v>0</v>
      </c>
      <c r="AP1902" s="2">
        <v>1282106</v>
      </c>
      <c r="AQ1902" s="2">
        <v>1282106</v>
      </c>
      <c r="AR1902" s="2">
        <v>1282106</v>
      </c>
      <c r="AS1902" s="2">
        <v>0</v>
      </c>
      <c r="AT1902" s="2">
        <v>0</v>
      </c>
      <c r="AU1902" s="2">
        <v>0</v>
      </c>
      <c r="AV1902" s="2">
        <v>0</v>
      </c>
      <c r="AW1902" s="4"/>
      <c r="AX1902" t="s">
        <v>75</v>
      </c>
      <c r="AZ1902" t="s">
        <v>1251</v>
      </c>
      <c r="BA1902" t="s">
        <v>67</v>
      </c>
      <c r="BB1902" t="s">
        <v>1252</v>
      </c>
      <c r="BC1902" t="s">
        <v>126</v>
      </c>
      <c r="BD1902" t="s">
        <v>79</v>
      </c>
      <c r="BE1902" t="s">
        <v>155</v>
      </c>
      <c r="BF1902" s="5">
        <v>46600</v>
      </c>
      <c r="BG1902" t="s">
        <v>67</v>
      </c>
      <c r="BH1902">
        <v>1</v>
      </c>
      <c r="BI1902" s="6">
        <v>270000</v>
      </c>
      <c r="BJ1902" s="6">
        <v>0</v>
      </c>
      <c r="BK1902" s="6">
        <v>195000</v>
      </c>
      <c r="BL1902" s="6">
        <v>75000</v>
      </c>
      <c r="BM1902" s="2">
        <v>75000</v>
      </c>
      <c r="BN1902">
        <f>InvoiceTable[[#This Row],[Giảm giá]]*InvoiceTable[[#This Row],[Số lượng]]</f>
        <v>195000</v>
      </c>
    </row>
    <row r="1903" spans="1:66" x14ac:dyDescent="0.25">
      <c r="A1903" t="s">
        <v>65</v>
      </c>
      <c r="B1903" t="s">
        <v>4586</v>
      </c>
      <c r="F1903" s="2"/>
      <c r="G1903" s="3">
        <v>45996.5431497338</v>
      </c>
      <c r="H1903" s="3">
        <v>45996.543149803241</v>
      </c>
      <c r="I1903" s="4" t="s">
        <v>67</v>
      </c>
      <c r="J1903" t="s">
        <v>4587</v>
      </c>
      <c r="K1903" t="s">
        <v>67</v>
      </c>
      <c r="L1903" t="s">
        <v>2118</v>
      </c>
      <c r="M1903" t="s">
        <v>2119</v>
      </c>
      <c r="N1903" t="s">
        <v>2120</v>
      </c>
      <c r="O1903" t="s">
        <v>2121</v>
      </c>
      <c r="P1903" t="s">
        <v>2122</v>
      </c>
      <c r="S1903" s="5"/>
      <c r="T1903" t="s">
        <v>72</v>
      </c>
      <c r="U1903" t="s">
        <v>73</v>
      </c>
      <c r="V1903" t="s">
        <v>74</v>
      </c>
      <c r="W1903" t="s">
        <v>87</v>
      </c>
      <c r="AE1903" s="2"/>
      <c r="AF1903" s="2"/>
      <c r="AG1903" s="2"/>
      <c r="AH1903" s="2"/>
      <c r="AK1903" t="s">
        <v>613</v>
      </c>
      <c r="AL1903" s="2">
        <v>1282106</v>
      </c>
      <c r="AM1903" s="2">
        <v>0</v>
      </c>
      <c r="AN1903" s="2"/>
      <c r="AO1903" s="2">
        <v>0</v>
      </c>
      <c r="AP1903" s="2">
        <v>1282106</v>
      </c>
      <c r="AQ1903" s="2">
        <v>1282106</v>
      </c>
      <c r="AR1903" s="2">
        <v>1282106</v>
      </c>
      <c r="AS1903" s="2">
        <v>0</v>
      </c>
      <c r="AT1903" s="2">
        <v>0</v>
      </c>
      <c r="AU1903" s="2">
        <v>0</v>
      </c>
      <c r="AV1903" s="2">
        <v>0</v>
      </c>
      <c r="AW1903" s="4"/>
      <c r="AX1903" t="s">
        <v>75</v>
      </c>
      <c r="AZ1903" t="s">
        <v>669</v>
      </c>
      <c r="BA1903" t="s">
        <v>67</v>
      </c>
      <c r="BB1903" t="s">
        <v>670</v>
      </c>
      <c r="BC1903" t="s">
        <v>126</v>
      </c>
      <c r="BD1903" t="s">
        <v>79</v>
      </c>
      <c r="BE1903" t="s">
        <v>159</v>
      </c>
      <c r="BF1903" s="5">
        <v>46478</v>
      </c>
      <c r="BG1903" t="s">
        <v>67</v>
      </c>
      <c r="BH1903">
        <v>1</v>
      </c>
      <c r="BI1903" s="6">
        <v>350000</v>
      </c>
      <c r="BJ1903" s="6">
        <v>0</v>
      </c>
      <c r="BK1903" s="6">
        <v>180000</v>
      </c>
      <c r="BL1903" s="6">
        <v>170000</v>
      </c>
      <c r="BM1903" s="2">
        <v>170000</v>
      </c>
      <c r="BN1903">
        <f>InvoiceTable[[#This Row],[Giảm giá]]*InvoiceTable[[#This Row],[Số lượng]]</f>
        <v>180000</v>
      </c>
    </row>
    <row r="1904" spans="1:66" x14ac:dyDescent="0.25">
      <c r="A1904" t="s">
        <v>65</v>
      </c>
      <c r="B1904" t="s">
        <v>4586</v>
      </c>
      <c r="F1904" s="2"/>
      <c r="G1904" s="3">
        <v>45996.5431497338</v>
      </c>
      <c r="H1904" s="3">
        <v>45996.543149803241</v>
      </c>
      <c r="I1904" s="4" t="s">
        <v>67</v>
      </c>
      <c r="J1904" t="s">
        <v>4587</v>
      </c>
      <c r="K1904" t="s">
        <v>67</v>
      </c>
      <c r="L1904" t="s">
        <v>2118</v>
      </c>
      <c r="M1904" t="s">
        <v>2119</v>
      </c>
      <c r="N1904" t="s">
        <v>2120</v>
      </c>
      <c r="O1904" t="s">
        <v>2121</v>
      </c>
      <c r="P1904" t="s">
        <v>2122</v>
      </c>
      <c r="S1904" s="5"/>
      <c r="T1904" t="s">
        <v>72</v>
      </c>
      <c r="U1904" t="s">
        <v>73</v>
      </c>
      <c r="V1904" t="s">
        <v>74</v>
      </c>
      <c r="W1904" t="s">
        <v>87</v>
      </c>
      <c r="AE1904" s="2"/>
      <c r="AF1904" s="2"/>
      <c r="AG1904" s="2"/>
      <c r="AH1904" s="2"/>
      <c r="AK1904" t="s">
        <v>613</v>
      </c>
      <c r="AL1904" s="2">
        <v>1282106</v>
      </c>
      <c r="AM1904" s="2">
        <v>0</v>
      </c>
      <c r="AN1904" s="2"/>
      <c r="AO1904" s="2">
        <v>0</v>
      </c>
      <c r="AP1904" s="2">
        <v>1282106</v>
      </c>
      <c r="AQ1904" s="2">
        <v>1282106</v>
      </c>
      <c r="AR1904" s="2">
        <v>1282106</v>
      </c>
      <c r="AS1904" s="2">
        <v>0</v>
      </c>
      <c r="AT1904" s="2">
        <v>0</v>
      </c>
      <c r="AU1904" s="2">
        <v>0</v>
      </c>
      <c r="AV1904" s="2">
        <v>0</v>
      </c>
      <c r="AW1904" s="4"/>
      <c r="AX1904" t="s">
        <v>75</v>
      </c>
      <c r="AZ1904" t="s">
        <v>196</v>
      </c>
      <c r="BA1904" t="s">
        <v>67</v>
      </c>
      <c r="BB1904" t="s">
        <v>197</v>
      </c>
      <c r="BC1904" t="s">
        <v>191</v>
      </c>
      <c r="BD1904" t="s">
        <v>79</v>
      </c>
      <c r="BE1904" t="s">
        <v>198</v>
      </c>
      <c r="BF1904" s="5">
        <v>46753</v>
      </c>
      <c r="BG1904" t="s">
        <v>67</v>
      </c>
      <c r="BH1904">
        <v>1</v>
      </c>
      <c r="BI1904" s="6">
        <v>486000</v>
      </c>
      <c r="BJ1904" s="6">
        <v>42</v>
      </c>
      <c r="BK1904" s="6">
        <v>204120</v>
      </c>
      <c r="BL1904" s="6">
        <v>281880</v>
      </c>
      <c r="BM1904" s="2">
        <v>281880</v>
      </c>
      <c r="BN1904">
        <f>InvoiceTable[[#This Row],[Giảm giá]]*InvoiceTable[[#This Row],[Số lượng]]</f>
        <v>204120</v>
      </c>
    </row>
    <row r="1905" spans="1:66" x14ac:dyDescent="0.25">
      <c r="A1905" t="s">
        <v>65</v>
      </c>
      <c r="B1905" t="s">
        <v>4586</v>
      </c>
      <c r="F1905" s="2"/>
      <c r="G1905" s="3">
        <v>45996.5431497338</v>
      </c>
      <c r="H1905" s="3">
        <v>45996.543149803241</v>
      </c>
      <c r="I1905" s="4" t="s">
        <v>67</v>
      </c>
      <c r="J1905" t="s">
        <v>4587</v>
      </c>
      <c r="K1905" t="s">
        <v>67</v>
      </c>
      <c r="L1905" t="s">
        <v>2118</v>
      </c>
      <c r="M1905" t="s">
        <v>2119</v>
      </c>
      <c r="N1905" t="s">
        <v>2120</v>
      </c>
      <c r="O1905" t="s">
        <v>2121</v>
      </c>
      <c r="P1905" t="s">
        <v>2122</v>
      </c>
      <c r="S1905" s="5"/>
      <c r="T1905" t="s">
        <v>72</v>
      </c>
      <c r="U1905" t="s">
        <v>73</v>
      </c>
      <c r="V1905" t="s">
        <v>74</v>
      </c>
      <c r="W1905" t="s">
        <v>87</v>
      </c>
      <c r="AE1905" s="2"/>
      <c r="AF1905" s="2"/>
      <c r="AG1905" s="2"/>
      <c r="AH1905" s="2"/>
      <c r="AK1905" t="s">
        <v>613</v>
      </c>
      <c r="AL1905" s="2">
        <v>1282106</v>
      </c>
      <c r="AM1905" s="2">
        <v>0</v>
      </c>
      <c r="AN1905" s="2"/>
      <c r="AO1905" s="2">
        <v>0</v>
      </c>
      <c r="AP1905" s="2">
        <v>1282106</v>
      </c>
      <c r="AQ1905" s="2">
        <v>1282106</v>
      </c>
      <c r="AR1905" s="2">
        <v>1282106</v>
      </c>
      <c r="AS1905" s="2">
        <v>0</v>
      </c>
      <c r="AT1905" s="2">
        <v>0</v>
      </c>
      <c r="AU1905" s="2">
        <v>0</v>
      </c>
      <c r="AV1905" s="2">
        <v>0</v>
      </c>
      <c r="AW1905" s="4"/>
      <c r="AX1905" t="s">
        <v>75</v>
      </c>
      <c r="AZ1905" t="s">
        <v>1268</v>
      </c>
      <c r="BA1905" t="s">
        <v>67</v>
      </c>
      <c r="BB1905" t="s">
        <v>1269</v>
      </c>
      <c r="BC1905" t="s">
        <v>770</v>
      </c>
      <c r="BD1905" t="s">
        <v>79</v>
      </c>
      <c r="BE1905" t="s">
        <v>715</v>
      </c>
      <c r="BF1905" s="5">
        <v>46631</v>
      </c>
      <c r="BG1905" t="s">
        <v>67</v>
      </c>
      <c r="BH1905">
        <v>1</v>
      </c>
      <c r="BI1905" s="6">
        <v>690000</v>
      </c>
      <c r="BJ1905" s="6">
        <v>44</v>
      </c>
      <c r="BK1905" s="6">
        <v>303600</v>
      </c>
      <c r="BL1905" s="6">
        <v>386400</v>
      </c>
      <c r="BM1905" s="2">
        <v>386400</v>
      </c>
      <c r="BN1905">
        <f>InvoiceTable[[#This Row],[Giảm giá]]*InvoiceTable[[#This Row],[Số lượng]]</f>
        <v>303600</v>
      </c>
    </row>
    <row r="1906" spans="1:66" x14ac:dyDescent="0.25">
      <c r="A1906" t="s">
        <v>65</v>
      </c>
      <c r="B1906" t="s">
        <v>4588</v>
      </c>
      <c r="F1906" s="2"/>
      <c r="G1906" s="3">
        <v>45996.542921759261</v>
      </c>
      <c r="H1906" s="3">
        <v>45996.542921875</v>
      </c>
      <c r="I1906" s="4" t="s">
        <v>67</v>
      </c>
      <c r="J1906" t="s">
        <v>4589</v>
      </c>
      <c r="K1906" t="s">
        <v>67</v>
      </c>
      <c r="L1906" t="s">
        <v>4590</v>
      </c>
      <c r="M1906" t="s">
        <v>4591</v>
      </c>
      <c r="N1906" t="s">
        <v>67</v>
      </c>
      <c r="O1906" t="s">
        <v>4592</v>
      </c>
      <c r="P1906" t="s">
        <v>4593</v>
      </c>
      <c r="S1906" s="5"/>
      <c r="T1906" t="s">
        <v>72</v>
      </c>
      <c r="U1906" t="s">
        <v>1031</v>
      </c>
      <c r="V1906" t="s">
        <v>74</v>
      </c>
      <c r="W1906" t="s">
        <v>87</v>
      </c>
      <c r="AE1906" s="2"/>
      <c r="AF1906" s="2"/>
      <c r="AG1906" s="2"/>
      <c r="AH1906" s="2"/>
      <c r="AK1906" t="s">
        <v>4594</v>
      </c>
      <c r="AL1906" s="2">
        <v>1430000</v>
      </c>
      <c r="AM1906" s="2">
        <v>0</v>
      </c>
      <c r="AN1906" s="2"/>
      <c r="AO1906" s="2">
        <v>0</v>
      </c>
      <c r="AP1906" s="2">
        <v>1430000</v>
      </c>
      <c r="AQ1906" s="2">
        <v>1430000</v>
      </c>
      <c r="AR1906" s="2">
        <v>1430000</v>
      </c>
      <c r="AS1906" s="2">
        <v>0</v>
      </c>
      <c r="AT1906" s="2">
        <v>0</v>
      </c>
      <c r="AU1906" s="2">
        <v>0</v>
      </c>
      <c r="AV1906" s="2">
        <v>0</v>
      </c>
      <c r="AW1906" s="4"/>
      <c r="AX1906" t="s">
        <v>75</v>
      </c>
      <c r="AZ1906" t="s">
        <v>4388</v>
      </c>
      <c r="BA1906" t="s">
        <v>67</v>
      </c>
      <c r="BB1906" t="s">
        <v>4389</v>
      </c>
      <c r="BC1906" t="s">
        <v>1292</v>
      </c>
      <c r="BD1906" t="s">
        <v>79</v>
      </c>
      <c r="BE1906" t="s">
        <v>131</v>
      </c>
      <c r="BF1906" s="5">
        <v>46874</v>
      </c>
      <c r="BG1906" t="s">
        <v>67</v>
      </c>
      <c r="BH1906">
        <v>1</v>
      </c>
      <c r="BI1906" s="6">
        <v>975000</v>
      </c>
      <c r="BJ1906" s="6">
        <v>35</v>
      </c>
      <c r="BK1906" s="6">
        <v>341250</v>
      </c>
      <c r="BL1906" s="6">
        <v>633750</v>
      </c>
      <c r="BM1906" s="2">
        <v>633750</v>
      </c>
      <c r="BN1906">
        <f>InvoiceTable[[#This Row],[Giảm giá]]*InvoiceTable[[#This Row],[Số lượng]]</f>
        <v>341250</v>
      </c>
    </row>
    <row r="1907" spans="1:66" x14ac:dyDescent="0.25">
      <c r="A1907" t="s">
        <v>65</v>
      </c>
      <c r="B1907" t="s">
        <v>4588</v>
      </c>
      <c r="F1907" s="2"/>
      <c r="G1907" s="3">
        <v>45996.542921759261</v>
      </c>
      <c r="H1907" s="3">
        <v>45996.542921875</v>
      </c>
      <c r="I1907" s="4" t="s">
        <v>67</v>
      </c>
      <c r="J1907" t="s">
        <v>4589</v>
      </c>
      <c r="K1907" t="s">
        <v>67</v>
      </c>
      <c r="L1907" t="s">
        <v>4590</v>
      </c>
      <c r="M1907" t="s">
        <v>4591</v>
      </c>
      <c r="N1907" t="s">
        <v>67</v>
      </c>
      <c r="O1907" t="s">
        <v>4592</v>
      </c>
      <c r="P1907" t="s">
        <v>4593</v>
      </c>
      <c r="S1907" s="5"/>
      <c r="T1907" t="s">
        <v>72</v>
      </c>
      <c r="U1907" t="s">
        <v>1031</v>
      </c>
      <c r="V1907" t="s">
        <v>74</v>
      </c>
      <c r="W1907" t="s">
        <v>87</v>
      </c>
      <c r="AE1907" s="2"/>
      <c r="AF1907" s="2"/>
      <c r="AG1907" s="2"/>
      <c r="AH1907" s="2"/>
      <c r="AK1907" t="s">
        <v>4594</v>
      </c>
      <c r="AL1907" s="2">
        <v>1430000</v>
      </c>
      <c r="AM1907" s="2">
        <v>0</v>
      </c>
      <c r="AN1907" s="2"/>
      <c r="AO1907" s="2">
        <v>0</v>
      </c>
      <c r="AP1907" s="2">
        <v>1430000</v>
      </c>
      <c r="AQ1907" s="2">
        <v>1430000</v>
      </c>
      <c r="AR1907" s="2">
        <v>1430000</v>
      </c>
      <c r="AS1907" s="2">
        <v>0</v>
      </c>
      <c r="AT1907" s="2">
        <v>0</v>
      </c>
      <c r="AU1907" s="2">
        <v>0</v>
      </c>
      <c r="AV1907" s="2">
        <v>0</v>
      </c>
      <c r="AW1907" s="4"/>
      <c r="AX1907" t="s">
        <v>75</v>
      </c>
      <c r="AZ1907" t="s">
        <v>171</v>
      </c>
      <c r="BA1907" t="s">
        <v>67</v>
      </c>
      <c r="BB1907" t="s">
        <v>172</v>
      </c>
      <c r="BC1907" t="s">
        <v>173</v>
      </c>
      <c r="BD1907" t="s">
        <v>79</v>
      </c>
      <c r="BE1907" t="s">
        <v>80</v>
      </c>
      <c r="BF1907" s="5">
        <v>47300</v>
      </c>
      <c r="BG1907" t="s">
        <v>67</v>
      </c>
      <c r="BH1907">
        <v>1</v>
      </c>
      <c r="BI1907" s="6">
        <v>1225000</v>
      </c>
      <c r="BJ1907" s="6">
        <v>35</v>
      </c>
      <c r="BK1907" s="6">
        <v>428750</v>
      </c>
      <c r="BL1907" s="6">
        <v>796250</v>
      </c>
      <c r="BM1907" s="2">
        <v>796250</v>
      </c>
      <c r="BN1907">
        <f>InvoiceTable[[#This Row],[Giảm giá]]*InvoiceTable[[#This Row],[Số lượng]]</f>
        <v>428750</v>
      </c>
    </row>
    <row r="1908" spans="1:66" x14ac:dyDescent="0.25">
      <c r="A1908" t="s">
        <v>65</v>
      </c>
      <c r="B1908" t="s">
        <v>4595</v>
      </c>
      <c r="F1908" s="2"/>
      <c r="G1908" s="3">
        <v>45996.496302314816</v>
      </c>
      <c r="H1908" s="3">
        <v>45996.496302581021</v>
      </c>
      <c r="I1908" s="4" t="s">
        <v>67</v>
      </c>
      <c r="J1908" t="s">
        <v>4596</v>
      </c>
      <c r="K1908" t="s">
        <v>67</v>
      </c>
      <c r="L1908" t="s">
        <v>1273</v>
      </c>
      <c r="M1908" t="s">
        <v>1274</v>
      </c>
      <c r="N1908" t="s">
        <v>67</v>
      </c>
      <c r="O1908" t="s">
        <v>1275</v>
      </c>
      <c r="P1908" t="s">
        <v>1276</v>
      </c>
      <c r="S1908" s="5"/>
      <c r="T1908" t="s">
        <v>72</v>
      </c>
      <c r="U1908" t="s">
        <v>73</v>
      </c>
      <c r="V1908" t="s">
        <v>74</v>
      </c>
      <c r="W1908" t="s">
        <v>73</v>
      </c>
      <c r="AE1908" s="2"/>
      <c r="AF1908" s="2"/>
      <c r="AG1908" s="2"/>
      <c r="AH1908" s="2"/>
      <c r="AK1908" t="s">
        <v>613</v>
      </c>
      <c r="AL1908" s="2">
        <v>2626200</v>
      </c>
      <c r="AM1908" s="2">
        <v>0</v>
      </c>
      <c r="AN1908" s="2"/>
      <c r="AO1908" s="2">
        <v>0</v>
      </c>
      <c r="AP1908" s="2">
        <v>2626200</v>
      </c>
      <c r="AQ1908" s="2">
        <v>2626200</v>
      </c>
      <c r="AR1908" s="2">
        <v>2626200</v>
      </c>
      <c r="AS1908" s="2">
        <v>0</v>
      </c>
      <c r="AT1908" s="2">
        <v>0</v>
      </c>
      <c r="AU1908" s="2">
        <v>0</v>
      </c>
      <c r="AV1908" s="2">
        <v>0</v>
      </c>
      <c r="AW1908" s="4"/>
      <c r="AX1908" t="s">
        <v>75</v>
      </c>
      <c r="AZ1908" t="s">
        <v>1251</v>
      </c>
      <c r="BA1908" t="s">
        <v>67</v>
      </c>
      <c r="BB1908" t="s">
        <v>1252</v>
      </c>
      <c r="BC1908" t="s">
        <v>126</v>
      </c>
      <c r="BD1908" t="s">
        <v>79</v>
      </c>
      <c r="BE1908" t="s">
        <v>155</v>
      </c>
      <c r="BF1908" s="5">
        <v>46600</v>
      </c>
      <c r="BG1908" t="s">
        <v>67</v>
      </c>
      <c r="BH1908">
        <v>10</v>
      </c>
      <c r="BI1908" s="6">
        <v>270000</v>
      </c>
      <c r="BJ1908" s="6">
        <v>0</v>
      </c>
      <c r="BK1908" s="6">
        <v>195000</v>
      </c>
      <c r="BL1908" s="6">
        <v>75000</v>
      </c>
      <c r="BM1908" s="2">
        <v>750000</v>
      </c>
      <c r="BN1908">
        <f>InvoiceTable[[#This Row],[Giảm giá]]*InvoiceTable[[#This Row],[Số lượng]]</f>
        <v>1950000</v>
      </c>
    </row>
    <row r="1909" spans="1:66" x14ac:dyDescent="0.25">
      <c r="A1909" t="s">
        <v>65</v>
      </c>
      <c r="B1909" t="s">
        <v>4595</v>
      </c>
      <c r="F1909" s="2"/>
      <c r="G1909" s="3">
        <v>45996.496302314816</v>
      </c>
      <c r="H1909" s="3">
        <v>45996.496302581021</v>
      </c>
      <c r="I1909" s="4" t="s">
        <v>67</v>
      </c>
      <c r="J1909" t="s">
        <v>4596</v>
      </c>
      <c r="K1909" t="s">
        <v>67</v>
      </c>
      <c r="L1909" t="s">
        <v>1273</v>
      </c>
      <c r="M1909" t="s">
        <v>1274</v>
      </c>
      <c r="N1909" t="s">
        <v>67</v>
      </c>
      <c r="O1909" t="s">
        <v>1275</v>
      </c>
      <c r="P1909" t="s">
        <v>1276</v>
      </c>
      <c r="S1909" s="5"/>
      <c r="T1909" t="s">
        <v>72</v>
      </c>
      <c r="U1909" t="s">
        <v>73</v>
      </c>
      <c r="V1909" t="s">
        <v>74</v>
      </c>
      <c r="W1909" t="s">
        <v>73</v>
      </c>
      <c r="AE1909" s="2"/>
      <c r="AF1909" s="2"/>
      <c r="AG1909" s="2"/>
      <c r="AH1909" s="2"/>
      <c r="AK1909" t="s">
        <v>613</v>
      </c>
      <c r="AL1909" s="2">
        <v>2626200</v>
      </c>
      <c r="AM1909" s="2">
        <v>0</v>
      </c>
      <c r="AN1909" s="2"/>
      <c r="AO1909" s="2">
        <v>0</v>
      </c>
      <c r="AP1909" s="2">
        <v>2626200</v>
      </c>
      <c r="AQ1909" s="2">
        <v>2626200</v>
      </c>
      <c r="AR1909" s="2">
        <v>2626200</v>
      </c>
      <c r="AS1909" s="2">
        <v>0</v>
      </c>
      <c r="AT1909" s="2">
        <v>0</v>
      </c>
      <c r="AU1909" s="2">
        <v>0</v>
      </c>
      <c r="AV1909" s="2">
        <v>0</v>
      </c>
      <c r="AW1909" s="4"/>
      <c r="AX1909" t="s">
        <v>75</v>
      </c>
      <c r="AZ1909" t="s">
        <v>4597</v>
      </c>
      <c r="BA1909" t="s">
        <v>67</v>
      </c>
      <c r="BB1909" t="s">
        <v>4598</v>
      </c>
      <c r="BC1909" t="s">
        <v>703</v>
      </c>
      <c r="BD1909" t="s">
        <v>79</v>
      </c>
      <c r="BE1909" t="s">
        <v>3794</v>
      </c>
      <c r="BF1909" s="5">
        <v>47088</v>
      </c>
      <c r="BG1909" t="s">
        <v>67</v>
      </c>
      <c r="BH1909">
        <v>6</v>
      </c>
      <c r="BI1909" s="6">
        <v>590000</v>
      </c>
      <c r="BJ1909" s="6">
        <v>47</v>
      </c>
      <c r="BK1909" s="6">
        <v>277300</v>
      </c>
      <c r="BL1909" s="6">
        <v>312700</v>
      </c>
      <c r="BM1909" s="2">
        <v>1876200</v>
      </c>
      <c r="BN1909">
        <f>InvoiceTable[[#This Row],[Giảm giá]]*InvoiceTable[[#This Row],[Số lượng]]</f>
        <v>1663800</v>
      </c>
    </row>
    <row r="1910" spans="1:66" x14ac:dyDescent="0.25">
      <c r="A1910" t="s">
        <v>65</v>
      </c>
      <c r="B1910" t="s">
        <v>4599</v>
      </c>
      <c r="F1910" s="2"/>
      <c r="G1910" s="3">
        <v>45996.476079131942</v>
      </c>
      <c r="H1910" s="3">
        <v>45996.475894097224</v>
      </c>
      <c r="I1910" s="4" t="s">
        <v>96</v>
      </c>
      <c r="J1910" t="s">
        <v>4600</v>
      </c>
      <c r="K1910" t="s">
        <v>67</v>
      </c>
      <c r="L1910" t="s">
        <v>884</v>
      </c>
      <c r="M1910" t="s">
        <v>885</v>
      </c>
      <c r="N1910" t="s">
        <v>67</v>
      </c>
      <c r="O1910" t="s">
        <v>886</v>
      </c>
      <c r="P1910" t="s">
        <v>887</v>
      </c>
      <c r="Q1910" t="s">
        <v>67</v>
      </c>
      <c r="R1910" t="s">
        <v>67</v>
      </c>
      <c r="S1910" s="5"/>
      <c r="T1910" t="s">
        <v>72</v>
      </c>
      <c r="U1910" t="s">
        <v>102</v>
      </c>
      <c r="V1910" t="s">
        <v>74</v>
      </c>
      <c r="W1910" t="s">
        <v>87</v>
      </c>
      <c r="AE1910" s="2"/>
      <c r="AF1910" s="2"/>
      <c r="AG1910" s="2"/>
      <c r="AH1910" s="2"/>
      <c r="AK1910" t="s">
        <v>1652</v>
      </c>
      <c r="AL1910" s="2">
        <v>10205000</v>
      </c>
      <c r="AM1910" s="2">
        <v>0</v>
      </c>
      <c r="AN1910" s="2"/>
      <c r="AO1910" s="2">
        <v>0</v>
      </c>
      <c r="AP1910" s="2">
        <v>10205000</v>
      </c>
      <c r="AQ1910" s="2">
        <v>0</v>
      </c>
      <c r="AR1910" s="2">
        <v>0</v>
      </c>
      <c r="AS1910" s="2">
        <v>0</v>
      </c>
      <c r="AT1910" s="2">
        <v>0</v>
      </c>
      <c r="AU1910" s="2">
        <v>0</v>
      </c>
      <c r="AV1910" s="2">
        <v>0</v>
      </c>
      <c r="AW1910" s="4"/>
      <c r="AX1910" t="s">
        <v>75</v>
      </c>
      <c r="AZ1910" t="s">
        <v>4601</v>
      </c>
      <c r="BA1910" t="s">
        <v>67</v>
      </c>
      <c r="BB1910" t="s">
        <v>4602</v>
      </c>
      <c r="BC1910" t="s">
        <v>4315</v>
      </c>
      <c r="BD1910" t="s">
        <v>79</v>
      </c>
      <c r="BE1910" t="s">
        <v>131</v>
      </c>
      <c r="BF1910" s="5">
        <v>46874</v>
      </c>
      <c r="BH1910">
        <v>2</v>
      </c>
      <c r="BI1910" s="6">
        <v>3900000</v>
      </c>
      <c r="BJ1910" s="6">
        <v>45</v>
      </c>
      <c r="BK1910" s="6">
        <v>1755000</v>
      </c>
      <c r="BL1910" s="6">
        <v>2145000</v>
      </c>
      <c r="BM1910" s="2">
        <v>4290000</v>
      </c>
      <c r="BN1910">
        <f>InvoiceTable[[#This Row],[Giảm giá]]*InvoiceTable[[#This Row],[Số lượng]]</f>
        <v>3510000</v>
      </c>
    </row>
    <row r="1911" spans="1:66" x14ac:dyDescent="0.25">
      <c r="A1911" t="s">
        <v>65</v>
      </c>
      <c r="B1911" t="s">
        <v>4599</v>
      </c>
      <c r="F1911" s="2"/>
      <c r="G1911" s="3">
        <v>45996.476079131942</v>
      </c>
      <c r="H1911" s="3">
        <v>45996.475894097224</v>
      </c>
      <c r="I1911" s="4" t="s">
        <v>96</v>
      </c>
      <c r="J1911" t="s">
        <v>4600</v>
      </c>
      <c r="K1911" t="s">
        <v>67</v>
      </c>
      <c r="L1911" t="s">
        <v>884</v>
      </c>
      <c r="M1911" t="s">
        <v>885</v>
      </c>
      <c r="N1911" t="s">
        <v>67</v>
      </c>
      <c r="O1911" t="s">
        <v>886</v>
      </c>
      <c r="P1911" t="s">
        <v>887</v>
      </c>
      <c r="Q1911" t="s">
        <v>67</v>
      </c>
      <c r="R1911" t="s">
        <v>67</v>
      </c>
      <c r="S1911" s="5"/>
      <c r="T1911" t="s">
        <v>72</v>
      </c>
      <c r="U1911" t="s">
        <v>102</v>
      </c>
      <c r="V1911" t="s">
        <v>74</v>
      </c>
      <c r="W1911" t="s">
        <v>87</v>
      </c>
      <c r="AE1911" s="2"/>
      <c r="AF1911" s="2"/>
      <c r="AG1911" s="2"/>
      <c r="AH1911" s="2"/>
      <c r="AK1911" t="s">
        <v>1652</v>
      </c>
      <c r="AL1911" s="2">
        <v>10205000</v>
      </c>
      <c r="AM1911" s="2">
        <v>0</v>
      </c>
      <c r="AN1911" s="2"/>
      <c r="AO1911" s="2">
        <v>0</v>
      </c>
      <c r="AP1911" s="2">
        <v>10205000</v>
      </c>
      <c r="AQ1911" s="2">
        <v>0</v>
      </c>
      <c r="AR1911" s="2">
        <v>0</v>
      </c>
      <c r="AS1911" s="2">
        <v>0</v>
      </c>
      <c r="AT1911" s="2">
        <v>0</v>
      </c>
      <c r="AU1911" s="2">
        <v>0</v>
      </c>
      <c r="AV1911" s="2">
        <v>0</v>
      </c>
      <c r="AW1911" s="4"/>
      <c r="AX1911" t="s">
        <v>75</v>
      </c>
      <c r="AZ1911" t="s">
        <v>1019</v>
      </c>
      <c r="BA1911" t="s">
        <v>67</v>
      </c>
      <c r="BB1911" t="s">
        <v>1020</v>
      </c>
      <c r="BC1911" t="s">
        <v>676</v>
      </c>
      <c r="BD1911" t="s">
        <v>79</v>
      </c>
      <c r="BE1911" t="s">
        <v>131</v>
      </c>
      <c r="BF1911" s="5">
        <v>46874</v>
      </c>
      <c r="BH1911">
        <v>1</v>
      </c>
      <c r="BI1911" s="6">
        <v>1690000</v>
      </c>
      <c r="BJ1911" s="6">
        <v>30</v>
      </c>
      <c r="BK1911" s="6">
        <v>507000</v>
      </c>
      <c r="BL1911" s="6">
        <v>1183000</v>
      </c>
      <c r="BM1911" s="2">
        <v>1183000</v>
      </c>
      <c r="BN1911">
        <f>InvoiceTable[[#This Row],[Giảm giá]]*InvoiceTable[[#This Row],[Số lượng]]</f>
        <v>507000</v>
      </c>
    </row>
    <row r="1912" spans="1:66" x14ac:dyDescent="0.25">
      <c r="A1912" t="s">
        <v>65</v>
      </c>
      <c r="B1912" t="s">
        <v>4599</v>
      </c>
      <c r="F1912" s="2"/>
      <c r="G1912" s="3">
        <v>45996.476079131942</v>
      </c>
      <c r="H1912" s="3">
        <v>45996.475894097224</v>
      </c>
      <c r="I1912" s="4" t="s">
        <v>96</v>
      </c>
      <c r="J1912" t="s">
        <v>4600</v>
      </c>
      <c r="K1912" t="s">
        <v>67</v>
      </c>
      <c r="L1912" t="s">
        <v>884</v>
      </c>
      <c r="M1912" t="s">
        <v>885</v>
      </c>
      <c r="N1912" t="s">
        <v>67</v>
      </c>
      <c r="O1912" t="s">
        <v>886</v>
      </c>
      <c r="P1912" t="s">
        <v>887</v>
      </c>
      <c r="Q1912" t="s">
        <v>67</v>
      </c>
      <c r="R1912" t="s">
        <v>67</v>
      </c>
      <c r="S1912" s="5"/>
      <c r="T1912" t="s">
        <v>72</v>
      </c>
      <c r="U1912" t="s">
        <v>102</v>
      </c>
      <c r="V1912" t="s">
        <v>74</v>
      </c>
      <c r="W1912" t="s">
        <v>87</v>
      </c>
      <c r="AE1912" s="2"/>
      <c r="AF1912" s="2"/>
      <c r="AG1912" s="2"/>
      <c r="AH1912" s="2"/>
      <c r="AK1912" t="s">
        <v>1652</v>
      </c>
      <c r="AL1912" s="2">
        <v>10205000</v>
      </c>
      <c r="AM1912" s="2">
        <v>0</v>
      </c>
      <c r="AN1912" s="2"/>
      <c r="AO1912" s="2">
        <v>0</v>
      </c>
      <c r="AP1912" s="2">
        <v>10205000</v>
      </c>
      <c r="AQ1912" s="2">
        <v>0</v>
      </c>
      <c r="AR1912" s="2">
        <v>0</v>
      </c>
      <c r="AS1912" s="2">
        <v>0</v>
      </c>
      <c r="AT1912" s="2">
        <v>0</v>
      </c>
      <c r="AU1912" s="2">
        <v>0</v>
      </c>
      <c r="AV1912" s="2">
        <v>0</v>
      </c>
      <c r="AW1912" s="4"/>
      <c r="AX1912" t="s">
        <v>75</v>
      </c>
      <c r="AZ1912" t="s">
        <v>674</v>
      </c>
      <c r="BA1912" t="s">
        <v>67</v>
      </c>
      <c r="BB1912" t="s">
        <v>675</v>
      </c>
      <c r="BC1912" t="s">
        <v>676</v>
      </c>
      <c r="BD1912" t="s">
        <v>79</v>
      </c>
      <c r="BE1912" t="s">
        <v>142</v>
      </c>
      <c r="BF1912" s="5">
        <v>46844</v>
      </c>
      <c r="BH1912">
        <v>2</v>
      </c>
      <c r="BI1912" s="6">
        <v>1690000</v>
      </c>
      <c r="BJ1912" s="6">
        <v>30</v>
      </c>
      <c r="BK1912" s="6">
        <v>507000</v>
      </c>
      <c r="BL1912" s="6">
        <v>1183000</v>
      </c>
      <c r="BM1912" s="2">
        <v>2366000</v>
      </c>
      <c r="BN1912">
        <f>InvoiceTable[[#This Row],[Giảm giá]]*InvoiceTable[[#This Row],[Số lượng]]</f>
        <v>1014000</v>
      </c>
    </row>
    <row r="1913" spans="1:66" x14ac:dyDescent="0.25">
      <c r="A1913" t="s">
        <v>65</v>
      </c>
      <c r="B1913" t="s">
        <v>4599</v>
      </c>
      <c r="F1913" s="2"/>
      <c r="G1913" s="3">
        <v>45996.476079131942</v>
      </c>
      <c r="H1913" s="3">
        <v>45996.475894097224</v>
      </c>
      <c r="I1913" s="4" t="s">
        <v>96</v>
      </c>
      <c r="J1913" t="s">
        <v>4600</v>
      </c>
      <c r="K1913" t="s">
        <v>67</v>
      </c>
      <c r="L1913" t="s">
        <v>884</v>
      </c>
      <c r="M1913" t="s">
        <v>885</v>
      </c>
      <c r="N1913" t="s">
        <v>67</v>
      </c>
      <c r="O1913" t="s">
        <v>886</v>
      </c>
      <c r="P1913" t="s">
        <v>887</v>
      </c>
      <c r="Q1913" t="s">
        <v>67</v>
      </c>
      <c r="R1913" t="s">
        <v>67</v>
      </c>
      <c r="S1913" s="5"/>
      <c r="T1913" t="s">
        <v>72</v>
      </c>
      <c r="U1913" t="s">
        <v>102</v>
      </c>
      <c r="V1913" t="s">
        <v>74</v>
      </c>
      <c r="W1913" t="s">
        <v>87</v>
      </c>
      <c r="AE1913" s="2"/>
      <c r="AF1913" s="2"/>
      <c r="AG1913" s="2"/>
      <c r="AH1913" s="2"/>
      <c r="AK1913" t="s">
        <v>1652</v>
      </c>
      <c r="AL1913" s="2">
        <v>10205000</v>
      </c>
      <c r="AM1913" s="2">
        <v>0</v>
      </c>
      <c r="AN1913" s="2"/>
      <c r="AO1913" s="2">
        <v>0</v>
      </c>
      <c r="AP1913" s="2">
        <v>10205000</v>
      </c>
      <c r="AQ1913" s="2">
        <v>0</v>
      </c>
      <c r="AR1913" s="2">
        <v>0</v>
      </c>
      <c r="AS1913" s="2">
        <v>0</v>
      </c>
      <c r="AT1913" s="2">
        <v>0</v>
      </c>
      <c r="AU1913" s="2">
        <v>0</v>
      </c>
      <c r="AV1913" s="2">
        <v>0</v>
      </c>
      <c r="AW1913" s="4"/>
      <c r="AX1913" t="s">
        <v>75</v>
      </c>
      <c r="AZ1913" t="s">
        <v>1494</v>
      </c>
      <c r="BA1913" t="s">
        <v>67</v>
      </c>
      <c r="BB1913" t="s">
        <v>1495</v>
      </c>
      <c r="BC1913" t="s">
        <v>676</v>
      </c>
      <c r="BD1913" t="s">
        <v>79</v>
      </c>
      <c r="BE1913" t="s">
        <v>117</v>
      </c>
      <c r="BF1913" s="5">
        <v>46569</v>
      </c>
      <c r="BH1913">
        <v>2</v>
      </c>
      <c r="BI1913" s="6">
        <v>1690000</v>
      </c>
      <c r="BJ1913" s="6">
        <v>30</v>
      </c>
      <c r="BK1913" s="6">
        <v>507000</v>
      </c>
      <c r="BL1913" s="6">
        <v>1183000</v>
      </c>
      <c r="BM1913" s="2">
        <v>2366000</v>
      </c>
      <c r="BN1913">
        <f>InvoiceTable[[#This Row],[Giảm giá]]*InvoiceTable[[#This Row],[Số lượng]]</f>
        <v>1014000</v>
      </c>
    </row>
    <row r="1914" spans="1:66" x14ac:dyDescent="0.25">
      <c r="A1914" t="s">
        <v>65</v>
      </c>
      <c r="B1914" t="s">
        <v>4603</v>
      </c>
      <c r="F1914" s="2"/>
      <c r="G1914" s="3">
        <v>45996.475447685189</v>
      </c>
      <c r="H1914" s="3">
        <v>45996.475447881945</v>
      </c>
      <c r="I1914" s="4" t="s">
        <v>67</v>
      </c>
      <c r="J1914" t="s">
        <v>4604</v>
      </c>
      <c r="K1914" t="s">
        <v>67</v>
      </c>
      <c r="L1914" t="s">
        <v>845</v>
      </c>
      <c r="M1914" t="s">
        <v>846</v>
      </c>
      <c r="N1914" t="s">
        <v>67</v>
      </c>
      <c r="O1914" t="s">
        <v>847</v>
      </c>
      <c r="P1914" t="s">
        <v>848</v>
      </c>
      <c r="S1914" s="5"/>
      <c r="T1914" t="s">
        <v>72</v>
      </c>
      <c r="U1914" t="s">
        <v>87</v>
      </c>
      <c r="V1914" t="s">
        <v>74</v>
      </c>
      <c r="W1914" t="s">
        <v>87</v>
      </c>
      <c r="AE1914" s="2"/>
      <c r="AF1914" s="2"/>
      <c r="AG1914" s="2"/>
      <c r="AH1914" s="2"/>
      <c r="AL1914" s="2">
        <v>59783844</v>
      </c>
      <c r="AM1914" s="2">
        <v>0</v>
      </c>
      <c r="AN1914" s="2"/>
      <c r="AO1914" s="2">
        <v>0</v>
      </c>
      <c r="AP1914" s="2">
        <v>59783844</v>
      </c>
      <c r="AQ1914" s="2">
        <v>0</v>
      </c>
      <c r="AR1914" s="2">
        <v>0</v>
      </c>
      <c r="AS1914" s="2">
        <v>0</v>
      </c>
      <c r="AT1914" s="2">
        <v>0</v>
      </c>
      <c r="AU1914" s="2">
        <v>0</v>
      </c>
      <c r="AV1914" s="2">
        <v>0</v>
      </c>
      <c r="AW1914" s="4"/>
      <c r="AX1914" t="s">
        <v>75</v>
      </c>
      <c r="AZ1914" t="s">
        <v>860</v>
      </c>
      <c r="BA1914" t="s">
        <v>67</v>
      </c>
      <c r="BB1914" t="s">
        <v>861</v>
      </c>
      <c r="BC1914" t="s">
        <v>191</v>
      </c>
      <c r="BD1914" t="s">
        <v>79</v>
      </c>
      <c r="BE1914" t="s">
        <v>862</v>
      </c>
      <c r="BF1914" s="5">
        <v>47515</v>
      </c>
      <c r="BH1914">
        <v>20</v>
      </c>
      <c r="BI1914" s="6">
        <v>470291</v>
      </c>
      <c r="BJ1914" s="6">
        <v>43</v>
      </c>
      <c r="BK1914" s="6">
        <v>202225.13</v>
      </c>
      <c r="BL1914" s="6">
        <v>268065.87</v>
      </c>
      <c r="BM1914" s="2">
        <v>5361317</v>
      </c>
      <c r="BN1914">
        <f>InvoiceTable[[#This Row],[Giảm giá]]*InvoiceTable[[#This Row],[Số lượng]]</f>
        <v>4044502.6</v>
      </c>
    </row>
    <row r="1915" spans="1:66" x14ac:dyDescent="0.25">
      <c r="A1915" t="s">
        <v>65</v>
      </c>
      <c r="B1915" t="s">
        <v>4603</v>
      </c>
      <c r="F1915" s="2"/>
      <c r="G1915" s="3">
        <v>45996.475447685189</v>
      </c>
      <c r="H1915" s="3">
        <v>45996.475447881945</v>
      </c>
      <c r="I1915" s="4" t="s">
        <v>67</v>
      </c>
      <c r="J1915" t="s">
        <v>4604</v>
      </c>
      <c r="K1915" t="s">
        <v>67</v>
      </c>
      <c r="L1915" t="s">
        <v>845</v>
      </c>
      <c r="M1915" t="s">
        <v>846</v>
      </c>
      <c r="N1915" t="s">
        <v>67</v>
      </c>
      <c r="O1915" t="s">
        <v>847</v>
      </c>
      <c r="P1915" t="s">
        <v>848</v>
      </c>
      <c r="S1915" s="5"/>
      <c r="T1915" t="s">
        <v>72</v>
      </c>
      <c r="U1915" t="s">
        <v>87</v>
      </c>
      <c r="V1915" t="s">
        <v>74</v>
      </c>
      <c r="W1915" t="s">
        <v>87</v>
      </c>
      <c r="AE1915" s="2"/>
      <c r="AF1915" s="2"/>
      <c r="AG1915" s="2"/>
      <c r="AH1915" s="2"/>
      <c r="AL1915" s="2">
        <v>59783844</v>
      </c>
      <c r="AM1915" s="2">
        <v>0</v>
      </c>
      <c r="AN1915" s="2"/>
      <c r="AO1915" s="2">
        <v>0</v>
      </c>
      <c r="AP1915" s="2">
        <v>59783844</v>
      </c>
      <c r="AQ1915" s="2">
        <v>0</v>
      </c>
      <c r="AR1915" s="2">
        <v>0</v>
      </c>
      <c r="AS1915" s="2">
        <v>0</v>
      </c>
      <c r="AT1915" s="2">
        <v>0</v>
      </c>
      <c r="AU1915" s="2">
        <v>0</v>
      </c>
      <c r="AV1915" s="2">
        <v>0</v>
      </c>
      <c r="AW1915" s="4"/>
      <c r="AX1915" t="s">
        <v>75</v>
      </c>
      <c r="AZ1915" t="s">
        <v>2577</v>
      </c>
      <c r="BA1915" t="s">
        <v>67</v>
      </c>
      <c r="BB1915" t="s">
        <v>2578</v>
      </c>
      <c r="BC1915" t="s">
        <v>2579</v>
      </c>
      <c r="BD1915" t="s">
        <v>79</v>
      </c>
      <c r="BE1915" t="s">
        <v>926</v>
      </c>
      <c r="BF1915" s="5">
        <v>46174</v>
      </c>
      <c r="BH1915">
        <v>20</v>
      </c>
      <c r="BI1915" s="6">
        <v>450000</v>
      </c>
      <c r="BJ1915" s="6">
        <v>40</v>
      </c>
      <c r="BK1915" s="6">
        <v>180000</v>
      </c>
      <c r="BL1915" s="6">
        <v>270000</v>
      </c>
      <c r="BM1915" s="2">
        <v>5400000</v>
      </c>
      <c r="BN1915">
        <f>InvoiceTable[[#This Row],[Giảm giá]]*InvoiceTable[[#This Row],[Số lượng]]</f>
        <v>3600000</v>
      </c>
    </row>
    <row r="1916" spans="1:66" x14ac:dyDescent="0.25">
      <c r="A1916" t="s">
        <v>65</v>
      </c>
      <c r="B1916" t="s">
        <v>4603</v>
      </c>
      <c r="F1916" s="2"/>
      <c r="G1916" s="3">
        <v>45996.475447685189</v>
      </c>
      <c r="H1916" s="3">
        <v>45996.475447881945</v>
      </c>
      <c r="I1916" s="4" t="s">
        <v>67</v>
      </c>
      <c r="J1916" t="s">
        <v>4604</v>
      </c>
      <c r="K1916" t="s">
        <v>67</v>
      </c>
      <c r="L1916" t="s">
        <v>845</v>
      </c>
      <c r="M1916" t="s">
        <v>846</v>
      </c>
      <c r="N1916" t="s">
        <v>67</v>
      </c>
      <c r="O1916" t="s">
        <v>847</v>
      </c>
      <c r="P1916" t="s">
        <v>848</v>
      </c>
      <c r="S1916" s="5"/>
      <c r="T1916" t="s">
        <v>72</v>
      </c>
      <c r="U1916" t="s">
        <v>87</v>
      </c>
      <c r="V1916" t="s">
        <v>74</v>
      </c>
      <c r="W1916" t="s">
        <v>87</v>
      </c>
      <c r="AE1916" s="2"/>
      <c r="AF1916" s="2"/>
      <c r="AG1916" s="2"/>
      <c r="AH1916" s="2"/>
      <c r="AL1916" s="2">
        <v>59783844</v>
      </c>
      <c r="AM1916" s="2">
        <v>0</v>
      </c>
      <c r="AN1916" s="2"/>
      <c r="AO1916" s="2">
        <v>0</v>
      </c>
      <c r="AP1916" s="2">
        <v>59783844</v>
      </c>
      <c r="AQ1916" s="2">
        <v>0</v>
      </c>
      <c r="AR1916" s="2">
        <v>0</v>
      </c>
      <c r="AS1916" s="2">
        <v>0</v>
      </c>
      <c r="AT1916" s="2">
        <v>0</v>
      </c>
      <c r="AU1916" s="2">
        <v>0</v>
      </c>
      <c r="AV1916" s="2">
        <v>0</v>
      </c>
      <c r="AW1916" s="4"/>
      <c r="AX1916" t="s">
        <v>75</v>
      </c>
      <c r="AZ1916" t="s">
        <v>4605</v>
      </c>
      <c r="BA1916" t="s">
        <v>67</v>
      </c>
      <c r="BB1916" t="s">
        <v>4606</v>
      </c>
      <c r="BC1916" t="s">
        <v>1189</v>
      </c>
      <c r="BD1916" t="s">
        <v>79</v>
      </c>
      <c r="BE1916" t="s">
        <v>4607</v>
      </c>
      <c r="BF1916" s="5">
        <v>46870</v>
      </c>
      <c r="BG1916" t="s">
        <v>67</v>
      </c>
      <c r="BH1916">
        <v>10</v>
      </c>
      <c r="BI1916" s="6">
        <v>935000</v>
      </c>
      <c r="BJ1916" s="6">
        <v>43</v>
      </c>
      <c r="BK1916" s="6">
        <v>402050</v>
      </c>
      <c r="BL1916" s="6">
        <v>532950</v>
      </c>
      <c r="BM1916" s="2">
        <v>5329500</v>
      </c>
      <c r="BN1916">
        <f>InvoiceTable[[#This Row],[Giảm giá]]*InvoiceTable[[#This Row],[Số lượng]]</f>
        <v>4020500</v>
      </c>
    </row>
    <row r="1917" spans="1:66" x14ac:dyDescent="0.25">
      <c r="A1917" t="s">
        <v>65</v>
      </c>
      <c r="B1917" t="s">
        <v>4603</v>
      </c>
      <c r="F1917" s="2"/>
      <c r="G1917" s="3">
        <v>45996.475447685189</v>
      </c>
      <c r="H1917" s="3">
        <v>45996.475447881945</v>
      </c>
      <c r="I1917" s="4" t="s">
        <v>67</v>
      </c>
      <c r="J1917" t="s">
        <v>4604</v>
      </c>
      <c r="K1917" t="s">
        <v>67</v>
      </c>
      <c r="L1917" t="s">
        <v>845</v>
      </c>
      <c r="M1917" t="s">
        <v>846</v>
      </c>
      <c r="N1917" t="s">
        <v>67</v>
      </c>
      <c r="O1917" t="s">
        <v>847</v>
      </c>
      <c r="P1917" t="s">
        <v>848</v>
      </c>
      <c r="S1917" s="5"/>
      <c r="T1917" t="s">
        <v>72</v>
      </c>
      <c r="U1917" t="s">
        <v>87</v>
      </c>
      <c r="V1917" t="s">
        <v>74</v>
      </c>
      <c r="W1917" t="s">
        <v>87</v>
      </c>
      <c r="AE1917" s="2"/>
      <c r="AF1917" s="2"/>
      <c r="AG1917" s="2"/>
      <c r="AH1917" s="2"/>
      <c r="AL1917" s="2">
        <v>59783844</v>
      </c>
      <c r="AM1917" s="2">
        <v>0</v>
      </c>
      <c r="AN1917" s="2"/>
      <c r="AO1917" s="2">
        <v>0</v>
      </c>
      <c r="AP1917" s="2">
        <v>59783844</v>
      </c>
      <c r="AQ1917" s="2">
        <v>0</v>
      </c>
      <c r="AR1917" s="2">
        <v>0</v>
      </c>
      <c r="AS1917" s="2">
        <v>0</v>
      </c>
      <c r="AT1917" s="2">
        <v>0</v>
      </c>
      <c r="AU1917" s="2">
        <v>0</v>
      </c>
      <c r="AV1917" s="2">
        <v>0</v>
      </c>
      <c r="AW1917" s="4"/>
      <c r="AX1917" t="s">
        <v>75</v>
      </c>
      <c r="AZ1917" t="s">
        <v>4608</v>
      </c>
      <c r="BA1917" t="s">
        <v>67</v>
      </c>
      <c r="BB1917" t="s">
        <v>4609</v>
      </c>
      <c r="BC1917" t="s">
        <v>1189</v>
      </c>
      <c r="BD1917" t="s">
        <v>79</v>
      </c>
      <c r="BE1917" t="s">
        <v>603</v>
      </c>
      <c r="BF1917" s="5">
        <v>46802</v>
      </c>
      <c r="BG1917" t="s">
        <v>67</v>
      </c>
      <c r="BH1917">
        <v>10</v>
      </c>
      <c r="BI1917" s="6">
        <v>792000</v>
      </c>
      <c r="BJ1917" s="6">
        <v>43</v>
      </c>
      <c r="BK1917" s="6">
        <v>340560</v>
      </c>
      <c r="BL1917" s="6">
        <v>451440</v>
      </c>
      <c r="BM1917" s="2">
        <v>4514400</v>
      </c>
      <c r="BN1917">
        <f>InvoiceTable[[#This Row],[Giảm giá]]*InvoiceTable[[#This Row],[Số lượng]]</f>
        <v>3405600</v>
      </c>
    </row>
    <row r="1918" spans="1:66" x14ac:dyDescent="0.25">
      <c r="A1918" t="s">
        <v>65</v>
      </c>
      <c r="B1918" t="s">
        <v>4603</v>
      </c>
      <c r="F1918" s="2"/>
      <c r="G1918" s="3">
        <v>45996.475447685189</v>
      </c>
      <c r="H1918" s="3">
        <v>45996.475447881945</v>
      </c>
      <c r="I1918" s="4" t="s">
        <v>67</v>
      </c>
      <c r="J1918" t="s">
        <v>4604</v>
      </c>
      <c r="K1918" t="s">
        <v>67</v>
      </c>
      <c r="L1918" t="s">
        <v>845</v>
      </c>
      <c r="M1918" t="s">
        <v>846</v>
      </c>
      <c r="N1918" t="s">
        <v>67</v>
      </c>
      <c r="O1918" t="s">
        <v>847</v>
      </c>
      <c r="P1918" t="s">
        <v>848</v>
      </c>
      <c r="S1918" s="5"/>
      <c r="T1918" t="s">
        <v>72</v>
      </c>
      <c r="U1918" t="s">
        <v>87</v>
      </c>
      <c r="V1918" t="s">
        <v>74</v>
      </c>
      <c r="W1918" t="s">
        <v>87</v>
      </c>
      <c r="AE1918" s="2"/>
      <c r="AF1918" s="2"/>
      <c r="AG1918" s="2"/>
      <c r="AH1918" s="2"/>
      <c r="AL1918" s="2">
        <v>59783844</v>
      </c>
      <c r="AM1918" s="2">
        <v>0</v>
      </c>
      <c r="AN1918" s="2"/>
      <c r="AO1918" s="2">
        <v>0</v>
      </c>
      <c r="AP1918" s="2">
        <v>59783844</v>
      </c>
      <c r="AQ1918" s="2">
        <v>0</v>
      </c>
      <c r="AR1918" s="2">
        <v>0</v>
      </c>
      <c r="AS1918" s="2">
        <v>0</v>
      </c>
      <c r="AT1918" s="2">
        <v>0</v>
      </c>
      <c r="AU1918" s="2">
        <v>0</v>
      </c>
      <c r="AV1918" s="2">
        <v>0</v>
      </c>
      <c r="AW1918" s="4"/>
      <c r="AX1918" t="s">
        <v>75</v>
      </c>
      <c r="AZ1918" t="s">
        <v>480</v>
      </c>
      <c r="BA1918" t="s">
        <v>67</v>
      </c>
      <c r="BB1918" t="s">
        <v>481</v>
      </c>
      <c r="BC1918" t="s">
        <v>90</v>
      </c>
      <c r="BD1918" t="s">
        <v>79</v>
      </c>
      <c r="BE1918" t="s">
        <v>482</v>
      </c>
      <c r="BF1918" s="5">
        <v>46773</v>
      </c>
      <c r="BG1918" t="s">
        <v>67</v>
      </c>
      <c r="BH1918">
        <v>3</v>
      </c>
      <c r="BI1918" s="6">
        <v>1800000</v>
      </c>
      <c r="BJ1918" s="6">
        <v>0</v>
      </c>
      <c r="BK1918" s="6">
        <v>850000</v>
      </c>
      <c r="BL1918" s="6">
        <v>950000</v>
      </c>
      <c r="BM1918" s="2">
        <v>2850000</v>
      </c>
      <c r="BN1918">
        <f>InvoiceTable[[#This Row],[Giảm giá]]*InvoiceTable[[#This Row],[Số lượng]]</f>
        <v>2550000</v>
      </c>
    </row>
    <row r="1919" spans="1:66" x14ac:dyDescent="0.25">
      <c r="A1919" t="s">
        <v>65</v>
      </c>
      <c r="B1919" t="s">
        <v>4603</v>
      </c>
      <c r="F1919" s="2"/>
      <c r="G1919" s="3">
        <v>45996.475447685189</v>
      </c>
      <c r="H1919" s="3">
        <v>45996.475447881945</v>
      </c>
      <c r="I1919" s="4" t="s">
        <v>67</v>
      </c>
      <c r="J1919" t="s">
        <v>4604</v>
      </c>
      <c r="K1919" t="s">
        <v>67</v>
      </c>
      <c r="L1919" t="s">
        <v>845</v>
      </c>
      <c r="M1919" t="s">
        <v>846</v>
      </c>
      <c r="N1919" t="s">
        <v>67</v>
      </c>
      <c r="O1919" t="s">
        <v>847</v>
      </c>
      <c r="P1919" t="s">
        <v>848</v>
      </c>
      <c r="S1919" s="5"/>
      <c r="T1919" t="s">
        <v>72</v>
      </c>
      <c r="U1919" t="s">
        <v>87</v>
      </c>
      <c r="V1919" t="s">
        <v>74</v>
      </c>
      <c r="W1919" t="s">
        <v>87</v>
      </c>
      <c r="AE1919" s="2"/>
      <c r="AF1919" s="2"/>
      <c r="AG1919" s="2"/>
      <c r="AH1919" s="2"/>
      <c r="AL1919" s="2">
        <v>59783844</v>
      </c>
      <c r="AM1919" s="2">
        <v>0</v>
      </c>
      <c r="AN1919" s="2"/>
      <c r="AO1919" s="2">
        <v>0</v>
      </c>
      <c r="AP1919" s="2">
        <v>59783844</v>
      </c>
      <c r="AQ1919" s="2">
        <v>0</v>
      </c>
      <c r="AR1919" s="2">
        <v>0</v>
      </c>
      <c r="AS1919" s="2">
        <v>0</v>
      </c>
      <c r="AT1919" s="2">
        <v>0</v>
      </c>
      <c r="AU1919" s="2">
        <v>0</v>
      </c>
      <c r="AV1919" s="2">
        <v>0</v>
      </c>
      <c r="AW1919" s="4"/>
      <c r="AX1919" t="s">
        <v>75</v>
      </c>
      <c r="AZ1919" t="s">
        <v>1588</v>
      </c>
      <c r="BA1919" t="s">
        <v>67</v>
      </c>
      <c r="BB1919" t="s">
        <v>1589</v>
      </c>
      <c r="BC1919" t="s">
        <v>377</v>
      </c>
      <c r="BD1919" t="s">
        <v>79</v>
      </c>
      <c r="BE1919" t="s">
        <v>293</v>
      </c>
      <c r="BF1919" s="5">
        <v>46722</v>
      </c>
      <c r="BH1919">
        <v>2</v>
      </c>
      <c r="BI1919" s="6">
        <v>4815000</v>
      </c>
      <c r="BJ1919" s="6">
        <v>38</v>
      </c>
      <c r="BK1919" s="6">
        <v>1829700</v>
      </c>
      <c r="BL1919" s="6">
        <v>2985300</v>
      </c>
      <c r="BM1919" s="2">
        <v>5970600</v>
      </c>
      <c r="BN1919">
        <f>InvoiceTable[[#This Row],[Giảm giá]]*InvoiceTable[[#This Row],[Số lượng]]</f>
        <v>3659400</v>
      </c>
    </row>
    <row r="1920" spans="1:66" x14ac:dyDescent="0.25">
      <c r="A1920" t="s">
        <v>65</v>
      </c>
      <c r="B1920" t="s">
        <v>4603</v>
      </c>
      <c r="F1920" s="2"/>
      <c r="G1920" s="3">
        <v>45996.475447685189</v>
      </c>
      <c r="H1920" s="3">
        <v>45996.475447881945</v>
      </c>
      <c r="I1920" s="4" t="s">
        <v>67</v>
      </c>
      <c r="J1920" t="s">
        <v>4604</v>
      </c>
      <c r="K1920" t="s">
        <v>67</v>
      </c>
      <c r="L1920" t="s">
        <v>845</v>
      </c>
      <c r="M1920" t="s">
        <v>846</v>
      </c>
      <c r="N1920" t="s">
        <v>67</v>
      </c>
      <c r="O1920" t="s">
        <v>847</v>
      </c>
      <c r="P1920" t="s">
        <v>848</v>
      </c>
      <c r="S1920" s="5"/>
      <c r="T1920" t="s">
        <v>72</v>
      </c>
      <c r="U1920" t="s">
        <v>87</v>
      </c>
      <c r="V1920" t="s">
        <v>74</v>
      </c>
      <c r="W1920" t="s">
        <v>87</v>
      </c>
      <c r="AE1920" s="2"/>
      <c r="AF1920" s="2"/>
      <c r="AG1920" s="2"/>
      <c r="AH1920" s="2"/>
      <c r="AL1920" s="2">
        <v>59783844</v>
      </c>
      <c r="AM1920" s="2">
        <v>0</v>
      </c>
      <c r="AN1920" s="2"/>
      <c r="AO1920" s="2">
        <v>0</v>
      </c>
      <c r="AP1920" s="2">
        <v>59783844</v>
      </c>
      <c r="AQ1920" s="2">
        <v>0</v>
      </c>
      <c r="AR1920" s="2">
        <v>0</v>
      </c>
      <c r="AS1920" s="2">
        <v>0</v>
      </c>
      <c r="AT1920" s="2">
        <v>0</v>
      </c>
      <c r="AU1920" s="2">
        <v>0</v>
      </c>
      <c r="AV1920" s="2">
        <v>0</v>
      </c>
      <c r="AW1920" s="4"/>
      <c r="AX1920" t="s">
        <v>75</v>
      </c>
      <c r="AZ1920" t="s">
        <v>4360</v>
      </c>
      <c r="BA1920" t="s">
        <v>67</v>
      </c>
      <c r="BB1920" t="s">
        <v>4361</v>
      </c>
      <c r="BC1920" t="s">
        <v>822</v>
      </c>
      <c r="BD1920" t="s">
        <v>79</v>
      </c>
      <c r="BE1920" t="s">
        <v>348</v>
      </c>
      <c r="BF1920" s="5">
        <v>47484</v>
      </c>
      <c r="BH1920">
        <v>2</v>
      </c>
      <c r="BI1920" s="6">
        <v>6641018</v>
      </c>
      <c r="BJ1920" s="6">
        <v>48</v>
      </c>
      <c r="BK1920" s="6">
        <v>3187688.64</v>
      </c>
      <c r="BL1920" s="6">
        <v>3453329.36</v>
      </c>
      <c r="BM1920" s="2">
        <v>6906659</v>
      </c>
      <c r="BN1920">
        <f>InvoiceTable[[#This Row],[Giảm giá]]*InvoiceTable[[#This Row],[Số lượng]]</f>
        <v>6375377.2800000003</v>
      </c>
    </row>
    <row r="1921" spans="1:66" x14ac:dyDescent="0.25">
      <c r="A1921" t="s">
        <v>65</v>
      </c>
      <c r="B1921" t="s">
        <v>4603</v>
      </c>
      <c r="F1921" s="2"/>
      <c r="G1921" s="3">
        <v>45996.475447685189</v>
      </c>
      <c r="H1921" s="3">
        <v>45996.475447881945</v>
      </c>
      <c r="I1921" s="4" t="s">
        <v>67</v>
      </c>
      <c r="J1921" t="s">
        <v>4604</v>
      </c>
      <c r="K1921" t="s">
        <v>67</v>
      </c>
      <c r="L1921" t="s">
        <v>845</v>
      </c>
      <c r="M1921" t="s">
        <v>846</v>
      </c>
      <c r="N1921" t="s">
        <v>67</v>
      </c>
      <c r="O1921" t="s">
        <v>847</v>
      </c>
      <c r="P1921" t="s">
        <v>848</v>
      </c>
      <c r="S1921" s="5"/>
      <c r="T1921" t="s">
        <v>72</v>
      </c>
      <c r="U1921" t="s">
        <v>87</v>
      </c>
      <c r="V1921" t="s">
        <v>74</v>
      </c>
      <c r="W1921" t="s">
        <v>87</v>
      </c>
      <c r="AE1921" s="2"/>
      <c r="AF1921" s="2"/>
      <c r="AG1921" s="2"/>
      <c r="AH1921" s="2"/>
      <c r="AL1921" s="2">
        <v>59783844</v>
      </c>
      <c r="AM1921" s="2">
        <v>0</v>
      </c>
      <c r="AN1921" s="2"/>
      <c r="AO1921" s="2">
        <v>0</v>
      </c>
      <c r="AP1921" s="2">
        <v>59783844</v>
      </c>
      <c r="AQ1921" s="2">
        <v>0</v>
      </c>
      <c r="AR1921" s="2">
        <v>0</v>
      </c>
      <c r="AS1921" s="2">
        <v>0</v>
      </c>
      <c r="AT1921" s="2">
        <v>0</v>
      </c>
      <c r="AU1921" s="2">
        <v>0</v>
      </c>
      <c r="AV1921" s="2">
        <v>0</v>
      </c>
      <c r="AW1921" s="4"/>
      <c r="AX1921" t="s">
        <v>75</v>
      </c>
      <c r="AZ1921" t="s">
        <v>4610</v>
      </c>
      <c r="BA1921" t="s">
        <v>67</v>
      </c>
      <c r="BB1921" t="s">
        <v>4611</v>
      </c>
      <c r="BC1921" t="s">
        <v>822</v>
      </c>
      <c r="BD1921" t="s">
        <v>79</v>
      </c>
      <c r="BE1921" t="s">
        <v>2535</v>
      </c>
      <c r="BF1921" s="5">
        <v>47331</v>
      </c>
      <c r="BG1921" t="s">
        <v>67</v>
      </c>
      <c r="BH1921">
        <v>3</v>
      </c>
      <c r="BI1921" s="6">
        <v>5225236</v>
      </c>
      <c r="BJ1921" s="6">
        <v>48</v>
      </c>
      <c r="BK1921" s="6">
        <v>2508113.2799999998</v>
      </c>
      <c r="BL1921" s="6">
        <v>2717122.72</v>
      </c>
      <c r="BM1921" s="2">
        <v>8151368</v>
      </c>
      <c r="BN1921">
        <f>InvoiceTable[[#This Row],[Giảm giá]]*InvoiceTable[[#This Row],[Số lượng]]</f>
        <v>7524339.8399999999</v>
      </c>
    </row>
    <row r="1922" spans="1:66" x14ac:dyDescent="0.25">
      <c r="A1922" t="s">
        <v>65</v>
      </c>
      <c r="B1922" t="s">
        <v>4603</v>
      </c>
      <c r="F1922" s="2"/>
      <c r="G1922" s="3">
        <v>45996.475447685189</v>
      </c>
      <c r="H1922" s="3">
        <v>45996.475447881945</v>
      </c>
      <c r="I1922" s="4" t="s">
        <v>67</v>
      </c>
      <c r="J1922" t="s">
        <v>4604</v>
      </c>
      <c r="K1922" t="s">
        <v>67</v>
      </c>
      <c r="L1922" t="s">
        <v>845</v>
      </c>
      <c r="M1922" t="s">
        <v>846</v>
      </c>
      <c r="N1922" t="s">
        <v>67</v>
      </c>
      <c r="O1922" t="s">
        <v>847</v>
      </c>
      <c r="P1922" t="s">
        <v>848</v>
      </c>
      <c r="S1922" s="5"/>
      <c r="T1922" t="s">
        <v>72</v>
      </c>
      <c r="U1922" t="s">
        <v>87</v>
      </c>
      <c r="V1922" t="s">
        <v>74</v>
      </c>
      <c r="W1922" t="s">
        <v>87</v>
      </c>
      <c r="AE1922" s="2"/>
      <c r="AF1922" s="2"/>
      <c r="AG1922" s="2"/>
      <c r="AH1922" s="2"/>
      <c r="AL1922" s="2">
        <v>59783844</v>
      </c>
      <c r="AM1922" s="2">
        <v>0</v>
      </c>
      <c r="AN1922" s="2"/>
      <c r="AO1922" s="2">
        <v>0</v>
      </c>
      <c r="AP1922" s="2">
        <v>59783844</v>
      </c>
      <c r="AQ1922" s="2">
        <v>0</v>
      </c>
      <c r="AR1922" s="2">
        <v>0</v>
      </c>
      <c r="AS1922" s="2">
        <v>0</v>
      </c>
      <c r="AT1922" s="2">
        <v>0</v>
      </c>
      <c r="AU1922" s="2">
        <v>0</v>
      </c>
      <c r="AV1922" s="2">
        <v>0</v>
      </c>
      <c r="AW1922" s="4"/>
      <c r="AX1922" t="s">
        <v>75</v>
      </c>
      <c r="AZ1922" t="s">
        <v>748</v>
      </c>
      <c r="BA1922" t="s">
        <v>67</v>
      </c>
      <c r="BB1922" t="s">
        <v>749</v>
      </c>
      <c r="BC1922" t="s">
        <v>750</v>
      </c>
      <c r="BD1922" t="s">
        <v>79</v>
      </c>
      <c r="BE1922" t="s">
        <v>117</v>
      </c>
      <c r="BF1922" s="5">
        <v>46569</v>
      </c>
      <c r="BH1922">
        <v>15</v>
      </c>
      <c r="BI1922" s="6">
        <v>1500000</v>
      </c>
      <c r="BJ1922" s="6">
        <v>0</v>
      </c>
      <c r="BK1922" s="6">
        <v>480000</v>
      </c>
      <c r="BL1922" s="6">
        <v>1020000</v>
      </c>
      <c r="BM1922" s="2">
        <v>15300000</v>
      </c>
      <c r="BN1922">
        <f>InvoiceTable[[#This Row],[Giảm giá]]*InvoiceTable[[#This Row],[Số lượng]]</f>
        <v>7200000</v>
      </c>
    </row>
    <row r="1923" spans="1:66" x14ac:dyDescent="0.25">
      <c r="A1923" t="s">
        <v>65</v>
      </c>
      <c r="B1923" t="s">
        <v>4612</v>
      </c>
      <c r="F1923" s="2"/>
      <c r="G1923" s="3">
        <v>45996.467356446759</v>
      </c>
      <c r="H1923" s="3">
        <v>45996.467356678244</v>
      </c>
      <c r="I1923" s="4" t="s">
        <v>67</v>
      </c>
      <c r="J1923" t="s">
        <v>4613</v>
      </c>
      <c r="K1923" t="s">
        <v>67</v>
      </c>
      <c r="L1923" t="s">
        <v>1854</v>
      </c>
      <c r="M1923" t="s">
        <v>1855</v>
      </c>
      <c r="N1923" t="s">
        <v>67</v>
      </c>
      <c r="O1923" t="s">
        <v>1856</v>
      </c>
      <c r="P1923" t="s">
        <v>1857</v>
      </c>
      <c r="Q1923" t="s">
        <v>1858</v>
      </c>
      <c r="R1923" t="s">
        <v>1859</v>
      </c>
      <c r="S1923" s="5"/>
      <c r="T1923" t="s">
        <v>72</v>
      </c>
      <c r="U1923" t="s">
        <v>87</v>
      </c>
      <c r="V1923" t="s">
        <v>74</v>
      </c>
      <c r="W1923" t="s">
        <v>87</v>
      </c>
      <c r="AE1923" s="2"/>
      <c r="AF1923" s="2"/>
      <c r="AG1923" s="2"/>
      <c r="AH1923" s="2"/>
      <c r="AK1923" t="s">
        <v>1261</v>
      </c>
      <c r="AL1923" s="2">
        <v>2048120</v>
      </c>
      <c r="AM1923" s="2">
        <v>0</v>
      </c>
      <c r="AN1923" s="2"/>
      <c r="AO1923" s="2">
        <v>0</v>
      </c>
      <c r="AP1923" s="2">
        <v>2048120</v>
      </c>
      <c r="AQ1923" s="2">
        <v>0</v>
      </c>
      <c r="AR1923" s="2">
        <v>0</v>
      </c>
      <c r="AS1923" s="2">
        <v>0</v>
      </c>
      <c r="AT1923" s="2">
        <v>0</v>
      </c>
      <c r="AU1923" s="2">
        <v>0</v>
      </c>
      <c r="AV1923" s="2">
        <v>0</v>
      </c>
      <c r="AW1923" s="4"/>
      <c r="AX1923" t="s">
        <v>75</v>
      </c>
      <c r="AZ1923" t="s">
        <v>2676</v>
      </c>
      <c r="BA1923" t="s">
        <v>67</v>
      </c>
      <c r="BB1923" t="s">
        <v>2677</v>
      </c>
      <c r="BC1923" t="s">
        <v>2678</v>
      </c>
      <c r="BD1923" t="s">
        <v>79</v>
      </c>
      <c r="BE1923" t="s">
        <v>168</v>
      </c>
      <c r="BF1923" s="5">
        <v>46388</v>
      </c>
      <c r="BH1923">
        <v>20</v>
      </c>
      <c r="BI1923" s="6">
        <v>25000</v>
      </c>
      <c r="BJ1923" s="6">
        <v>0</v>
      </c>
      <c r="BK1923" s="6">
        <v>12000</v>
      </c>
      <c r="BL1923" s="6">
        <v>13000</v>
      </c>
      <c r="BM1923" s="2">
        <v>260000</v>
      </c>
      <c r="BN1923">
        <f>InvoiceTable[[#This Row],[Giảm giá]]*InvoiceTable[[#This Row],[Số lượng]]</f>
        <v>240000</v>
      </c>
    </row>
    <row r="1924" spans="1:66" x14ac:dyDescent="0.25">
      <c r="A1924" t="s">
        <v>65</v>
      </c>
      <c r="B1924" t="s">
        <v>4612</v>
      </c>
      <c r="F1924" s="2"/>
      <c r="G1924" s="3">
        <v>45996.467356446759</v>
      </c>
      <c r="H1924" s="3">
        <v>45996.467356678244</v>
      </c>
      <c r="I1924" s="4" t="s">
        <v>67</v>
      </c>
      <c r="J1924" t="s">
        <v>4613</v>
      </c>
      <c r="K1924" t="s">
        <v>67</v>
      </c>
      <c r="L1924" t="s">
        <v>1854</v>
      </c>
      <c r="M1924" t="s">
        <v>1855</v>
      </c>
      <c r="N1924" t="s">
        <v>67</v>
      </c>
      <c r="O1924" t="s">
        <v>1856</v>
      </c>
      <c r="P1924" t="s">
        <v>1857</v>
      </c>
      <c r="Q1924" t="s">
        <v>1858</v>
      </c>
      <c r="R1924" t="s">
        <v>1859</v>
      </c>
      <c r="S1924" s="5"/>
      <c r="T1924" t="s">
        <v>72</v>
      </c>
      <c r="U1924" t="s">
        <v>87</v>
      </c>
      <c r="V1924" t="s">
        <v>74</v>
      </c>
      <c r="W1924" t="s">
        <v>87</v>
      </c>
      <c r="AE1924" s="2"/>
      <c r="AF1924" s="2"/>
      <c r="AG1924" s="2"/>
      <c r="AH1924" s="2"/>
      <c r="AK1924" t="s">
        <v>1261</v>
      </c>
      <c r="AL1924" s="2">
        <v>2048120</v>
      </c>
      <c r="AM1924" s="2">
        <v>0</v>
      </c>
      <c r="AN1924" s="2"/>
      <c r="AO1924" s="2">
        <v>0</v>
      </c>
      <c r="AP1924" s="2">
        <v>2048120</v>
      </c>
      <c r="AQ1924" s="2">
        <v>0</v>
      </c>
      <c r="AR1924" s="2">
        <v>0</v>
      </c>
      <c r="AS1924" s="2">
        <v>0</v>
      </c>
      <c r="AT1924" s="2">
        <v>0</v>
      </c>
      <c r="AU1924" s="2">
        <v>0</v>
      </c>
      <c r="AV1924" s="2">
        <v>0</v>
      </c>
      <c r="AW1924" s="4"/>
      <c r="AX1924" t="s">
        <v>75</v>
      </c>
      <c r="AZ1924" t="s">
        <v>3472</v>
      </c>
      <c r="BA1924" t="s">
        <v>67</v>
      </c>
      <c r="BB1924" t="s">
        <v>3473</v>
      </c>
      <c r="BC1924" t="s">
        <v>173</v>
      </c>
      <c r="BD1924" t="s">
        <v>79</v>
      </c>
      <c r="BE1924" t="s">
        <v>921</v>
      </c>
      <c r="BF1924" s="5">
        <v>47392</v>
      </c>
      <c r="BH1924">
        <v>1</v>
      </c>
      <c r="BI1924" s="6">
        <v>1077000</v>
      </c>
      <c r="BJ1924" s="6">
        <v>44</v>
      </c>
      <c r="BK1924" s="6">
        <v>473880</v>
      </c>
      <c r="BL1924" s="6">
        <v>603120</v>
      </c>
      <c r="BM1924" s="2">
        <v>603120</v>
      </c>
      <c r="BN1924">
        <f>InvoiceTable[[#This Row],[Giảm giá]]*InvoiceTable[[#This Row],[Số lượng]]</f>
        <v>473880</v>
      </c>
    </row>
    <row r="1925" spans="1:66" x14ac:dyDescent="0.25">
      <c r="A1925" t="s">
        <v>65</v>
      </c>
      <c r="B1925" t="s">
        <v>4612</v>
      </c>
      <c r="F1925" s="2"/>
      <c r="G1925" s="3">
        <v>45996.467356446759</v>
      </c>
      <c r="H1925" s="3">
        <v>45996.467356678244</v>
      </c>
      <c r="I1925" s="4" t="s">
        <v>67</v>
      </c>
      <c r="J1925" t="s">
        <v>4613</v>
      </c>
      <c r="K1925" t="s">
        <v>67</v>
      </c>
      <c r="L1925" t="s">
        <v>1854</v>
      </c>
      <c r="M1925" t="s">
        <v>1855</v>
      </c>
      <c r="N1925" t="s">
        <v>67</v>
      </c>
      <c r="O1925" t="s">
        <v>1856</v>
      </c>
      <c r="P1925" t="s">
        <v>1857</v>
      </c>
      <c r="Q1925" t="s">
        <v>1858</v>
      </c>
      <c r="R1925" t="s">
        <v>1859</v>
      </c>
      <c r="S1925" s="5"/>
      <c r="T1925" t="s">
        <v>72</v>
      </c>
      <c r="U1925" t="s">
        <v>87</v>
      </c>
      <c r="V1925" t="s">
        <v>74</v>
      </c>
      <c r="W1925" t="s">
        <v>87</v>
      </c>
      <c r="AE1925" s="2"/>
      <c r="AF1925" s="2"/>
      <c r="AG1925" s="2"/>
      <c r="AH1925" s="2"/>
      <c r="AK1925" t="s">
        <v>1261</v>
      </c>
      <c r="AL1925" s="2">
        <v>2048120</v>
      </c>
      <c r="AM1925" s="2">
        <v>0</v>
      </c>
      <c r="AN1925" s="2"/>
      <c r="AO1925" s="2">
        <v>0</v>
      </c>
      <c r="AP1925" s="2">
        <v>2048120</v>
      </c>
      <c r="AQ1925" s="2">
        <v>0</v>
      </c>
      <c r="AR1925" s="2">
        <v>0</v>
      </c>
      <c r="AS1925" s="2">
        <v>0</v>
      </c>
      <c r="AT1925" s="2">
        <v>0</v>
      </c>
      <c r="AU1925" s="2">
        <v>0</v>
      </c>
      <c r="AV1925" s="2">
        <v>0</v>
      </c>
      <c r="AW1925" s="4"/>
      <c r="AX1925" t="s">
        <v>75</v>
      </c>
      <c r="AZ1925" t="s">
        <v>1262</v>
      </c>
      <c r="BA1925" t="s">
        <v>67</v>
      </c>
      <c r="BB1925" t="s">
        <v>1263</v>
      </c>
      <c r="BC1925" t="s">
        <v>1264</v>
      </c>
      <c r="BD1925" t="s">
        <v>79</v>
      </c>
      <c r="BE1925" t="s">
        <v>378</v>
      </c>
      <c r="BF1925" s="5">
        <v>46997</v>
      </c>
      <c r="BH1925">
        <v>3</v>
      </c>
      <c r="BI1925" s="6">
        <v>898000</v>
      </c>
      <c r="BJ1925" s="6">
        <v>0</v>
      </c>
      <c r="BK1925" s="6">
        <v>503000</v>
      </c>
      <c r="BL1925" s="6">
        <v>395000</v>
      </c>
      <c r="BM1925" s="2">
        <v>1185000</v>
      </c>
      <c r="BN1925">
        <f>InvoiceTable[[#This Row],[Giảm giá]]*InvoiceTable[[#This Row],[Số lượng]]</f>
        <v>1509000</v>
      </c>
    </row>
    <row r="1926" spans="1:66" x14ac:dyDescent="0.25">
      <c r="A1926" t="s">
        <v>65</v>
      </c>
      <c r="B1926" t="s">
        <v>4614</v>
      </c>
      <c r="F1926" s="2"/>
      <c r="G1926" s="3">
        <v>45996.441427662037</v>
      </c>
      <c r="H1926" s="3">
        <v>45996.441242592591</v>
      </c>
      <c r="I1926" s="4" t="s">
        <v>96</v>
      </c>
      <c r="J1926" t="s">
        <v>67</v>
      </c>
      <c r="K1926" t="s">
        <v>67</v>
      </c>
      <c r="L1926" t="s">
        <v>914</v>
      </c>
      <c r="M1926" t="s">
        <v>915</v>
      </c>
      <c r="N1926" t="s">
        <v>916</v>
      </c>
      <c r="O1926" t="s">
        <v>917</v>
      </c>
      <c r="P1926" t="s">
        <v>918</v>
      </c>
      <c r="S1926" s="5"/>
      <c r="T1926" t="s">
        <v>72</v>
      </c>
      <c r="U1926" t="s">
        <v>87</v>
      </c>
      <c r="V1926" t="s">
        <v>74</v>
      </c>
      <c r="W1926" t="s">
        <v>87</v>
      </c>
      <c r="AE1926" s="2"/>
      <c r="AF1926" s="2"/>
      <c r="AG1926" s="2"/>
      <c r="AH1926" s="2"/>
      <c r="AK1926" t="s">
        <v>4615</v>
      </c>
      <c r="AL1926" s="2">
        <v>2785000</v>
      </c>
      <c r="AM1926" s="2">
        <v>0</v>
      </c>
      <c r="AN1926" s="2"/>
      <c r="AO1926" s="2">
        <v>0</v>
      </c>
      <c r="AP1926" s="2">
        <v>2785000</v>
      </c>
      <c r="AQ1926" s="2">
        <v>0</v>
      </c>
      <c r="AR1926" s="2">
        <v>0</v>
      </c>
      <c r="AS1926" s="2">
        <v>0</v>
      </c>
      <c r="AT1926" s="2">
        <v>0</v>
      </c>
      <c r="AU1926" s="2">
        <v>0</v>
      </c>
      <c r="AV1926" s="2">
        <v>0</v>
      </c>
      <c r="AW1926" s="4"/>
      <c r="AX1926" t="s">
        <v>75</v>
      </c>
      <c r="AZ1926" t="s">
        <v>4616</v>
      </c>
      <c r="BA1926" t="s">
        <v>67</v>
      </c>
      <c r="BB1926" t="s">
        <v>4617</v>
      </c>
      <c r="BC1926" t="s">
        <v>590</v>
      </c>
      <c r="BD1926" t="s">
        <v>79</v>
      </c>
      <c r="BE1926" t="s">
        <v>996</v>
      </c>
      <c r="BF1926" s="5">
        <v>46143</v>
      </c>
      <c r="BH1926">
        <v>1</v>
      </c>
      <c r="BI1926" s="6">
        <v>350000</v>
      </c>
      <c r="BJ1926" s="6">
        <v>0</v>
      </c>
      <c r="BK1926" s="6">
        <v>155000</v>
      </c>
      <c r="BL1926" s="6">
        <v>195000</v>
      </c>
      <c r="BM1926" s="2">
        <v>195000</v>
      </c>
      <c r="BN1926">
        <f>InvoiceTable[[#This Row],[Giảm giá]]*InvoiceTable[[#This Row],[Số lượng]]</f>
        <v>155000</v>
      </c>
    </row>
    <row r="1927" spans="1:66" x14ac:dyDescent="0.25">
      <c r="A1927" t="s">
        <v>65</v>
      </c>
      <c r="B1927" t="s">
        <v>4614</v>
      </c>
      <c r="F1927" s="2"/>
      <c r="G1927" s="3">
        <v>45996.441427662037</v>
      </c>
      <c r="H1927" s="3">
        <v>45996.441242592591</v>
      </c>
      <c r="I1927" s="4" t="s">
        <v>96</v>
      </c>
      <c r="J1927" t="s">
        <v>67</v>
      </c>
      <c r="K1927" t="s">
        <v>67</v>
      </c>
      <c r="L1927" t="s">
        <v>914</v>
      </c>
      <c r="M1927" t="s">
        <v>915</v>
      </c>
      <c r="N1927" t="s">
        <v>916</v>
      </c>
      <c r="O1927" t="s">
        <v>917</v>
      </c>
      <c r="P1927" t="s">
        <v>918</v>
      </c>
      <c r="S1927" s="5"/>
      <c r="T1927" t="s">
        <v>72</v>
      </c>
      <c r="U1927" t="s">
        <v>87</v>
      </c>
      <c r="V1927" t="s">
        <v>74</v>
      </c>
      <c r="W1927" t="s">
        <v>87</v>
      </c>
      <c r="AE1927" s="2"/>
      <c r="AF1927" s="2"/>
      <c r="AG1927" s="2"/>
      <c r="AH1927" s="2"/>
      <c r="AK1927" t="s">
        <v>4615</v>
      </c>
      <c r="AL1927" s="2">
        <v>2785000</v>
      </c>
      <c r="AM1927" s="2">
        <v>0</v>
      </c>
      <c r="AN1927" s="2"/>
      <c r="AO1927" s="2">
        <v>0</v>
      </c>
      <c r="AP1927" s="2">
        <v>2785000</v>
      </c>
      <c r="AQ1927" s="2">
        <v>0</v>
      </c>
      <c r="AR1927" s="2">
        <v>0</v>
      </c>
      <c r="AS1927" s="2">
        <v>0</v>
      </c>
      <c r="AT1927" s="2">
        <v>0</v>
      </c>
      <c r="AU1927" s="2">
        <v>0</v>
      </c>
      <c r="AV1927" s="2">
        <v>0</v>
      </c>
      <c r="AW1927" s="4"/>
      <c r="AX1927" t="s">
        <v>75</v>
      </c>
      <c r="AZ1927" t="s">
        <v>2546</v>
      </c>
      <c r="BA1927" t="s">
        <v>67</v>
      </c>
      <c r="BB1927" t="s">
        <v>2547</v>
      </c>
      <c r="BC1927" t="s">
        <v>2548</v>
      </c>
      <c r="BD1927" t="s">
        <v>79</v>
      </c>
      <c r="BE1927" t="s">
        <v>216</v>
      </c>
      <c r="BF1927" s="5">
        <v>46784</v>
      </c>
      <c r="BH1927">
        <v>1</v>
      </c>
      <c r="BI1927" s="6">
        <v>3000000</v>
      </c>
      <c r="BJ1927" s="6">
        <v>50</v>
      </c>
      <c r="BK1927" s="6">
        <v>1500000</v>
      </c>
      <c r="BL1927" s="6">
        <v>1500000</v>
      </c>
      <c r="BM1927" s="2">
        <v>1500000</v>
      </c>
      <c r="BN1927">
        <f>InvoiceTable[[#This Row],[Giảm giá]]*InvoiceTable[[#This Row],[Số lượng]]</f>
        <v>1500000</v>
      </c>
    </row>
    <row r="1928" spans="1:66" x14ac:dyDescent="0.25">
      <c r="A1928" t="s">
        <v>65</v>
      </c>
      <c r="B1928" t="s">
        <v>4614</v>
      </c>
      <c r="F1928" s="2"/>
      <c r="G1928" s="3">
        <v>45996.441427662037</v>
      </c>
      <c r="H1928" s="3">
        <v>45996.441242592591</v>
      </c>
      <c r="I1928" s="4" t="s">
        <v>96</v>
      </c>
      <c r="J1928" t="s">
        <v>67</v>
      </c>
      <c r="K1928" t="s">
        <v>67</v>
      </c>
      <c r="L1928" t="s">
        <v>914</v>
      </c>
      <c r="M1928" t="s">
        <v>915</v>
      </c>
      <c r="N1928" t="s">
        <v>916</v>
      </c>
      <c r="O1928" t="s">
        <v>917</v>
      </c>
      <c r="P1928" t="s">
        <v>918</v>
      </c>
      <c r="S1928" s="5"/>
      <c r="T1928" t="s">
        <v>72</v>
      </c>
      <c r="U1928" t="s">
        <v>87</v>
      </c>
      <c r="V1928" t="s">
        <v>74</v>
      </c>
      <c r="W1928" t="s">
        <v>87</v>
      </c>
      <c r="AE1928" s="2"/>
      <c r="AF1928" s="2"/>
      <c r="AG1928" s="2"/>
      <c r="AH1928" s="2"/>
      <c r="AK1928" t="s">
        <v>4615</v>
      </c>
      <c r="AL1928" s="2">
        <v>2785000</v>
      </c>
      <c r="AM1928" s="2">
        <v>0</v>
      </c>
      <c r="AN1928" s="2"/>
      <c r="AO1928" s="2">
        <v>0</v>
      </c>
      <c r="AP1928" s="2">
        <v>2785000</v>
      </c>
      <c r="AQ1928" s="2">
        <v>0</v>
      </c>
      <c r="AR1928" s="2">
        <v>0</v>
      </c>
      <c r="AS1928" s="2">
        <v>0</v>
      </c>
      <c r="AT1928" s="2">
        <v>0</v>
      </c>
      <c r="AU1928" s="2">
        <v>0</v>
      </c>
      <c r="AV1928" s="2">
        <v>0</v>
      </c>
      <c r="AW1928" s="4"/>
      <c r="AX1928" t="s">
        <v>75</v>
      </c>
      <c r="AZ1928" t="s">
        <v>321</v>
      </c>
      <c r="BA1928" t="s">
        <v>67</v>
      </c>
      <c r="BB1928" t="s">
        <v>322</v>
      </c>
      <c r="BC1928" t="s">
        <v>323</v>
      </c>
      <c r="BD1928" t="s">
        <v>79</v>
      </c>
      <c r="BE1928" t="s">
        <v>201</v>
      </c>
      <c r="BF1928" s="5">
        <v>46966</v>
      </c>
      <c r="BH1928">
        <v>10</v>
      </c>
      <c r="BI1928" s="6">
        <v>25000</v>
      </c>
      <c r="BJ1928" s="6">
        <v>0</v>
      </c>
      <c r="BK1928" s="6">
        <v>14000</v>
      </c>
      <c r="BL1928" s="6">
        <v>11000</v>
      </c>
      <c r="BM1928" s="2">
        <v>110000</v>
      </c>
      <c r="BN1928">
        <f>InvoiceTable[[#This Row],[Giảm giá]]*InvoiceTable[[#This Row],[Số lượng]]</f>
        <v>140000</v>
      </c>
    </row>
    <row r="1929" spans="1:66" x14ac:dyDescent="0.25">
      <c r="A1929" t="s">
        <v>65</v>
      </c>
      <c r="B1929" t="s">
        <v>4614</v>
      </c>
      <c r="F1929" s="2"/>
      <c r="G1929" s="3">
        <v>45996.441427662037</v>
      </c>
      <c r="H1929" s="3">
        <v>45996.441242592591</v>
      </c>
      <c r="I1929" s="4" t="s">
        <v>96</v>
      </c>
      <c r="J1929" t="s">
        <v>67</v>
      </c>
      <c r="K1929" t="s">
        <v>67</v>
      </c>
      <c r="L1929" t="s">
        <v>914</v>
      </c>
      <c r="M1929" t="s">
        <v>915</v>
      </c>
      <c r="N1929" t="s">
        <v>916</v>
      </c>
      <c r="O1929" t="s">
        <v>917</v>
      </c>
      <c r="P1929" t="s">
        <v>918</v>
      </c>
      <c r="S1929" s="5"/>
      <c r="T1929" t="s">
        <v>72</v>
      </c>
      <c r="U1929" t="s">
        <v>87</v>
      </c>
      <c r="V1929" t="s">
        <v>74</v>
      </c>
      <c r="W1929" t="s">
        <v>87</v>
      </c>
      <c r="AE1929" s="2"/>
      <c r="AF1929" s="2"/>
      <c r="AG1929" s="2"/>
      <c r="AH1929" s="2"/>
      <c r="AK1929" t="s">
        <v>4615</v>
      </c>
      <c r="AL1929" s="2">
        <v>2785000</v>
      </c>
      <c r="AM1929" s="2">
        <v>0</v>
      </c>
      <c r="AN1929" s="2"/>
      <c r="AO1929" s="2">
        <v>0</v>
      </c>
      <c r="AP1929" s="2">
        <v>2785000</v>
      </c>
      <c r="AQ1929" s="2">
        <v>0</v>
      </c>
      <c r="AR1929" s="2">
        <v>0</v>
      </c>
      <c r="AS1929" s="2">
        <v>0</v>
      </c>
      <c r="AT1929" s="2">
        <v>0</v>
      </c>
      <c r="AU1929" s="2">
        <v>0</v>
      </c>
      <c r="AV1929" s="2">
        <v>0</v>
      </c>
      <c r="AW1929" s="4"/>
      <c r="AX1929" t="s">
        <v>75</v>
      </c>
      <c r="AZ1929" t="s">
        <v>480</v>
      </c>
      <c r="BA1929" t="s">
        <v>67</v>
      </c>
      <c r="BB1929" t="s">
        <v>481</v>
      </c>
      <c r="BC1929" t="s">
        <v>90</v>
      </c>
      <c r="BD1929" t="s">
        <v>79</v>
      </c>
      <c r="BE1929" t="s">
        <v>482</v>
      </c>
      <c r="BF1929" s="5">
        <v>46773</v>
      </c>
      <c r="BG1929" t="s">
        <v>67</v>
      </c>
      <c r="BH1929">
        <v>1</v>
      </c>
      <c r="BI1929" s="6">
        <v>1800000</v>
      </c>
      <c r="BJ1929" s="6">
        <v>0</v>
      </c>
      <c r="BK1929" s="6">
        <v>820000</v>
      </c>
      <c r="BL1929" s="6">
        <v>980000</v>
      </c>
      <c r="BM1929" s="2">
        <v>980000</v>
      </c>
      <c r="BN1929">
        <f>InvoiceTable[[#This Row],[Giảm giá]]*InvoiceTable[[#This Row],[Số lượng]]</f>
        <v>820000</v>
      </c>
    </row>
    <row r="1930" spans="1:66" x14ac:dyDescent="0.25">
      <c r="A1930" t="s">
        <v>65</v>
      </c>
      <c r="B1930" t="s">
        <v>4618</v>
      </c>
      <c r="F1930" s="2"/>
      <c r="G1930" s="3">
        <v>45996.403505127317</v>
      </c>
      <c r="H1930" s="3">
        <v>45996.404766435182</v>
      </c>
      <c r="I1930" s="4" t="s">
        <v>67</v>
      </c>
      <c r="J1930" t="s">
        <v>67</v>
      </c>
      <c r="K1930" t="s">
        <v>67</v>
      </c>
      <c r="L1930" t="s">
        <v>3614</v>
      </c>
      <c r="M1930" t="s">
        <v>3615</v>
      </c>
      <c r="N1930" t="s">
        <v>67</v>
      </c>
      <c r="O1930" t="s">
        <v>3616</v>
      </c>
      <c r="P1930" t="s">
        <v>3617</v>
      </c>
      <c r="Q1930" t="s">
        <v>3618</v>
      </c>
      <c r="R1930" t="s">
        <v>3619</v>
      </c>
      <c r="S1930" s="5"/>
      <c r="T1930" t="s">
        <v>72</v>
      </c>
      <c r="U1930" t="s">
        <v>87</v>
      </c>
      <c r="V1930" t="s">
        <v>74</v>
      </c>
      <c r="W1930" t="s">
        <v>87</v>
      </c>
      <c r="AE1930" s="2"/>
      <c r="AF1930" s="2"/>
      <c r="AG1930" s="2"/>
      <c r="AH1930" s="2"/>
      <c r="AL1930" s="2">
        <v>5035000</v>
      </c>
      <c r="AM1930" s="2">
        <v>0</v>
      </c>
      <c r="AN1930" s="2"/>
      <c r="AO1930" s="2">
        <v>0</v>
      </c>
      <c r="AP1930" s="2">
        <v>5035000</v>
      </c>
      <c r="AQ1930" s="2">
        <v>0</v>
      </c>
      <c r="AR1930" s="2">
        <v>0</v>
      </c>
      <c r="AS1930" s="2">
        <v>0</v>
      </c>
      <c r="AT1930" s="2">
        <v>0</v>
      </c>
      <c r="AU1930" s="2">
        <v>0</v>
      </c>
      <c r="AV1930" s="2">
        <v>0</v>
      </c>
      <c r="AW1930" s="4"/>
      <c r="AX1930" t="s">
        <v>75</v>
      </c>
      <c r="AZ1930" t="s">
        <v>4350</v>
      </c>
      <c r="BA1930" t="s">
        <v>67</v>
      </c>
      <c r="BB1930" t="s">
        <v>4351</v>
      </c>
      <c r="BD1930" t="s">
        <v>79</v>
      </c>
      <c r="BE1930" t="s">
        <v>348</v>
      </c>
      <c r="BF1930" s="5">
        <v>47484</v>
      </c>
      <c r="BH1930">
        <v>1</v>
      </c>
      <c r="BI1930" s="6">
        <v>35000</v>
      </c>
      <c r="BJ1930" s="6">
        <v>0</v>
      </c>
      <c r="BK1930" s="6">
        <v>0</v>
      </c>
      <c r="BL1930" s="6">
        <v>35000</v>
      </c>
      <c r="BM1930" s="2">
        <v>35000</v>
      </c>
      <c r="BN1930">
        <f>InvoiceTable[[#This Row],[Giảm giá]]*InvoiceTable[[#This Row],[Số lượng]]</f>
        <v>0</v>
      </c>
    </row>
    <row r="1931" spans="1:66" x14ac:dyDescent="0.25">
      <c r="A1931" t="s">
        <v>65</v>
      </c>
      <c r="B1931" t="s">
        <v>4618</v>
      </c>
      <c r="F1931" s="2"/>
      <c r="G1931" s="3">
        <v>45996.403505127317</v>
      </c>
      <c r="H1931" s="3">
        <v>45996.404766435182</v>
      </c>
      <c r="I1931" s="4" t="s">
        <v>67</v>
      </c>
      <c r="J1931" t="s">
        <v>67</v>
      </c>
      <c r="K1931" t="s">
        <v>67</v>
      </c>
      <c r="L1931" t="s">
        <v>3614</v>
      </c>
      <c r="M1931" t="s">
        <v>3615</v>
      </c>
      <c r="N1931" t="s">
        <v>67</v>
      </c>
      <c r="O1931" t="s">
        <v>3616</v>
      </c>
      <c r="P1931" t="s">
        <v>3617</v>
      </c>
      <c r="Q1931" t="s">
        <v>3618</v>
      </c>
      <c r="R1931" t="s">
        <v>3619</v>
      </c>
      <c r="S1931" s="5"/>
      <c r="T1931" t="s">
        <v>72</v>
      </c>
      <c r="U1931" t="s">
        <v>87</v>
      </c>
      <c r="V1931" t="s">
        <v>74</v>
      </c>
      <c r="W1931" t="s">
        <v>87</v>
      </c>
      <c r="AE1931" s="2"/>
      <c r="AF1931" s="2"/>
      <c r="AG1931" s="2"/>
      <c r="AH1931" s="2"/>
      <c r="AL1931" s="2">
        <v>5035000</v>
      </c>
      <c r="AM1931" s="2">
        <v>0</v>
      </c>
      <c r="AN1931" s="2"/>
      <c r="AO1931" s="2">
        <v>0</v>
      </c>
      <c r="AP1931" s="2">
        <v>5035000</v>
      </c>
      <c r="AQ1931" s="2">
        <v>0</v>
      </c>
      <c r="AR1931" s="2">
        <v>0</v>
      </c>
      <c r="AS1931" s="2">
        <v>0</v>
      </c>
      <c r="AT1931" s="2">
        <v>0</v>
      </c>
      <c r="AU1931" s="2">
        <v>0</v>
      </c>
      <c r="AV1931" s="2">
        <v>0</v>
      </c>
      <c r="AW1931" s="4"/>
      <c r="AX1931" t="s">
        <v>75</v>
      </c>
      <c r="AZ1931" t="s">
        <v>107</v>
      </c>
      <c r="BA1931" t="s">
        <v>67</v>
      </c>
      <c r="BB1931" t="s">
        <v>108</v>
      </c>
      <c r="BC1931" t="s">
        <v>109</v>
      </c>
      <c r="BD1931" t="s">
        <v>79</v>
      </c>
      <c r="BE1931" t="s">
        <v>94</v>
      </c>
      <c r="BF1931" s="5">
        <v>46692</v>
      </c>
      <c r="BH1931">
        <v>2</v>
      </c>
      <c r="BI1931" s="6">
        <v>4500000</v>
      </c>
      <c r="BJ1931" s="6">
        <v>0</v>
      </c>
      <c r="BK1931" s="6">
        <v>2000000</v>
      </c>
      <c r="BL1931" s="6">
        <v>2500000</v>
      </c>
      <c r="BM1931" s="2">
        <v>5000000</v>
      </c>
      <c r="BN1931">
        <f>InvoiceTable[[#This Row],[Giảm giá]]*InvoiceTable[[#This Row],[Số lượng]]</f>
        <v>4000000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DanhSachChiTietHoaDon_KV2612202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2025-12-26T07:42:55Z</dcterms:modified>
</cp:coreProperties>
</file>